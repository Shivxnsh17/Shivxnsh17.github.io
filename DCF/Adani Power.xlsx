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FP&amp;A &amp; Equity Research\3 Statement Model\Financials\"/>
    </mc:Choice>
  </mc:AlternateContent>
  <xr:revisionPtr revIDLastSave="0" documentId="13_ncr:1_{5708AE19-1A9A-4B63-B2D5-1C8BEF51BD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Adani Power DCF" sheetId="7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Data Sheet" sheetId="6" r:id="rId7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I30" i="7" l="1"/>
  <c r="G41" i="7"/>
  <c r="F49" i="7"/>
  <c r="E49" i="7"/>
  <c r="D49" i="7"/>
  <c r="C49" i="7"/>
  <c r="F21" i="7"/>
  <c r="E21" i="7"/>
  <c r="D21" i="7"/>
  <c r="M27" i="6"/>
  <c r="G38" i="7"/>
  <c r="G36" i="7"/>
  <c r="G35" i="7"/>
  <c r="K71" i="6"/>
  <c r="D31" i="7"/>
  <c r="F20" i="7"/>
  <c r="E20" i="7"/>
  <c r="D20" i="7"/>
  <c r="F48" i="7"/>
  <c r="E48" i="7"/>
  <c r="D48" i="7"/>
  <c r="F47" i="7"/>
  <c r="E47" i="7"/>
  <c r="D47" i="7"/>
  <c r="U1" i="2"/>
  <c r="C48" i="7"/>
  <c r="C47" i="7"/>
  <c r="C20" i="7"/>
  <c r="D46" i="7"/>
  <c r="G43" i="7"/>
  <c r="D36" i="7"/>
  <c r="I33" i="7"/>
  <c r="H10" i="7"/>
  <c r="D9" i="7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F13" i="2"/>
  <c r="G13" i="2"/>
  <c r="H13" i="2"/>
  <c r="I13" i="2"/>
  <c r="J13" i="2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D4" i="3"/>
  <c r="E4" i="3"/>
  <c r="F4" i="3"/>
  <c r="G4" i="3"/>
  <c r="H4" i="3"/>
  <c r="I4" i="3"/>
  <c r="J4" i="3"/>
  <c r="K4" i="3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D15" i="1"/>
  <c r="E15" i="1"/>
  <c r="F15" i="1"/>
  <c r="G15" i="1"/>
  <c r="H15" i="1"/>
  <c r="I15" i="1"/>
  <c r="J15" i="1"/>
  <c r="K15" i="1"/>
  <c r="B15" i="1"/>
  <c r="H13" i="1"/>
  <c r="I13" i="1"/>
  <c r="B7" i="1"/>
  <c r="B4" i="1"/>
  <c r="A1" i="1"/>
  <c r="E1" i="6"/>
  <c r="H1" i="1" s="1"/>
  <c r="E1" i="2"/>
  <c r="E1" i="3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B18" i="2"/>
  <c r="B21" i="2"/>
  <c r="B13" i="2"/>
  <c r="B12" i="2"/>
  <c r="B11" i="2"/>
  <c r="B10" i="2"/>
  <c r="B8" i="2"/>
  <c r="B7" i="2"/>
  <c r="B6" i="2"/>
  <c r="B3" i="2"/>
  <c r="B12" i="3"/>
  <c r="B11" i="3"/>
  <c r="B10" i="3"/>
  <c r="B9" i="3"/>
  <c r="B8" i="3"/>
  <c r="B7" i="3"/>
  <c r="B4" i="3"/>
  <c r="B3" i="3"/>
  <c r="L15" i="1"/>
  <c r="B12" i="1"/>
  <c r="B11" i="1"/>
  <c r="B10" i="1"/>
  <c r="B9" i="1"/>
  <c r="B8" i="1"/>
  <c r="B3" i="1"/>
  <c r="L6" i="1"/>
  <c r="C14" i="3" l="1"/>
  <c r="F14" i="3"/>
  <c r="B14" i="3"/>
  <c r="E14" i="3"/>
  <c r="I14" i="3"/>
  <c r="G14" i="3"/>
  <c r="L12" i="1"/>
  <c r="L11" i="1"/>
  <c r="L4" i="1"/>
  <c r="L5" i="1"/>
  <c r="L39" i="7"/>
  <c r="K39" i="7" s="1"/>
  <c r="J39" i="7" s="1"/>
  <c r="N39" i="7"/>
  <c r="O39" i="7" s="1"/>
  <c r="P39" i="7" s="1"/>
  <c r="D37" i="7"/>
  <c r="F16" i="7"/>
  <c r="E16" i="7"/>
  <c r="D16" i="7"/>
  <c r="F14" i="7"/>
  <c r="E14" i="7"/>
  <c r="D14" i="7"/>
  <c r="F12" i="7"/>
  <c r="E12" i="7"/>
  <c r="D12" i="7"/>
  <c r="C16" i="7"/>
  <c r="C14" i="7"/>
  <c r="C18" i="7" s="1"/>
  <c r="C12" i="7"/>
  <c r="G16" i="2"/>
  <c r="D14" i="3"/>
  <c r="K14" i="3"/>
  <c r="L7" i="1"/>
  <c r="L8" i="1"/>
  <c r="L9" i="1"/>
  <c r="B20" i="2"/>
  <c r="K23" i="2"/>
  <c r="F23" i="2"/>
  <c r="C23" i="2"/>
  <c r="K16" i="2"/>
  <c r="C16" i="2"/>
  <c r="G23" i="2"/>
  <c r="F16" i="2"/>
  <c r="H23" i="2"/>
  <c r="D23" i="2"/>
  <c r="I6" i="1"/>
  <c r="J6" i="1"/>
  <c r="E13" i="7" s="1"/>
  <c r="K6" i="1"/>
  <c r="F13" i="7" s="1"/>
  <c r="B6" i="1"/>
  <c r="B19" i="1" s="1"/>
  <c r="K21" i="2"/>
  <c r="J21" i="2"/>
  <c r="I21" i="2"/>
  <c r="H21" i="2"/>
  <c r="G21" i="2"/>
  <c r="F21" i="2"/>
  <c r="E21" i="2"/>
  <c r="D21" i="2"/>
  <c r="C21" i="2"/>
  <c r="J14" i="3"/>
  <c r="H14" i="3"/>
  <c r="G20" i="2"/>
  <c r="K20" i="2"/>
  <c r="D20" i="2"/>
  <c r="J20" i="2"/>
  <c r="C20" i="2"/>
  <c r="E20" i="2"/>
  <c r="I16" i="2"/>
  <c r="F50" i="7"/>
  <c r="E50" i="7"/>
  <c r="D50" i="7"/>
  <c r="C50" i="7"/>
  <c r="C51" i="7" s="1"/>
  <c r="E46" i="7"/>
  <c r="F46" i="7" s="1"/>
  <c r="G46" i="7" s="1"/>
  <c r="H46" i="7" s="1"/>
  <c r="I46" i="7" s="1"/>
  <c r="J46" i="7" s="1"/>
  <c r="K46" i="7" s="1"/>
  <c r="G37" i="7"/>
  <c r="I10" i="7"/>
  <c r="J10" i="7" s="1"/>
  <c r="K10" i="7" s="1"/>
  <c r="E9" i="7"/>
  <c r="F9" i="7" s="1"/>
  <c r="G9" i="7" s="1"/>
  <c r="H9" i="7" s="1"/>
  <c r="I9" i="7" s="1"/>
  <c r="J9" i="7" s="1"/>
  <c r="K9" i="7" s="1"/>
  <c r="E16" i="2"/>
  <c r="J16" i="2"/>
  <c r="C24" i="2"/>
  <c r="F20" i="2"/>
  <c r="H16" i="2"/>
  <c r="D16" i="2"/>
  <c r="L10" i="1"/>
  <c r="A1" i="3"/>
  <c r="A1" i="2"/>
  <c r="A1" i="4" s="1"/>
  <c r="H23" i="1"/>
  <c r="I23" i="1"/>
  <c r="J23" i="1"/>
  <c r="K13" i="1"/>
  <c r="K14" i="1" s="1"/>
  <c r="C13" i="1"/>
  <c r="C14" i="1" s="1"/>
  <c r="F13" i="1"/>
  <c r="F14" i="1" s="1"/>
  <c r="J13" i="1"/>
  <c r="J14" i="1" s="1"/>
  <c r="E24" i="2"/>
  <c r="F24" i="2"/>
  <c r="G24" i="2"/>
  <c r="H24" i="2"/>
  <c r="I24" i="2"/>
  <c r="J24" i="2"/>
  <c r="K24" i="2"/>
  <c r="H14" i="1"/>
  <c r="I14" i="1"/>
  <c r="B23" i="2"/>
  <c r="J19" i="1"/>
  <c r="G6" i="1"/>
  <c r="G19" i="1" s="1"/>
  <c r="C6" i="1"/>
  <c r="C19" i="1" s="1"/>
  <c r="D13" i="1"/>
  <c r="G13" i="1"/>
  <c r="G14" i="1" s="1"/>
  <c r="B13" i="1"/>
  <c r="B14" i="1" s="1"/>
  <c r="D24" i="2"/>
  <c r="E23" i="2"/>
  <c r="I23" i="2"/>
  <c r="J23" i="2"/>
  <c r="E6" i="1"/>
  <c r="E19" i="1" s="1"/>
  <c r="K19" i="1"/>
  <c r="B16" i="2"/>
  <c r="D6" i="1"/>
  <c r="D19" i="1" s="1"/>
  <c r="M9" i="1"/>
  <c r="I20" i="2"/>
  <c r="H20" i="2"/>
  <c r="K23" i="1"/>
  <c r="H6" i="1"/>
  <c r="F6" i="1"/>
  <c r="F19" i="1" s="1"/>
  <c r="E1" i="4"/>
  <c r="E11" i="7" l="1"/>
  <c r="L13" i="1"/>
  <c r="L14" i="1" s="1"/>
  <c r="L25" i="1" s="1"/>
  <c r="L23" i="1"/>
  <c r="M23" i="1" s="1"/>
  <c r="M4" i="1" s="1"/>
  <c r="L19" i="1"/>
  <c r="L24" i="1" s="1"/>
  <c r="I27" i="7"/>
  <c r="F18" i="7"/>
  <c r="D18" i="7"/>
  <c r="E15" i="7"/>
  <c r="E17" i="7" s="1"/>
  <c r="E18" i="7"/>
  <c r="F15" i="7"/>
  <c r="F17" i="7" s="1"/>
  <c r="F19" i="7" s="1"/>
  <c r="F22" i="7" s="1"/>
  <c r="F52" i="7"/>
  <c r="E52" i="7"/>
  <c r="D52" i="7"/>
  <c r="G52" i="7" s="1"/>
  <c r="D11" i="7"/>
  <c r="F11" i="7"/>
  <c r="D38" i="7"/>
  <c r="D32" i="7"/>
  <c r="K25" i="1"/>
  <c r="M25" i="1" s="1"/>
  <c r="M14" i="1" s="1"/>
  <c r="J25" i="1"/>
  <c r="D13" i="7"/>
  <c r="D15" i="7" s="1"/>
  <c r="D17" i="7" s="1"/>
  <c r="D19" i="7" s="1"/>
  <c r="D22" i="7" s="1"/>
  <c r="I19" i="1"/>
  <c r="N9" i="1"/>
  <c r="N8" i="1"/>
  <c r="M8" i="1"/>
  <c r="H19" i="1"/>
  <c r="C13" i="7"/>
  <c r="C15" i="7" s="1"/>
  <c r="C17" i="7" s="1"/>
  <c r="C19" i="7" s="1"/>
  <c r="C21" i="7"/>
  <c r="C22" i="7" s="1"/>
  <c r="C52" i="7"/>
  <c r="F51" i="7"/>
  <c r="E51" i="7"/>
  <c r="D51" i="7"/>
  <c r="M11" i="1"/>
  <c r="N11" i="1"/>
  <c r="D14" i="1"/>
  <c r="E13" i="1"/>
  <c r="E14" i="1" s="1"/>
  <c r="I25" i="1" s="1"/>
  <c r="N23" i="1"/>
  <c r="N4" i="1" s="1"/>
  <c r="K24" i="1" l="1"/>
  <c r="M24" i="1" s="1"/>
  <c r="I24" i="1"/>
  <c r="E19" i="7"/>
  <c r="E22" i="7" s="1"/>
  <c r="G11" i="7"/>
  <c r="H11" i="7" s="1"/>
  <c r="D43" i="7"/>
  <c r="J24" i="1"/>
  <c r="H24" i="1"/>
  <c r="I11" i="7"/>
  <c r="J11" i="7" s="1"/>
  <c r="K11" i="7" s="1"/>
  <c r="H25" i="1"/>
  <c r="N25" i="1" s="1"/>
  <c r="N14" i="1" s="1"/>
  <c r="G12" i="7" l="1"/>
  <c r="N24" i="1"/>
  <c r="N6" i="1" s="1"/>
  <c r="M6" i="1"/>
  <c r="M10" i="1" s="1"/>
  <c r="M12" i="1" s="1"/>
  <c r="M13" i="1" s="1"/>
  <c r="M15" i="1" s="1"/>
  <c r="I43" i="7"/>
  <c r="I41" i="7"/>
  <c r="I40" i="7"/>
  <c r="G20" i="7"/>
  <c r="G15" i="7"/>
  <c r="G16" i="7" s="1"/>
  <c r="G14" i="7"/>
  <c r="G13" i="7"/>
  <c r="G18" i="7"/>
  <c r="H12" i="7"/>
  <c r="G50" i="7"/>
  <c r="G51" i="7" s="1"/>
  <c r="G21" i="7" s="1"/>
  <c r="H52" i="7"/>
  <c r="N5" i="1"/>
  <c r="N10" i="1"/>
  <c r="N12" i="1" s="1"/>
  <c r="N13" i="1" s="1"/>
  <c r="N15" i="1" s="1"/>
  <c r="M5" i="1"/>
  <c r="H20" i="7" l="1"/>
  <c r="H15" i="7"/>
  <c r="H16" i="7" s="1"/>
  <c r="H14" i="7"/>
  <c r="H13" i="7"/>
  <c r="H18" i="7"/>
  <c r="I12" i="7"/>
  <c r="H50" i="7"/>
  <c r="H51" i="7" s="1"/>
  <c r="H21" i="7" s="1"/>
  <c r="I52" i="7"/>
  <c r="H17" i="7" l="1"/>
  <c r="I20" i="7"/>
  <c r="I15" i="7"/>
  <c r="I16" i="7" s="1"/>
  <c r="I14" i="7"/>
  <c r="I13" i="7"/>
  <c r="I18" i="7"/>
  <c r="J12" i="7"/>
  <c r="G17" i="7"/>
  <c r="G19" i="7" s="1"/>
  <c r="G22" i="7" s="1"/>
  <c r="G24" i="7" s="1"/>
  <c r="I50" i="7"/>
  <c r="I51" i="7" s="1"/>
  <c r="I21" i="7" s="1"/>
  <c r="J52" i="7"/>
  <c r="H19" i="7" l="1"/>
  <c r="J20" i="7"/>
  <c r="J15" i="7"/>
  <c r="J16" i="7" s="1"/>
  <c r="J14" i="7"/>
  <c r="J13" i="7"/>
  <c r="K12" i="7"/>
  <c r="J50" i="7"/>
  <c r="J51" i="7" s="1"/>
  <c r="J21" i="7" s="1"/>
  <c r="K52" i="7"/>
  <c r="H22" i="7" l="1"/>
  <c r="H24" i="7" s="1"/>
  <c r="J18" i="7"/>
  <c r="K20" i="7"/>
  <c r="K15" i="7"/>
  <c r="K16" i="7" s="1"/>
  <c r="K14" i="7"/>
  <c r="K13" i="7"/>
  <c r="I17" i="7"/>
  <c r="I19" i="7" s="1"/>
  <c r="I22" i="7" s="1"/>
  <c r="I24" i="7" s="1"/>
  <c r="K50" i="7"/>
  <c r="K51" i="7" s="1"/>
  <c r="K21" i="7" s="1"/>
  <c r="K18" i="7" l="1"/>
  <c r="K17" i="7"/>
  <c r="K19" i="7" l="1"/>
  <c r="K22" i="7" l="1"/>
  <c r="K24" i="7" l="1"/>
  <c r="G30" i="7"/>
  <c r="G31" i="7" s="1"/>
  <c r="J17" i="7"/>
  <c r="J19" i="7" s="1"/>
  <c r="J22" i="7" s="1"/>
  <c r="J24" i="7" s="1"/>
  <c r="G26" i="7" l="1"/>
  <c r="G34" i="7" l="1"/>
  <c r="G40" i="7" s="1"/>
  <c r="G42" i="7" s="1"/>
  <c r="I39" i="7" s="1"/>
  <c r="I36" i="7" l="1"/>
  <c r="G44" i="7"/>
</calcChain>
</file>

<file path=xl/sharedStrings.xml><?xml version="1.0" encoding="utf-8"?>
<sst xmlns="http://schemas.openxmlformats.org/spreadsheetml/2006/main" count="274" uniqueCount="197">
  <si>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</si>
  <si>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</si>
  <si>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</si>
  <si>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</si>
  <si>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</si>
  <si>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</si>
  <si>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</si>
  <si>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</si>
  <si>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</si>
  <si>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</si>
  <si>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</si>
  <si>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</si>
  <si>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</si>
  <si>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</si>
  <si>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</si>
  <si>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</si>
  <si>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</si>
  <si>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</si>
  <si>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</si>
  <si>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</si>
  <si>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</si>
  <si>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</si>
  <si>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</si>
  <si>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</si>
  <si>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</si>
  <si>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</si>
  <si>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</si>
  <si>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</si>
  <si>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</si>
  <si>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</si>
  <si>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</si>
  <si>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</si>
  <si>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</si>
  <si>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</si>
  <si>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</si>
  <si>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</si>
  <si>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</si>
  <si>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</si>
  <si>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</si>
  <si>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</si>
  <si>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</si>
  <si>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</si>
  <si>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</si>
  <si>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</si>
  <si>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</si>
  <si>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</si>
  <si>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</si>
  <si>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</si>
  <si>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</si>
  <si>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</si>
  <si>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</si>
  <si>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</si>
  <si>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</si>
  <si>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</si>
  <si>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</si>
  <si>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</si>
  <si>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</si>
  <si>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</si>
  <si>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</si>
  <si>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</si>
  <si>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</si>
  <si>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</si>
  <si>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</si>
  <si>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ADANI POWER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</si>
  <si>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</si>
  <si>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</si>
  <si>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</si>
  <si>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</si>
  <si>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</si>
  <si>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</si>
  <si>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</si>
  <si>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</si>
  <si>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</si>
  <si>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</si>
  <si>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</si>
  <si>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</si>
  <si>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</si>
  <si>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</si>
  <si>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</si>
  <si>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</si>
  <si>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</si>
  <si>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</si>
  <si>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</si>
  <si>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</si>
  <si>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</si>
  <si>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</si>
  <si>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</si>
  <si>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</si>
  <si>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</si>
  <si>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</si>
  <si>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</si>
  <si>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</si>
  <si>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</si>
  <si>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Ticker</t>
  </si>
  <si>
    <t>INR</t>
  </si>
  <si>
    <t>Period</t>
  </si>
  <si>
    <t>Year</t>
  </si>
  <si>
    <t>Growth</t>
  </si>
  <si>
    <t>Revenue</t>
  </si>
  <si>
    <t>EBITDA</t>
  </si>
  <si>
    <t>Less: Depreciation &amp; Ammortisation</t>
  </si>
  <si>
    <t>EBIT</t>
  </si>
  <si>
    <t>Less: Tax</t>
  </si>
  <si>
    <t>EBIT(1-Tax)</t>
  </si>
  <si>
    <t>Add: Depreciation &amp; Ammortisation</t>
  </si>
  <si>
    <t>NOPAT</t>
  </si>
  <si>
    <t>Less: Capex</t>
  </si>
  <si>
    <t>Less: Net Change in Working Capital</t>
  </si>
  <si>
    <t>Free Cash Flow to the Firm</t>
  </si>
  <si>
    <t>Discount Rate (r)</t>
  </si>
  <si>
    <t>PV of Free Cash Flows</t>
  </si>
  <si>
    <t>WACC</t>
  </si>
  <si>
    <t>Sum of PV of  FCFF</t>
  </si>
  <si>
    <t>Market Cap. In Cr.</t>
  </si>
  <si>
    <t>WACC =  (% Equity x Cost of Equity) + (% Debt x Cost of Debt x (1 -Tax rate))</t>
  </si>
  <si>
    <t>Cost of Equity = Risk Free Rate + (Beta x (Expected Market Return - Risk Free Rate))</t>
  </si>
  <si>
    <t>Terminal Value</t>
  </si>
  <si>
    <t>Terminal Growth Rate</t>
  </si>
  <si>
    <t>Cost of Debt</t>
  </si>
  <si>
    <t>Debt</t>
  </si>
  <si>
    <t>PV of Terminal Value</t>
  </si>
  <si>
    <t>% Debt</t>
  </si>
  <si>
    <t>Current Market Price</t>
  </si>
  <si>
    <t>Enterprise Value 1 + 2</t>
  </si>
  <si>
    <t>Tax Rate</t>
  </si>
  <si>
    <t xml:space="preserve">Enterprise Value </t>
  </si>
  <si>
    <t>Add: Cash</t>
  </si>
  <si>
    <t xml:space="preserve">Implied Share Price </t>
  </si>
  <si>
    <t>Cost of Equity</t>
  </si>
  <si>
    <t>Add: Other Non Operating Assets</t>
  </si>
  <si>
    <t>Equity</t>
  </si>
  <si>
    <t>Less: Debt</t>
  </si>
  <si>
    <t>% Equity</t>
  </si>
  <si>
    <t>Less: Minority Interest</t>
  </si>
  <si>
    <t>Risk Free Rate</t>
  </si>
  <si>
    <t>Beta</t>
  </si>
  <si>
    <t>Equity Value (DCF)</t>
  </si>
  <si>
    <t>Market Return</t>
  </si>
  <si>
    <t>No of shares</t>
  </si>
  <si>
    <t xml:space="preserve">  </t>
  </si>
  <si>
    <t>Value Per Share</t>
  </si>
  <si>
    <t>TGR</t>
  </si>
  <si>
    <t>CMP</t>
  </si>
  <si>
    <t>OV/UV By</t>
  </si>
  <si>
    <t>Change in Working Capital Calculation</t>
  </si>
  <si>
    <t>Debtors/Receivables</t>
  </si>
  <si>
    <t>-</t>
  </si>
  <si>
    <t>Payables</t>
  </si>
  <si>
    <t>(Others) +</t>
  </si>
  <si>
    <t>Change in Working Capital</t>
  </si>
  <si>
    <t>Working Capital % Sales</t>
  </si>
  <si>
    <t>Working Capital = Debtors + Inventories -  payables</t>
  </si>
  <si>
    <t>Equity Capital</t>
  </si>
  <si>
    <t>Borrowings -</t>
  </si>
  <si>
    <t>Long term Borrowings</t>
  </si>
  <si>
    <t>Short term Borrowings</t>
  </si>
  <si>
    <t>Lease Liabilities</t>
  </si>
  <si>
    <t>Preference Capital</t>
  </si>
  <si>
    <t>Other Borrowings</t>
  </si>
  <si>
    <t>Other Liabilities -</t>
  </si>
  <si>
    <t>Non controlling int</t>
  </si>
  <si>
    <t>Trade Payables</t>
  </si>
  <si>
    <t>Advance from Customers</t>
  </si>
  <si>
    <t>Other liability items</t>
  </si>
  <si>
    <t>Total Liabilities</t>
  </si>
  <si>
    <t>Fixed Assets +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</si>
  <si>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</si>
  <si>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</si>
  <si>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</si>
  <si>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</si>
  <si>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</si>
  <si>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</si>
  <si>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</si>
  <si>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Total Assets</t>
  </si>
  <si>
    <t>Cash from Operating Activity -</t>
  </si>
  <si>
    <t>Profit from operations</t>
  </si>
  <si>
    <t>Loans Advances</t>
  </si>
  <si>
    <t>Other WC items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</si>
  <si>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</si>
  <si>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</si>
  <si>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</si>
  <si>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</si>
  <si>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</si>
  <si>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</si>
  <si>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</si>
  <si>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</si>
  <si>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Investment in group cos</t>
  </si>
  <si>
    <t>Issue of shares on acq</t>
  </si>
  <si>
    <t>Redemp n Canc of Shares</t>
  </si>
  <si>
    <t>Acquisition of companies</t>
  </si>
  <si>
    <t>Other investing items</t>
  </si>
  <si>
    <t>Cash from Financing Activity +</t>
  </si>
  <si>
    <t>Free Cash Flow</t>
  </si>
  <si>
    <t>CFO/OP</t>
  </si>
  <si>
    <t>Adani Power Ltd.</t>
  </si>
  <si>
    <t>ADANIPOWER</t>
  </si>
  <si>
    <t>Intrincsic Value in 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</si>
</sst>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General&quot;A&quot;"/>
    <numFmt numFmtId="167" formatCode="General&quot;F&quot;"/>
    <numFmt numFmtId="168" formatCode="0.000%"/>
    <numFmt numFmtId="169" formatCode="_ * #,##0_ ;_ * \-#,##0_ ;_ * &quot;-&quot;??_ ;_ @_ "/>
    <numFmt numFmtId="170" formatCode="0.0000%"/>
    <numFmt numFmtId="171" formatCode="_ * #,##0.000_ ;_ * \-#,##0.000_ ;_ * &quot;-&quot;??_ ;_ @_ 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8"/>
      <color rgb="FF115E6E"/>
      <name val="Times New Roman"/>
      <family val="1"/>
    </font>
    <font>
      <sz val="18"/>
      <color theme="8" tint="-0.249977111117893"/>
      <name val="Times New Roman"/>
      <family val="1"/>
    </font>
    <font>
      <sz val="18"/>
      <color theme="1"/>
      <name val="Times New Roman"/>
      <family val="1"/>
    </font>
    <font>
      <sz val="18"/>
      <color rgb="FF616363"/>
      <name val="Times New Roman"/>
      <family val="1"/>
    </font>
    <font>
      <b/>
      <sz val="18"/>
      <color rgb="FF616363"/>
      <name val="Times New Roman"/>
      <family val="1"/>
    </font>
    <font>
      <sz val="18"/>
      <name val="Times New Roman"/>
      <family val="1"/>
    </font>
    <font>
      <sz val="18"/>
      <color theme="0"/>
      <name val="Times New Roman"/>
      <family val="1"/>
    </font>
    <font>
      <b/>
      <sz val="18"/>
      <color theme="1"/>
      <name val="Times New Roman"/>
      <family val="1"/>
    </font>
    <font>
      <b/>
      <sz val="18"/>
      <name val="Times New Roman"/>
      <family val="1"/>
    </font>
  </fonts>
  <fills count="15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AB"/>
        <bgColor indexed="64"/>
      </patternFill>
    </fill>
    <fill>
      <patternFill patternType="solid">
        <fgColor rgb="FF64C5B6"/>
        <bgColor indexed="64"/>
      </patternFill>
    </fill>
    <fill>
      <patternFill patternType="solid">
        <fgColor theme="9" tint="0.79998168889431442"/>
        <bgColor rgb="FFF2F2F2"/>
      </patternFill>
    </fill>
    <fill>
      <patternFill patternType="solid">
        <fgColor rgb="FF00DAC5"/>
        <bgColor indexed="64"/>
      </patternFill>
    </fill>
    <fill>
      <patternFill patternType="solid">
        <fgColor theme="0"/>
        <bgColor rgb="FF2A3E68"/>
      </patternFill>
    </fill>
    <fill>
      <patternFill patternType="solid">
        <fgColor theme="0"/>
        <bgColor rgb="FFD9E2F3"/>
      </patternFill>
    </fill>
    <fill>
      <patternFill patternType="solid">
        <fgColor theme="2"/>
        <bgColor indexed="64"/>
      </patternFill>
    </fill>
    <fill>
      <patternFill patternType="solid">
        <fgColor theme="4"/>
        <bgColor indexed="64"/>
      </patternFill>
    </fill>
  </fills>
  <borders count="29">
    <border>
      <left/>
      <right/>
      <top/>
      <bottom/>
      <diagonal/>
    </border>
    <border>
      <left/>
      <right/>
      <top style="double">
        <color rgb="FF115E6E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58">
    <xf numFmtId="0" fontId="0" fillId="0" borderId="0" xfId="0"/>
    <xf numFmtId="43" fontId="1" fillId="0" borderId="0" xfId="1" applyFont="1" applyBorder="1"/>
    <xf numFmtId="0" fontId="1" fillId="0" borderId="0" xfId="0" applyFont="1"/>
    <xf numFmtId="0" fontId="8" fillId="0" borderId="0" xfId="0" applyFont="1"/>
    <xf numFmtId="43" fontId="0" fillId="0" borderId="0" xfId="1" applyFont="1" applyBorder="1"/>
    <xf numFmtId="10" fontId="0" fillId="0" borderId="0" xfId="0" applyNumberFormat="1"/>
    <xf numFmtId="43" fontId="3" fillId="0" borderId="0" xfId="1" applyFont="1" applyBorder="1"/>
    <xf numFmtId="9" fontId="3" fillId="0" borderId="0" xfId="1" applyNumberFormat="1" applyFont="1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/>
    <xf numFmtId="165" fontId="2" fillId="5" borderId="0" xfId="0" applyNumberFormat="1" applyFont="1" applyFill="1" applyAlignment="1">
      <alignment horizontal="center"/>
    </xf>
    <xf numFmtId="0" fontId="2" fillId="5" borderId="0" xfId="0" applyFont="1" applyFill="1" applyAlignment="1">
      <alignment horizontal="center"/>
    </xf>
    <xf numFmtId="43" fontId="0" fillId="0" borderId="0" xfId="1" applyFont="1" applyBorder="1" applyAlignment="1">
      <alignment horizontal="center"/>
    </xf>
    <xf numFmtId="43" fontId="1" fillId="0" borderId="0" xfId="1" applyFont="1" applyBorder="1" applyAlignment="1">
      <alignment horizontal="center"/>
    </xf>
    <xf numFmtId="10" fontId="1" fillId="0" borderId="0" xfId="0" applyNumberFormat="1" applyFont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/>
    <xf numFmtId="0" fontId="0" fillId="0" borderId="0" xfId="0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9" fillId="0" borderId="0" xfId="0" applyFont="1"/>
    <xf numFmtId="164" fontId="0" fillId="0" borderId="0" xfId="1" applyNumberFormat="1" applyFont="1" applyBorder="1"/>
    <xf numFmtId="0" fontId="10" fillId="6" borderId="1" xfId="0" applyFont="1" applyFill="1" applyBorder="1"/>
    <xf numFmtId="0" fontId="11" fillId="6" borderId="1" xfId="0" applyFont="1" applyFill="1" applyBorder="1"/>
    <xf numFmtId="0" fontId="12" fillId="6" borderId="1" xfId="0" applyFont="1" applyFill="1" applyBorder="1"/>
    <xf numFmtId="0" fontId="12" fillId="0" borderId="1" xfId="0" applyFont="1" applyBorder="1"/>
    <xf numFmtId="0" fontId="11" fillId="6" borderId="0" xfId="0" applyFont="1" applyFill="1"/>
    <xf numFmtId="0" fontId="12" fillId="6" borderId="0" xfId="0" applyFont="1" applyFill="1"/>
    <xf numFmtId="0" fontId="12" fillId="0" borderId="0" xfId="0" applyFont="1"/>
    <xf numFmtId="0" fontId="10" fillId="6" borderId="0" xfId="0" applyFont="1" applyFill="1"/>
    <xf numFmtId="0" fontId="12" fillId="7" borderId="2" xfId="0" applyFont="1" applyFill="1" applyBorder="1" applyAlignment="1">
      <alignment horizontal="left" vertical="center"/>
    </xf>
    <xf numFmtId="166" fontId="12" fillId="7" borderId="3" xfId="0" applyNumberFormat="1" applyFont="1" applyFill="1" applyBorder="1" applyAlignment="1">
      <alignment horizontal="left" vertical="center"/>
    </xf>
    <xf numFmtId="166" fontId="12" fillId="7" borderId="4" xfId="0" applyNumberFormat="1" applyFont="1" applyFill="1" applyBorder="1" applyAlignment="1">
      <alignment horizontal="left" vertical="center"/>
    </xf>
    <xf numFmtId="167" fontId="12" fillId="7" borderId="3" xfId="0" applyNumberFormat="1" applyFont="1" applyFill="1" applyBorder="1" applyAlignment="1">
      <alignment horizontal="left" vertical="center"/>
    </xf>
    <xf numFmtId="167" fontId="12" fillId="7" borderId="5" xfId="0" applyNumberFormat="1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3" fillId="0" borderId="7" xfId="0" applyFont="1" applyBorder="1"/>
    <xf numFmtId="0" fontId="13" fillId="0" borderId="8" xfId="0" applyFont="1" applyBorder="1" applyAlignment="1">
      <alignment horizontal="left" vertical="center"/>
    </xf>
    <xf numFmtId="0" fontId="13" fillId="8" borderId="6" xfId="0" applyFont="1" applyFill="1" applyBorder="1" applyAlignment="1">
      <alignment horizontal="left" vertical="center"/>
    </xf>
    <xf numFmtId="9" fontId="14" fillId="8" borderId="8" xfId="0" applyNumberFormat="1" applyFont="1" applyFill="1" applyBorder="1" applyAlignment="1">
      <alignment horizontal="left" vertical="center"/>
    </xf>
    <xf numFmtId="9" fontId="12" fillId="0" borderId="0" xfId="0" applyNumberFormat="1" applyFont="1"/>
    <xf numFmtId="3" fontId="13" fillId="0" borderId="7" xfId="0" applyNumberFormat="1" applyFont="1" applyBorder="1" applyAlignment="1">
      <alignment horizontal="left" vertical="center"/>
    </xf>
    <xf numFmtId="3" fontId="13" fillId="0" borderId="8" xfId="0" applyNumberFormat="1" applyFont="1" applyBorder="1" applyAlignment="1">
      <alignment horizontal="left" vertical="center"/>
    </xf>
    <xf numFmtId="168" fontId="12" fillId="0" borderId="0" xfId="0" applyNumberFormat="1" applyFont="1"/>
    <xf numFmtId="0" fontId="13" fillId="0" borderId="9" xfId="0" applyFont="1" applyBorder="1" applyAlignment="1">
      <alignment horizontal="left" vertical="center"/>
    </xf>
    <xf numFmtId="3" fontId="13" fillId="0" borderId="10" xfId="0" applyNumberFormat="1" applyFont="1" applyBorder="1" applyAlignment="1">
      <alignment horizontal="left" vertical="center"/>
    </xf>
    <xf numFmtId="3" fontId="13" fillId="0" borderId="11" xfId="0" applyNumberFormat="1" applyFont="1" applyBorder="1" applyAlignment="1">
      <alignment horizontal="left" vertical="center"/>
    </xf>
    <xf numFmtId="3" fontId="13" fillId="0" borderId="12" xfId="0" applyNumberFormat="1" applyFont="1" applyBorder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3" fontId="14" fillId="0" borderId="7" xfId="0" applyNumberFormat="1" applyFont="1" applyBorder="1" applyAlignment="1">
      <alignment horizontal="left" vertical="center"/>
    </xf>
    <xf numFmtId="3" fontId="14" fillId="0" borderId="8" xfId="0" applyNumberFormat="1" applyFont="1" applyBorder="1" applyAlignment="1">
      <alignment horizontal="left" vertical="center"/>
    </xf>
    <xf numFmtId="0" fontId="13" fillId="6" borderId="6" xfId="0" applyFont="1" applyFill="1" applyBorder="1" applyAlignment="1">
      <alignment horizontal="left" vertical="center"/>
    </xf>
    <xf numFmtId="3" fontId="14" fillId="8" borderId="7" xfId="0" applyNumberFormat="1" applyFont="1" applyFill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3" fontId="13" fillId="0" borderId="14" xfId="0" applyNumberFormat="1" applyFont="1" applyBorder="1" applyAlignment="1">
      <alignment horizontal="left" vertical="center"/>
    </xf>
    <xf numFmtId="3" fontId="13" fillId="0" borderId="15" xfId="0" applyNumberFormat="1" applyFont="1" applyBorder="1" applyAlignment="1">
      <alignment horizontal="left" vertical="center"/>
    </xf>
    <xf numFmtId="3" fontId="13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2" fillId="7" borderId="2" xfId="0" applyFont="1" applyFill="1" applyBorder="1" applyAlignment="1">
      <alignment horizontal="centerContinuous"/>
    </xf>
    <xf numFmtId="0" fontId="12" fillId="7" borderId="3" xfId="0" applyFont="1" applyFill="1" applyBorder="1" applyAlignment="1">
      <alignment horizontal="centerContinuous"/>
    </xf>
    <xf numFmtId="0" fontId="12" fillId="7" borderId="5" xfId="0" applyFont="1" applyFill="1" applyBorder="1" applyAlignment="1">
      <alignment horizontal="centerContinuous"/>
    </xf>
    <xf numFmtId="0" fontId="12" fillId="0" borderId="17" xfId="0" applyFont="1" applyBorder="1"/>
    <xf numFmtId="3" fontId="12" fillId="9" borderId="18" xfId="0" applyNumberFormat="1" applyFont="1" applyFill="1" applyBorder="1" applyAlignment="1">
      <alignment horizontal="right"/>
    </xf>
    <xf numFmtId="0" fontId="12" fillId="10" borderId="0" xfId="0" applyFont="1" applyFill="1" applyAlignment="1">
      <alignment horizontal="centerContinuous"/>
    </xf>
    <xf numFmtId="0" fontId="14" fillId="0" borderId="6" xfId="0" applyFont="1" applyBorder="1" applyAlignment="1">
      <alignment horizontal="centerContinuous" wrapText="1"/>
    </xf>
    <xf numFmtId="0" fontId="12" fillId="0" borderId="0" xfId="0" applyFont="1" applyAlignment="1">
      <alignment horizontal="centerContinuous"/>
    </xf>
    <xf numFmtId="0" fontId="12" fillId="0" borderId="8" xfId="0" applyFont="1" applyBorder="1" applyAlignment="1">
      <alignment horizontal="centerContinuous"/>
    </xf>
    <xf numFmtId="3" fontId="12" fillId="10" borderId="0" xfId="0" applyNumberFormat="1" applyFont="1" applyFill="1" applyAlignment="1">
      <alignment horizontal="centerContinuous"/>
    </xf>
    <xf numFmtId="0" fontId="14" fillId="0" borderId="6" xfId="0" applyFont="1" applyBorder="1"/>
    <xf numFmtId="0" fontId="12" fillId="0" borderId="0" xfId="0" applyFont="1" applyAlignment="1">
      <alignment horizontal="center"/>
    </xf>
    <xf numFmtId="0" fontId="12" fillId="0" borderId="8" xfId="0" applyFont="1" applyBorder="1" applyAlignment="1">
      <alignment horizontal="center"/>
    </xf>
    <xf numFmtId="0" fontId="13" fillId="0" borderId="6" xfId="0" applyFont="1" applyBorder="1"/>
    <xf numFmtId="9" fontId="12" fillId="0" borderId="8" xfId="0" applyNumberFormat="1" applyFont="1" applyBorder="1"/>
    <xf numFmtId="0" fontId="12" fillId="7" borderId="0" xfId="0" applyFont="1" applyFill="1" applyAlignment="1">
      <alignment horizontal="centerContinuous"/>
    </xf>
    <xf numFmtId="0" fontId="12" fillId="0" borderId="8" xfId="0" applyFont="1" applyBorder="1"/>
    <xf numFmtId="3" fontId="12" fillId="0" borderId="8" xfId="0" applyNumberFormat="1" applyFont="1" applyBorder="1"/>
    <xf numFmtId="3" fontId="12" fillId="7" borderId="0" xfId="0" applyNumberFormat="1" applyFont="1" applyFill="1" applyAlignment="1">
      <alignment horizontal="centerContinuous"/>
    </xf>
    <xf numFmtId="169" fontId="15" fillId="9" borderId="19" xfId="0" applyNumberFormat="1" applyFont="1" applyFill="1" applyBorder="1" applyAlignment="1">
      <alignment horizontal="right"/>
    </xf>
    <xf numFmtId="0" fontId="13" fillId="0" borderId="20" xfId="0" applyFont="1" applyBorder="1"/>
    <xf numFmtId="3" fontId="12" fillId="0" borderId="21" xfId="0" applyNumberFormat="1" applyFont="1" applyBorder="1"/>
    <xf numFmtId="9" fontId="15" fillId="9" borderId="19" xfId="0" applyNumberFormat="1" applyFont="1" applyFill="1" applyBorder="1" applyAlignment="1">
      <alignment horizontal="right"/>
    </xf>
    <xf numFmtId="0" fontId="12" fillId="7" borderId="2" xfId="0" applyFont="1" applyFill="1" applyBorder="1"/>
    <xf numFmtId="0" fontId="12" fillId="7" borderId="5" xfId="0" applyFont="1" applyFill="1" applyBorder="1"/>
    <xf numFmtId="4" fontId="12" fillId="10" borderId="0" xfId="0" applyNumberFormat="1" applyFont="1" applyFill="1" applyAlignment="1">
      <alignment horizontal="centerContinuous"/>
    </xf>
    <xf numFmtId="10" fontId="15" fillId="9" borderId="19" xfId="0" applyNumberFormat="1" applyFont="1" applyFill="1" applyBorder="1" applyAlignment="1">
      <alignment horizontal="right"/>
    </xf>
    <xf numFmtId="169" fontId="12" fillId="0" borderId="8" xfId="0" applyNumberFormat="1" applyFont="1" applyBorder="1"/>
    <xf numFmtId="10" fontId="12" fillId="0" borderId="8" xfId="0" applyNumberFormat="1" applyFont="1" applyBorder="1"/>
    <xf numFmtId="0" fontId="13" fillId="0" borderId="6" xfId="0" applyFont="1" applyBorder="1" applyAlignment="1">
      <alignment wrapText="1"/>
    </xf>
    <xf numFmtId="4" fontId="12" fillId="7" borderId="0" xfId="0" applyNumberFormat="1" applyFont="1" applyFill="1" applyAlignment="1">
      <alignment horizontal="centerContinuous"/>
    </xf>
    <xf numFmtId="0" fontId="13" fillId="0" borderId="20" xfId="0" applyFont="1" applyBorder="1" applyAlignment="1">
      <alignment wrapText="1"/>
    </xf>
    <xf numFmtId="0" fontId="12" fillId="11" borderId="0" xfId="0" applyFont="1" applyFill="1" applyAlignment="1">
      <alignment horizontal="centerContinuous"/>
    </xf>
    <xf numFmtId="0" fontId="12" fillId="6" borderId="0" xfId="0" applyFont="1" applyFill="1" applyAlignment="1">
      <alignment horizontal="centerContinuous"/>
    </xf>
    <xf numFmtId="1" fontId="16" fillId="6" borderId="0" xfId="0" applyNumberFormat="1" applyFont="1" applyFill="1"/>
    <xf numFmtId="10" fontId="12" fillId="12" borderId="22" xfId="0" applyNumberFormat="1" applyFont="1" applyFill="1" applyBorder="1"/>
    <xf numFmtId="10" fontId="12" fillId="12" borderId="23" xfId="0" applyNumberFormat="1" applyFont="1" applyFill="1" applyBorder="1"/>
    <xf numFmtId="0" fontId="15" fillId="9" borderId="19" xfId="0" applyFont="1" applyFill="1" applyBorder="1" applyAlignment="1">
      <alignment horizontal="right"/>
    </xf>
    <xf numFmtId="169" fontId="12" fillId="7" borderId="5" xfId="0" applyNumberFormat="1" applyFont="1" applyFill="1" applyBorder="1"/>
    <xf numFmtId="0" fontId="12" fillId="11" borderId="0" xfId="0" applyFont="1" applyFill="1" applyAlignment="1">
      <alignment horizontal="centerContinuous" vertical="center"/>
    </xf>
    <xf numFmtId="10" fontId="12" fillId="12" borderId="24" xfId="0" applyNumberFormat="1" applyFont="1" applyFill="1" applyBorder="1"/>
    <xf numFmtId="2" fontId="12" fillId="6" borderId="0" xfId="0" applyNumberFormat="1" applyFont="1" applyFill="1"/>
    <xf numFmtId="43" fontId="12" fillId="0" borderId="8" xfId="0" applyNumberFormat="1" applyFont="1" applyBorder="1"/>
    <xf numFmtId="10" fontId="12" fillId="12" borderId="25" xfId="0" applyNumberFormat="1" applyFont="1" applyFill="1" applyBorder="1"/>
    <xf numFmtId="2" fontId="17" fillId="0" borderId="8" xfId="0" applyNumberFormat="1" applyFont="1" applyBorder="1"/>
    <xf numFmtId="0" fontId="12" fillId="6" borderId="0" xfId="0" applyFont="1" applyFill="1" applyAlignment="1">
      <alignment horizontal="centerContinuous" wrapText="1"/>
    </xf>
    <xf numFmtId="0" fontId="12" fillId="0" borderId="26" xfId="0" applyFont="1" applyBorder="1"/>
    <xf numFmtId="10" fontId="18" fillId="9" borderId="27" xfId="0" applyNumberFormat="1" applyFont="1" applyFill="1" applyBorder="1" applyAlignment="1">
      <alignment horizontal="right"/>
    </xf>
    <xf numFmtId="9" fontId="12" fillId="0" borderId="21" xfId="0" applyNumberFormat="1" applyFont="1" applyBorder="1"/>
    <xf numFmtId="0" fontId="12" fillId="7" borderId="3" xfId="0" applyFont="1" applyFill="1" applyBorder="1"/>
    <xf numFmtId="0" fontId="12" fillId="7" borderId="4" xfId="0" applyFont="1" applyFill="1" applyBorder="1"/>
    <xf numFmtId="169" fontId="13" fillId="0" borderId="7" xfId="0" applyNumberFormat="1" applyFont="1" applyBorder="1" applyAlignment="1">
      <alignment horizontal="left" vertical="center"/>
    </xf>
    <xf numFmtId="0" fontId="13" fillId="0" borderId="8" xfId="0" applyFont="1" applyBorder="1" applyAlignment="1">
      <alignment horizontal="left"/>
    </xf>
    <xf numFmtId="169" fontId="13" fillId="0" borderId="11" xfId="0" applyNumberFormat="1" applyFont="1" applyBorder="1" applyAlignment="1">
      <alignment horizontal="left" vertical="center"/>
    </xf>
    <xf numFmtId="0" fontId="14" fillId="0" borderId="13" xfId="0" applyFont="1" applyBorder="1"/>
    <xf numFmtId="169" fontId="13" fillId="0" borderId="14" xfId="0" applyNumberFormat="1" applyFont="1" applyBorder="1" applyAlignment="1">
      <alignment horizontal="left"/>
    </xf>
    <xf numFmtId="169" fontId="13" fillId="0" borderId="15" xfId="0" applyNumberFormat="1" applyFont="1" applyBorder="1" applyAlignment="1">
      <alignment horizontal="left"/>
    </xf>
    <xf numFmtId="1" fontId="13" fillId="0" borderId="14" xfId="0" applyNumberFormat="1" applyFont="1" applyBorder="1" applyAlignment="1">
      <alignment horizontal="left"/>
    </xf>
    <xf numFmtId="1" fontId="13" fillId="0" borderId="16" xfId="0" applyNumberFormat="1" applyFont="1" applyBorder="1" applyAlignment="1">
      <alignment horizontal="left"/>
    </xf>
    <xf numFmtId="169" fontId="13" fillId="0" borderId="7" xfId="0" applyNumberFormat="1" applyFont="1" applyBorder="1" applyAlignment="1">
      <alignment horizontal="left"/>
    </xf>
    <xf numFmtId="1" fontId="13" fillId="0" borderId="8" xfId="0" applyNumberFormat="1" applyFont="1" applyBorder="1" applyAlignment="1">
      <alignment horizontal="left"/>
    </xf>
    <xf numFmtId="9" fontId="13" fillId="0" borderId="7" xfId="0" applyNumberFormat="1" applyFont="1" applyBorder="1" applyAlignment="1">
      <alignment horizontal="left"/>
    </xf>
    <xf numFmtId="9" fontId="13" fillId="0" borderId="8" xfId="0" applyNumberFormat="1" applyFont="1" applyBorder="1" applyAlignment="1">
      <alignment horizontal="left"/>
    </xf>
    <xf numFmtId="0" fontId="12" fillId="0" borderId="6" xfId="0" applyFont="1" applyBorder="1"/>
    <xf numFmtId="0" fontId="12" fillId="0" borderId="7" xfId="0" applyFont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17" fontId="0" fillId="0" borderId="0" xfId="0" applyNumberFormat="1"/>
    <xf numFmtId="3" fontId="0" fillId="0" borderId="0" xfId="0" applyNumberFormat="1"/>
    <xf numFmtId="3" fontId="1" fillId="0" borderId="0" xfId="0" applyNumberFormat="1" applyFont="1"/>
    <xf numFmtId="17" fontId="1" fillId="0" borderId="0" xfId="0" applyNumberFormat="1" applyFont="1"/>
    <xf numFmtId="9" fontId="0" fillId="0" borderId="0" xfId="0" applyNumberFormat="1"/>
    <xf numFmtId="169" fontId="0" fillId="0" borderId="0" xfId="0" applyNumberFormat="1"/>
    <xf numFmtId="168" fontId="0" fillId="0" borderId="0" xfId="0" applyNumberFormat="1"/>
    <xf numFmtId="170" fontId="0" fillId="0" borderId="0" xfId="0" applyNumberFormat="1"/>
    <xf numFmtId="0" fontId="13" fillId="0" borderId="0" xfId="0" applyFont="1"/>
    <xf numFmtId="0" fontId="13" fillId="0" borderId="0" xfId="0" applyFont="1" applyAlignment="1">
      <alignment horizontal="left" vertical="center"/>
    </xf>
    <xf numFmtId="0" fontId="14" fillId="8" borderId="0" xfId="0" applyFont="1" applyFill="1" applyAlignment="1">
      <alignment horizontal="left" vertical="center"/>
    </xf>
    <xf numFmtId="9" fontId="14" fillId="8" borderId="0" xfId="0" applyNumberFormat="1" applyFont="1" applyFill="1" applyAlignment="1">
      <alignment horizontal="left" vertical="center"/>
    </xf>
    <xf numFmtId="3" fontId="13" fillId="0" borderId="0" xfId="0" applyNumberFormat="1" applyFont="1" applyAlignment="1">
      <alignment horizontal="left" vertical="center"/>
    </xf>
    <xf numFmtId="3" fontId="14" fillId="0" borderId="0" xfId="0" applyNumberFormat="1" applyFont="1" applyAlignment="1">
      <alignment horizontal="left" vertical="center"/>
    </xf>
    <xf numFmtId="3" fontId="14" fillId="8" borderId="0" xfId="0" applyNumberFormat="1" applyFont="1" applyFill="1" applyAlignment="1">
      <alignment horizontal="left" vertical="center"/>
    </xf>
    <xf numFmtId="169" fontId="13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left"/>
    </xf>
    <xf numFmtId="43" fontId="13" fillId="0" borderId="0" xfId="0" applyNumberFormat="1" applyFont="1" applyAlignment="1">
      <alignment horizontal="left"/>
    </xf>
    <xf numFmtId="169" fontId="13" fillId="0" borderId="0" xfId="0" applyNumberFormat="1" applyFont="1" applyAlignment="1">
      <alignment horizontal="left"/>
    </xf>
    <xf numFmtId="1" fontId="13" fillId="0" borderId="0" xfId="0" applyNumberFormat="1" applyFont="1" applyAlignment="1">
      <alignment horizontal="left"/>
    </xf>
    <xf numFmtId="9" fontId="13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  <xf numFmtId="171" fontId="3" fillId="0" borderId="0" xfId="1" applyNumberFormat="1" applyFont="1" applyBorder="1"/>
    <xf numFmtId="169" fontId="12" fillId="0" borderId="21" xfId="0" applyNumberFormat="1" applyFont="1" applyBorder="1"/>
    <xf numFmtId="2" fontId="12" fillId="13" borderId="0" xfId="0" applyNumberFormat="1" applyFont="1" applyFill="1"/>
    <xf numFmtId="2" fontId="12" fillId="14" borderId="0" xfId="0" applyNumberFormat="1" applyFont="1" applyFill="1"/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772159</xdr:colOff>
      <xdr:row>2</xdr:row>
      <xdr:rowOff>101600</xdr:rowOff>
    </xdr:from>
    <xdr:to>
      <xdr:col>16</xdr:col>
      <xdr:colOff>218983</xdr:colOff>
      <xdr:row>5</xdr:row>
      <xdr:rowOff>142240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618FB9-B42A-906A-DEF5-BB57DE9E04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407" t="35844" r="25541" b="34156"/>
        <a:stretch>
          <a:fillRect/>
        </a:stretch>
      </xdr:blipFill>
      <xdr:spPr>
        <a:xfrm>
          <a:off x="18135599" y="589280"/>
          <a:ext cx="2665615" cy="92456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DB7EF-13CD-4148-AC51-2BE9FD71B327}">
  <sheetPr>
    <pageSetUpPr fitToPage="1"/>
  </sheetPr>
  <dimension ref="B1:S59"/>
  <sheetViews>
    <sheetView showGridLines="0" tabSelected="1" topLeftCell="A27" zoomScale="63" zoomScaleNormal="100" workbookViewId="0">
      <selection activeCell="L16" sqref="L16"/>
    </sheetView>
  </sheetViews>
  <sheetFormatPr defaultRowHeight="14.4" x14ac:dyDescent="0.3"/>
  <cols>
    <col min="2" max="2" width="73.109375" bestFit="1" customWidth="1"/>
    <col min="3" max="3" width="25.6640625" bestFit="1" customWidth="1"/>
    <col min="4" max="4" width="14.88671875" bestFit="1" customWidth="1"/>
    <col min="5" max="5" width="12.21875" bestFit="1" customWidth="1"/>
    <col min="6" max="6" width="47.77734375" bestFit="1" customWidth="1"/>
    <col min="7" max="7" width="13" bestFit="1" customWidth="1"/>
    <col min="8" max="9" width="11.21875" bestFit="1" customWidth="1"/>
    <col min="10" max="10" width="11.5546875" bestFit="1" customWidth="1"/>
    <col min="11" max="11" width="13" bestFit="1" customWidth="1"/>
    <col min="12" max="16" width="11.5546875" bestFit="1" customWidth="1"/>
    <col min="17" max="17" width="13.33203125" bestFit="1" customWidth="1"/>
    <col min="18" max="18" width="12.44140625" bestFit="1" customWidth="1"/>
  </cols>
  <sheetData>
    <row r="1" spans="2:19" ht="15" thickBot="1" x14ac:dyDescent="0.35"/>
    <row r="2" spans="2:19" ht="23.4" thickTop="1" x14ac:dyDescent="0.4">
      <c r="B2" s="25" t="s">
        <v>194</v>
      </c>
      <c r="C2" s="26"/>
      <c r="D2" s="27"/>
      <c r="E2" s="27"/>
      <c r="F2" s="27"/>
      <c r="G2" s="27"/>
      <c r="H2" s="27"/>
      <c r="I2" s="27"/>
      <c r="J2" s="28"/>
      <c r="K2" s="28"/>
      <c r="L2" s="28"/>
      <c r="M2" s="28"/>
      <c r="N2" s="28"/>
      <c r="O2" s="28"/>
      <c r="P2" s="28"/>
    </row>
    <row r="3" spans="2:19" ht="22.8" x14ac:dyDescent="0.4">
      <c r="B3" s="29"/>
      <c r="C3" s="29"/>
      <c r="D3" s="30"/>
      <c r="E3" s="30"/>
      <c r="F3" s="30"/>
      <c r="G3" s="30"/>
      <c r="H3" s="30"/>
      <c r="I3" s="30"/>
      <c r="J3" s="31"/>
      <c r="K3" s="31"/>
      <c r="L3" s="31"/>
      <c r="M3" s="31"/>
      <c r="N3" s="31"/>
      <c r="O3" s="31"/>
      <c r="P3" s="31"/>
    </row>
    <row r="4" spans="2:19" ht="22.8" x14ac:dyDescent="0.4">
      <c r="B4" s="32" t="s">
        <v>93</v>
      </c>
      <c r="C4" s="32" t="s">
        <v>195</v>
      </c>
      <c r="D4" s="30"/>
      <c r="E4" s="30"/>
      <c r="F4" s="30"/>
      <c r="G4" s="30"/>
      <c r="H4" s="30"/>
      <c r="I4" s="30"/>
      <c r="J4" s="31"/>
      <c r="K4" s="31"/>
      <c r="L4" s="31"/>
      <c r="M4" s="31"/>
      <c r="N4" s="31"/>
      <c r="O4" s="31"/>
      <c r="P4" s="31"/>
    </row>
    <row r="5" spans="2:19" ht="22.8" x14ac:dyDescent="0.4">
      <c r="B5" s="29"/>
      <c r="C5" s="29"/>
      <c r="D5" s="30"/>
      <c r="E5" s="30"/>
      <c r="F5" s="30"/>
      <c r="G5" s="30"/>
      <c r="H5" s="30"/>
      <c r="I5" s="30"/>
      <c r="J5" s="31"/>
      <c r="K5" s="31"/>
      <c r="L5" s="31"/>
      <c r="M5" s="31"/>
      <c r="N5" s="31"/>
      <c r="O5" s="31"/>
      <c r="P5" s="31"/>
    </row>
    <row r="6" spans="2:19" ht="22.8" x14ac:dyDescent="0.4">
      <c r="B6" s="32" t="s">
        <v>94</v>
      </c>
      <c r="C6" s="32">
        <v>231</v>
      </c>
      <c r="D6" s="30"/>
      <c r="E6" s="30"/>
      <c r="F6" s="30"/>
      <c r="G6" s="30"/>
      <c r="H6" s="30"/>
      <c r="I6" s="30"/>
      <c r="J6" s="31"/>
      <c r="K6" s="31"/>
      <c r="L6" s="31"/>
      <c r="M6" s="31"/>
      <c r="N6" s="31"/>
      <c r="O6" s="31"/>
      <c r="P6" s="31"/>
    </row>
    <row r="7" spans="2:19" ht="23.4" thickBot="1" x14ac:dyDescent="0.45"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</row>
    <row r="8" spans="2:19" ht="24" thickTop="1" thickBot="1" x14ac:dyDescent="0.45"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</row>
    <row r="9" spans="2:19" ht="22.8" x14ac:dyDescent="0.4">
      <c r="B9" s="33" t="s">
        <v>95</v>
      </c>
      <c r="C9" s="34">
        <v>2023</v>
      </c>
      <c r="D9" s="34">
        <f>C9+1</f>
        <v>2024</v>
      </c>
      <c r="E9" s="34">
        <f t="shared" ref="E9:K10" si="0">D9+1</f>
        <v>2025</v>
      </c>
      <c r="F9" s="35">
        <f t="shared" si="0"/>
        <v>2026</v>
      </c>
      <c r="G9" s="36">
        <f t="shared" si="0"/>
        <v>2027</v>
      </c>
      <c r="H9" s="36">
        <f t="shared" si="0"/>
        <v>2028</v>
      </c>
      <c r="I9" s="36">
        <f t="shared" si="0"/>
        <v>2029</v>
      </c>
      <c r="J9" s="36">
        <f t="shared" si="0"/>
        <v>2030</v>
      </c>
      <c r="K9" s="37">
        <f t="shared" si="0"/>
        <v>2031</v>
      </c>
      <c r="M9" s="31"/>
      <c r="N9" s="31"/>
      <c r="O9" s="31"/>
      <c r="P9" s="31"/>
    </row>
    <row r="10" spans="2:19" ht="22.8" x14ac:dyDescent="0.4">
      <c r="B10" s="38" t="s">
        <v>96</v>
      </c>
      <c r="C10" s="138"/>
      <c r="D10" s="138"/>
      <c r="E10" s="138"/>
      <c r="F10" s="39"/>
      <c r="G10" s="139">
        <v>1</v>
      </c>
      <c r="H10" s="139">
        <f>G10+1</f>
        <v>2</v>
      </c>
      <c r="I10" s="139">
        <f t="shared" si="0"/>
        <v>3</v>
      </c>
      <c r="J10" s="139">
        <f t="shared" si="0"/>
        <v>4</v>
      </c>
      <c r="K10" s="40">
        <f t="shared" si="0"/>
        <v>5</v>
      </c>
      <c r="M10" s="31"/>
      <c r="N10" s="31"/>
      <c r="O10" s="31"/>
      <c r="P10" s="31"/>
    </row>
    <row r="11" spans="2:19" ht="22.8" x14ac:dyDescent="0.4">
      <c r="B11" s="41" t="s">
        <v>97</v>
      </c>
      <c r="C11" s="140"/>
      <c r="D11" s="141">
        <f>D12/C12-1</f>
        <v>0.29860625739877689</v>
      </c>
      <c r="E11" s="141">
        <f t="shared" ref="E11:F11" si="1">E12/D12-1</f>
        <v>0.1162203520270102</v>
      </c>
      <c r="F11" s="141">
        <f t="shared" si="1"/>
        <v>-3.4919254439569114E-2</v>
      </c>
      <c r="G11" s="141">
        <f>AVERAGE($D$11:$F$11)</f>
        <v>0.12663578499540598</v>
      </c>
      <c r="H11" s="141">
        <f>G11*(1+0.12)</f>
        <v>0.14183207919485472</v>
      </c>
      <c r="I11" s="141">
        <f>H11*(1-0.05)</f>
        <v>0.13474047523511198</v>
      </c>
      <c r="J11" s="141">
        <f>I11*(1+0.05)</f>
        <v>0.1414774989968676</v>
      </c>
      <c r="K11" s="42">
        <f t="shared" ref="K11" si="2">J11*(1+0.05)</f>
        <v>0.14855137394671097</v>
      </c>
      <c r="M11" s="31"/>
      <c r="N11" s="43"/>
      <c r="O11" s="31"/>
      <c r="P11" s="31"/>
    </row>
    <row r="12" spans="2:19" ht="22.8" x14ac:dyDescent="0.4">
      <c r="B12" s="38" t="s">
        <v>98</v>
      </c>
      <c r="C12" s="142">
        <f>'Profit &amp; Loss'!H4</f>
        <v>38773.300000000003</v>
      </c>
      <c r="D12" s="142">
        <f>'Profit &amp; Loss'!I4</f>
        <v>50351.25</v>
      </c>
      <c r="E12" s="142">
        <f>'Profit &amp; Loss'!J4</f>
        <v>56203.09</v>
      </c>
      <c r="F12" s="44">
        <f>'Profit &amp; Loss'!K4</f>
        <v>54240.52</v>
      </c>
      <c r="G12" s="142">
        <f>F12*(1+G11)</f>
        <v>61109.310828759022</v>
      </c>
      <c r="H12" s="142">
        <f t="shared" ref="H12:K12" si="3">G12*(1+H11)</f>
        <v>69776.571441766559</v>
      </c>
      <c r="I12" s="142">
        <f t="shared" si="3"/>
        <v>79178.299838106934</v>
      </c>
      <c r="J12" s="142">
        <f t="shared" si="3"/>
        <v>90380.247674026396</v>
      </c>
      <c r="K12" s="45">
        <f t="shared" si="3"/>
        <v>103806.35764364705</v>
      </c>
      <c r="M12" s="31"/>
      <c r="N12" s="31"/>
      <c r="O12" s="31"/>
      <c r="P12" s="31"/>
    </row>
    <row r="13" spans="2:19" ht="22.8" x14ac:dyDescent="0.4">
      <c r="B13" s="38" t="s">
        <v>99</v>
      </c>
      <c r="C13" s="142">
        <f>'Profit &amp; Loss'!H6+'Profit &amp; Loss'!H8</f>
        <v>13400.020000000004</v>
      </c>
      <c r="D13" s="142">
        <f>'Profit &amp; Loss'!I6+'Profit &amp; Loss'!I8</f>
        <v>22158.950000000004</v>
      </c>
      <c r="E13" s="142">
        <f>'Profit &amp; Loss'!J6+'Profit &amp; Loss'!J8</f>
        <v>25727.209999999995</v>
      </c>
      <c r="F13" s="44">
        <f>'Profit &amp; Loss'!K6+'Profit &amp; Loss'!K8</f>
        <v>24370.639999999992</v>
      </c>
      <c r="G13" s="142">
        <f>G12*0.44905</f>
        <v>27441.13602765424</v>
      </c>
      <c r="H13" s="142">
        <f t="shared" ref="H13:K13" si="4">H12*0.44905</f>
        <v>31333.169405925273</v>
      </c>
      <c r="I13" s="142">
        <f t="shared" si="4"/>
        <v>35555.015542301917</v>
      </c>
      <c r="J13" s="142">
        <f t="shared" si="4"/>
        <v>40585.250218021552</v>
      </c>
      <c r="K13" s="45">
        <f t="shared" si="4"/>
        <v>46614.244899879704</v>
      </c>
      <c r="M13" s="31"/>
      <c r="N13" s="46"/>
      <c r="O13" s="46"/>
      <c r="P13" s="46"/>
      <c r="Q13" s="46"/>
      <c r="R13" s="136"/>
      <c r="S13" s="136"/>
    </row>
    <row r="14" spans="2:19" ht="22.8" x14ac:dyDescent="0.4">
      <c r="B14" s="47" t="s">
        <v>100</v>
      </c>
      <c r="C14" s="48">
        <f>'Profit &amp; Loss'!H8</f>
        <v>3303.68</v>
      </c>
      <c r="D14" s="48">
        <f>'Profit &amp; Loss'!I8</f>
        <v>3931.33</v>
      </c>
      <c r="E14" s="48">
        <f>'Profit &amp; Loss'!J8</f>
        <v>4308.88</v>
      </c>
      <c r="F14" s="49">
        <f>'Profit &amp; Loss'!K8</f>
        <v>4564.53</v>
      </c>
      <c r="G14" s="48">
        <f>G12*0.079633</f>
        <v>4866.3177492265668</v>
      </c>
      <c r="H14" s="48">
        <f t="shared" ref="H14:K14" si="5">H12*0.079633</f>
        <v>5556.5177136221964</v>
      </c>
      <c r="I14" s="48">
        <f t="shared" si="5"/>
        <v>6305.205551007969</v>
      </c>
      <c r="J14" s="48">
        <f t="shared" si="5"/>
        <v>7197.2502630257432</v>
      </c>
      <c r="K14" s="50">
        <f t="shared" si="5"/>
        <v>8266.4116782365454</v>
      </c>
      <c r="M14" s="31"/>
      <c r="N14" s="43"/>
      <c r="O14" s="43"/>
      <c r="P14" s="43"/>
      <c r="R14" s="137"/>
    </row>
    <row r="15" spans="2:19" ht="22.8" x14ac:dyDescent="0.4">
      <c r="B15" s="51" t="s">
        <v>101</v>
      </c>
      <c r="C15" s="143">
        <f>C13-C14</f>
        <v>10096.340000000004</v>
      </c>
      <c r="D15" s="143">
        <f t="shared" ref="D15:F15" si="6">D13-D14</f>
        <v>18227.620000000003</v>
      </c>
      <c r="E15" s="143">
        <f t="shared" si="6"/>
        <v>21418.329999999994</v>
      </c>
      <c r="F15" s="52">
        <f t="shared" si="6"/>
        <v>19806.109999999993</v>
      </c>
      <c r="G15" s="143">
        <f>G12*0.36942</f>
        <v>22575.001606360158</v>
      </c>
      <c r="H15" s="143">
        <f t="shared" ref="H15:K15" si="7">H12*0.36942</f>
        <v>25776.861022017405</v>
      </c>
      <c r="I15" s="143">
        <f t="shared" si="7"/>
        <v>29250.047526193466</v>
      </c>
      <c r="J15" s="143">
        <f t="shared" si="7"/>
        <v>33388.271095738834</v>
      </c>
      <c r="K15" s="53">
        <f t="shared" si="7"/>
        <v>38348.144640716091</v>
      </c>
      <c r="M15" s="31"/>
      <c r="N15" s="31"/>
      <c r="O15" s="31"/>
      <c r="P15" s="31"/>
    </row>
    <row r="16" spans="2:19" ht="22.8" x14ac:dyDescent="0.4">
      <c r="B16" s="47" t="s">
        <v>102</v>
      </c>
      <c r="C16" s="48">
        <f>'Profit &amp; Loss'!H11</f>
        <v>-3051.94</v>
      </c>
      <c r="D16" s="48">
        <f>'Profit &amp; Loss'!I11</f>
        <v>-37.28</v>
      </c>
      <c r="E16" s="48">
        <f>'Profit &amp; Loss'!J11</f>
        <v>3609.9</v>
      </c>
      <c r="F16" s="49">
        <f>'Profit &amp; Loss'!K11</f>
        <v>2528.4299999999998</v>
      </c>
      <c r="G16" s="48">
        <f t="shared" ref="G16:K16" si="8">G15*$D$34</f>
        <v>4515.0003212720321</v>
      </c>
      <c r="H16" s="48">
        <f t="shared" si="8"/>
        <v>5155.3722044034812</v>
      </c>
      <c r="I16" s="48">
        <f t="shared" si="8"/>
        <v>5850.0095052386932</v>
      </c>
      <c r="J16" s="48">
        <f t="shared" si="8"/>
        <v>6677.6542191477674</v>
      </c>
      <c r="K16" s="50">
        <f t="shared" si="8"/>
        <v>7669.6289281432182</v>
      </c>
      <c r="M16" s="31"/>
      <c r="N16" s="31"/>
      <c r="O16" s="31"/>
      <c r="P16" s="31"/>
    </row>
    <row r="17" spans="2:16" ht="22.8" x14ac:dyDescent="0.4">
      <c r="B17" s="54" t="s">
        <v>103</v>
      </c>
      <c r="C17" s="142">
        <f>C15-C16</f>
        <v>13148.280000000004</v>
      </c>
      <c r="D17" s="142">
        <f t="shared" ref="D17:F17" si="9">D15-D16</f>
        <v>18264.900000000001</v>
      </c>
      <c r="E17" s="142">
        <f t="shared" si="9"/>
        <v>17808.429999999993</v>
      </c>
      <c r="F17" s="44">
        <f t="shared" si="9"/>
        <v>17277.679999999993</v>
      </c>
      <c r="G17" s="142">
        <f>G15-G16</f>
        <v>18060.001285088125</v>
      </c>
      <c r="H17" s="142">
        <f t="shared" ref="H17:K17" si="10">H15-H16</f>
        <v>20621.488817613925</v>
      </c>
      <c r="I17" s="142">
        <f t="shared" si="10"/>
        <v>23400.038020954773</v>
      </c>
      <c r="J17" s="142">
        <f t="shared" si="10"/>
        <v>26710.616876591066</v>
      </c>
      <c r="K17" s="45">
        <f t="shared" si="10"/>
        <v>30678.515712572873</v>
      </c>
      <c r="M17" s="31"/>
      <c r="N17" s="31"/>
      <c r="O17" s="31"/>
      <c r="P17" s="31"/>
    </row>
    <row r="18" spans="2:16" ht="22.8" x14ac:dyDescent="0.4">
      <c r="B18" s="47" t="s">
        <v>104</v>
      </c>
      <c r="C18" s="48">
        <f t="shared" ref="C18:K18" si="11">C14</f>
        <v>3303.68</v>
      </c>
      <c r="D18" s="48">
        <f t="shared" ref="D18:F18" si="12">D14</f>
        <v>3931.33</v>
      </c>
      <c r="E18" s="48">
        <f t="shared" si="12"/>
        <v>4308.88</v>
      </c>
      <c r="F18" s="49">
        <f t="shared" si="12"/>
        <v>4564.53</v>
      </c>
      <c r="G18" s="48">
        <f t="shared" si="11"/>
        <v>4866.3177492265668</v>
      </c>
      <c r="H18" s="48">
        <f t="shared" si="11"/>
        <v>5556.5177136221964</v>
      </c>
      <c r="I18" s="48">
        <f t="shared" si="11"/>
        <v>6305.205551007969</v>
      </c>
      <c r="J18" s="48">
        <f t="shared" si="11"/>
        <v>7197.2502630257432</v>
      </c>
      <c r="K18" s="50">
        <f t="shared" si="11"/>
        <v>8266.4116782365454</v>
      </c>
      <c r="M18" s="31"/>
      <c r="N18" s="31"/>
      <c r="O18" s="31"/>
      <c r="P18" s="31"/>
    </row>
    <row r="19" spans="2:16" ht="22.8" x14ac:dyDescent="0.4">
      <c r="B19" s="51" t="s">
        <v>105</v>
      </c>
      <c r="C19" s="143">
        <f>C17+C18</f>
        <v>16451.960000000003</v>
      </c>
      <c r="D19" s="143">
        <f t="shared" ref="D19:F19" si="13">D17+D18</f>
        <v>22196.230000000003</v>
      </c>
      <c r="E19" s="143">
        <f t="shared" si="13"/>
        <v>22117.309999999994</v>
      </c>
      <c r="F19" s="52">
        <f t="shared" si="13"/>
        <v>21842.209999999992</v>
      </c>
      <c r="G19" s="143">
        <f>G17+G18</f>
        <v>22926.319034314693</v>
      </c>
      <c r="H19" s="143">
        <f t="shared" ref="H19:K19" si="14">H17+H18</f>
        <v>26178.006531236122</v>
      </c>
      <c r="I19" s="143">
        <f t="shared" si="14"/>
        <v>29705.243571962743</v>
      </c>
      <c r="J19" s="143">
        <f t="shared" si="14"/>
        <v>33907.867139616807</v>
      </c>
      <c r="K19" s="53">
        <f t="shared" si="14"/>
        <v>38944.927390809418</v>
      </c>
      <c r="M19" s="31"/>
      <c r="N19" s="31"/>
      <c r="O19" s="31"/>
      <c r="P19" s="31"/>
    </row>
    <row r="20" spans="2:16" ht="22.8" x14ac:dyDescent="0.4">
      <c r="B20" s="38" t="s">
        <v>106</v>
      </c>
      <c r="C20" s="142">
        <f>-'Cash Flow'!V14</f>
        <v>3244</v>
      </c>
      <c r="D20" s="142">
        <f>-'Cash Flow'!W14</f>
        <v>2602</v>
      </c>
      <c r="E20" s="142">
        <f>-'Cash Flow'!X14</f>
        <v>11559</v>
      </c>
      <c r="F20" s="44">
        <f>-'Cash Flow'!Y14</f>
        <v>23350</v>
      </c>
      <c r="G20" s="142">
        <f>G12*0.23</f>
        <v>14055.141490614576</v>
      </c>
      <c r="H20" s="142">
        <f t="shared" ref="H20:K20" si="15">H12*0.23</f>
        <v>16048.611431606309</v>
      </c>
      <c r="I20" s="142">
        <f t="shared" si="15"/>
        <v>18211.008962764594</v>
      </c>
      <c r="J20" s="142">
        <f t="shared" si="15"/>
        <v>20787.456965026071</v>
      </c>
      <c r="K20" s="45">
        <f t="shared" si="15"/>
        <v>23875.46225803882</v>
      </c>
      <c r="M20" s="31"/>
      <c r="N20" s="31"/>
      <c r="O20" s="31"/>
      <c r="P20" s="31"/>
    </row>
    <row r="21" spans="2:16" ht="22.8" x14ac:dyDescent="0.4">
      <c r="B21" s="38" t="s">
        <v>107</v>
      </c>
      <c r="C21" s="142">
        <f>C51</f>
        <v>3214</v>
      </c>
      <c r="D21" s="142">
        <f>'Cash Flow'!V10</f>
        <v>2897</v>
      </c>
      <c r="E21" s="142">
        <f>'Cash Flow'!W10</f>
        <v>-2261</v>
      </c>
      <c r="F21" s="44">
        <f>'Cash Flow'!X10</f>
        <v>-531</v>
      </c>
      <c r="G21" s="142">
        <f>G51</f>
        <v>1930.77509228688</v>
      </c>
      <c r="H21" s="142">
        <f t="shared" ref="H21:K21" si="16">H51</f>
        <v>2057.1005775135927</v>
      </c>
      <c r="I21" s="142">
        <f t="shared" si="16"/>
        <v>2231.4202580585224</v>
      </c>
      <c r="J21" s="142">
        <f t="shared" si="16"/>
        <v>2658.6870282825112</v>
      </c>
      <c r="K21" s="45">
        <f t="shared" si="16"/>
        <v>3186.5729906423003</v>
      </c>
      <c r="M21" s="31"/>
      <c r="N21" s="31"/>
      <c r="O21" s="31"/>
      <c r="P21" s="31"/>
    </row>
    <row r="22" spans="2:16" ht="22.8" x14ac:dyDescent="0.4">
      <c r="B22" s="51" t="s">
        <v>108</v>
      </c>
      <c r="C22" s="143">
        <f>C19-C20-C21</f>
        <v>9993.9600000000028</v>
      </c>
      <c r="D22" s="143">
        <f t="shared" ref="D22:F22" si="17">D19-D20-D21</f>
        <v>16697.230000000003</v>
      </c>
      <c r="E22" s="143">
        <f t="shared" si="17"/>
        <v>12819.309999999994</v>
      </c>
      <c r="F22" s="52">
        <f t="shared" si="17"/>
        <v>-976.79000000000815</v>
      </c>
      <c r="G22" s="143">
        <f>(G19-G20)-G21</f>
        <v>6940.4024514132361</v>
      </c>
      <c r="H22" s="143">
        <f t="shared" ref="H22:K22" si="18">H19-H20-H21</f>
        <v>8072.2945221162208</v>
      </c>
      <c r="I22" s="143">
        <f t="shared" si="18"/>
        <v>9262.8143511396265</v>
      </c>
      <c r="J22" s="143">
        <f t="shared" si="18"/>
        <v>10461.723146308224</v>
      </c>
      <c r="K22" s="53">
        <f t="shared" si="18"/>
        <v>11882.892142128298</v>
      </c>
      <c r="M22" s="31"/>
      <c r="N22" s="31"/>
      <c r="O22" s="31"/>
      <c r="P22" s="31"/>
    </row>
    <row r="23" spans="2:16" ht="22.8" x14ac:dyDescent="0.4">
      <c r="B23" s="41" t="s">
        <v>109</v>
      </c>
      <c r="C23" s="144"/>
      <c r="D23" s="144"/>
      <c r="E23" s="144"/>
      <c r="F23" s="55"/>
      <c r="G23" s="141"/>
      <c r="H23" s="141"/>
      <c r="I23" s="141"/>
      <c r="J23" s="141"/>
      <c r="K23" s="42"/>
      <c r="M23" s="31"/>
      <c r="N23" s="31"/>
      <c r="O23" s="31"/>
      <c r="P23" s="31"/>
    </row>
    <row r="24" spans="2:16" ht="23.4" thickBot="1" x14ac:dyDescent="0.45">
      <c r="B24" s="56" t="s">
        <v>110</v>
      </c>
      <c r="C24" s="57"/>
      <c r="D24" s="57"/>
      <c r="E24" s="57"/>
      <c r="F24" s="58"/>
      <c r="G24" s="57">
        <f t="shared" ref="G24:K24" si="19">G22/(1+$D$43)^G10</f>
        <v>6128.9387464311185</v>
      </c>
      <c r="H24" s="57">
        <f t="shared" si="19"/>
        <v>6295.0364900697996</v>
      </c>
      <c r="I24" s="57">
        <f t="shared" si="19"/>
        <v>6378.8859774198199</v>
      </c>
      <c r="J24" s="57">
        <f t="shared" si="19"/>
        <v>6362.1767277171903</v>
      </c>
      <c r="K24" s="59">
        <f t="shared" si="19"/>
        <v>6381.5369387089495</v>
      </c>
      <c r="M24" s="60"/>
      <c r="N24" s="31"/>
      <c r="O24" s="31"/>
      <c r="P24" s="31"/>
    </row>
    <row r="25" spans="2:16" ht="23.4" thickBot="1" x14ac:dyDescent="0.45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</row>
    <row r="26" spans="2:16" ht="23.4" thickBot="1" x14ac:dyDescent="0.45">
      <c r="B26" s="61" t="s">
        <v>111</v>
      </c>
      <c r="C26" s="62"/>
      <c r="D26" s="63"/>
      <c r="E26" s="31"/>
      <c r="F26" s="64" t="s">
        <v>112</v>
      </c>
      <c r="G26" s="65">
        <f>SUM(G24:K24)</f>
        <v>31546.574880346878</v>
      </c>
      <c r="H26" s="31"/>
      <c r="I26" s="66" t="s">
        <v>113</v>
      </c>
      <c r="J26" s="66"/>
      <c r="K26" s="66"/>
      <c r="M26" s="31"/>
      <c r="N26" s="31"/>
      <c r="O26" s="31"/>
      <c r="P26" s="31"/>
    </row>
    <row r="27" spans="2:16" ht="46.2" thickBot="1" x14ac:dyDescent="0.45">
      <c r="B27" s="67" t="s">
        <v>114</v>
      </c>
      <c r="C27" s="68"/>
      <c r="D27" s="69"/>
      <c r="E27" s="31"/>
      <c r="H27" s="31"/>
      <c r="I27" s="70">
        <f>D37</f>
        <v>445476.44768549997</v>
      </c>
      <c r="J27" s="66"/>
      <c r="K27" s="66"/>
      <c r="M27" s="31"/>
      <c r="N27" s="31"/>
      <c r="O27" s="31"/>
      <c r="P27" s="31"/>
    </row>
    <row r="28" spans="2:16" ht="45.6" x14ac:dyDescent="0.4">
      <c r="B28" s="67" t="s">
        <v>115</v>
      </c>
      <c r="C28" s="68"/>
      <c r="D28" s="69"/>
      <c r="E28" s="31"/>
      <c r="F28" s="61" t="s">
        <v>116</v>
      </c>
      <c r="G28" s="63"/>
      <c r="H28" s="31"/>
      <c r="I28" s="31"/>
      <c r="J28" s="31"/>
      <c r="K28" s="31"/>
      <c r="M28" s="31"/>
      <c r="N28" s="31"/>
      <c r="O28" s="31"/>
      <c r="P28" s="31"/>
    </row>
    <row r="29" spans="2:16" ht="22.8" x14ac:dyDescent="0.4">
      <c r="B29" s="71"/>
      <c r="C29" s="72"/>
      <c r="D29" s="73"/>
      <c r="E29" s="31"/>
      <c r="F29" s="74" t="s">
        <v>117</v>
      </c>
      <c r="G29" s="75">
        <v>7.0000000000000007E-2</v>
      </c>
      <c r="H29" s="31"/>
      <c r="I29" s="76" t="s">
        <v>196</v>
      </c>
      <c r="J29" s="76"/>
      <c r="K29" s="76"/>
      <c r="M29" s="31"/>
      <c r="N29" s="31"/>
      <c r="O29" s="31"/>
      <c r="P29" s="31"/>
    </row>
    <row r="30" spans="2:16" ht="22.8" x14ac:dyDescent="0.4">
      <c r="B30" s="71" t="s">
        <v>118</v>
      </c>
      <c r="C30" s="31"/>
      <c r="D30" s="77"/>
      <c r="E30" s="31"/>
      <c r="F30" s="74" t="s">
        <v>116</v>
      </c>
      <c r="G30" s="78">
        <f>K22*(1+G29)/(D43-G29)</f>
        <v>203765.2791181819</v>
      </c>
      <c r="H30" s="31"/>
      <c r="I30" s="79">
        <f>G40</f>
        <v>93282.797999266768</v>
      </c>
      <c r="J30" s="76"/>
      <c r="K30" s="76"/>
      <c r="M30" s="31"/>
      <c r="N30" s="31"/>
      <c r="O30" s="31"/>
      <c r="P30" s="31"/>
    </row>
    <row r="31" spans="2:16" ht="23.4" thickBot="1" x14ac:dyDescent="0.45">
      <c r="B31" s="74" t="s">
        <v>119</v>
      </c>
      <c r="C31" s="31"/>
      <c r="D31" s="80">
        <f>'Balance Sheet'!Y6</f>
        <v>54670</v>
      </c>
      <c r="E31" s="31"/>
      <c r="F31" s="81" t="s">
        <v>120</v>
      </c>
      <c r="G31" s="82">
        <f>G30/(1+D43)^K10</f>
        <v>109429.22311891988</v>
      </c>
      <c r="H31" s="31"/>
      <c r="I31" s="31"/>
      <c r="J31" s="31"/>
      <c r="K31" s="31"/>
      <c r="M31" s="31"/>
      <c r="N31" s="31"/>
      <c r="O31" s="31"/>
      <c r="P31" s="31"/>
    </row>
    <row r="32" spans="2:16" ht="23.4" thickBot="1" x14ac:dyDescent="0.45">
      <c r="B32" s="74" t="s">
        <v>121</v>
      </c>
      <c r="C32" s="31"/>
      <c r="D32" s="83">
        <f>D31/(D31+D37)</f>
        <v>0.10930798419741525</v>
      </c>
      <c r="E32" s="31"/>
      <c r="F32" s="31"/>
      <c r="G32" s="31"/>
      <c r="H32" s="31"/>
      <c r="I32" s="66" t="s">
        <v>122</v>
      </c>
      <c r="J32" s="66"/>
      <c r="K32" s="66"/>
      <c r="M32" s="31"/>
      <c r="N32" s="31"/>
      <c r="O32" s="31"/>
      <c r="P32" s="31"/>
    </row>
    <row r="33" spans="2:16" ht="22.8" x14ac:dyDescent="0.4">
      <c r="B33" s="74" t="s">
        <v>118</v>
      </c>
      <c r="C33" s="31"/>
      <c r="D33" s="83">
        <v>6.2E-2</v>
      </c>
      <c r="E33" s="31"/>
      <c r="F33" s="84" t="s">
        <v>123</v>
      </c>
      <c r="G33" s="85"/>
      <c r="H33" s="31"/>
      <c r="I33" s="86">
        <f>C6</f>
        <v>231</v>
      </c>
      <c r="J33" s="66"/>
      <c r="K33" s="66"/>
      <c r="M33" s="31"/>
      <c r="N33" s="31"/>
      <c r="O33" s="31"/>
      <c r="P33" s="31"/>
    </row>
    <row r="34" spans="2:16" ht="22.8" x14ac:dyDescent="0.4">
      <c r="B34" s="74" t="s">
        <v>124</v>
      </c>
      <c r="C34" s="31"/>
      <c r="D34" s="87">
        <v>0.2</v>
      </c>
      <c r="E34" s="31"/>
      <c r="F34" s="74" t="s">
        <v>125</v>
      </c>
      <c r="G34" s="78">
        <f>G31+G26</f>
        <v>140975.79799926677</v>
      </c>
      <c r="H34" s="31"/>
      <c r="I34" s="31"/>
      <c r="J34" s="31"/>
      <c r="K34" s="31"/>
      <c r="M34" s="31"/>
      <c r="N34" s="31"/>
      <c r="O34" s="31"/>
      <c r="P34" s="31"/>
    </row>
    <row r="35" spans="2:16" ht="22.8" x14ac:dyDescent="0.4">
      <c r="B35" s="74"/>
      <c r="C35" s="31"/>
      <c r="D35" s="77"/>
      <c r="E35" s="31"/>
      <c r="F35" s="74" t="s">
        <v>126</v>
      </c>
      <c r="G35" s="88">
        <f>'Balance Sheet'!Y24</f>
        <v>6926</v>
      </c>
      <c r="H35" s="31"/>
      <c r="I35" s="76" t="s">
        <v>127</v>
      </c>
      <c r="J35" s="76"/>
      <c r="K35" s="76"/>
      <c r="M35" s="31"/>
      <c r="N35" s="31"/>
      <c r="O35" s="31"/>
      <c r="P35" s="31"/>
    </row>
    <row r="36" spans="2:16" ht="22.8" x14ac:dyDescent="0.4">
      <c r="B36" s="71" t="s">
        <v>128</v>
      </c>
      <c r="C36" s="31"/>
      <c r="D36" s="89">
        <f>D39+D40*(D41-D39)</f>
        <v>0.14256000000000002</v>
      </c>
      <c r="E36" s="31"/>
      <c r="F36" s="90" t="s">
        <v>129</v>
      </c>
      <c r="G36" s="88">
        <f>'Balance Sheet'!Y20</f>
        <v>1516</v>
      </c>
      <c r="H36" s="31"/>
      <c r="I36" s="91">
        <f>G42</f>
        <v>241.85701099645513</v>
      </c>
      <c r="J36" s="76"/>
      <c r="K36" s="76"/>
      <c r="M36" s="31"/>
      <c r="N36" s="31"/>
      <c r="O36" s="31"/>
      <c r="P36" s="31"/>
    </row>
    <row r="37" spans="2:16" ht="22.8" x14ac:dyDescent="0.4">
      <c r="B37" s="74" t="s">
        <v>130</v>
      </c>
      <c r="C37" s="31"/>
      <c r="D37" s="80">
        <f>C6*'Data Sheet'!K71</f>
        <v>445476.44768549997</v>
      </c>
      <c r="E37" s="31"/>
      <c r="F37" s="74" t="s">
        <v>131</v>
      </c>
      <c r="G37" s="88">
        <f>D31</f>
        <v>54670</v>
      </c>
      <c r="H37" s="31"/>
      <c r="I37" s="31"/>
      <c r="J37" s="31"/>
      <c r="K37" s="31"/>
      <c r="L37" s="31"/>
      <c r="M37" s="31"/>
      <c r="N37" s="31"/>
      <c r="O37" s="31"/>
      <c r="P37" s="31"/>
    </row>
    <row r="38" spans="2:16" ht="23.4" thickBot="1" x14ac:dyDescent="0.45">
      <c r="B38" s="74" t="s">
        <v>132</v>
      </c>
      <c r="C38" s="31"/>
      <c r="D38" s="83">
        <f>D37/(D31+D37)</f>
        <v>0.89069201580258472</v>
      </c>
      <c r="E38" s="31"/>
      <c r="F38" s="92" t="s">
        <v>133</v>
      </c>
      <c r="G38" s="153">
        <f>'Balance Sheet'!Y13</f>
        <v>1465</v>
      </c>
      <c r="H38" s="31"/>
      <c r="I38" s="31"/>
      <c r="J38" s="93" t="s">
        <v>111</v>
      </c>
      <c r="K38" s="94"/>
      <c r="L38" s="94"/>
      <c r="M38" s="94"/>
      <c r="N38" s="94"/>
      <c r="O38" s="68"/>
      <c r="P38" s="68"/>
    </row>
    <row r="39" spans="2:16" ht="23.4" thickBot="1" x14ac:dyDescent="0.45">
      <c r="B39" s="74" t="s">
        <v>134</v>
      </c>
      <c r="C39" s="31"/>
      <c r="D39" s="87">
        <v>7.3099999999999998E-2</v>
      </c>
      <c r="E39" s="31"/>
      <c r="F39" s="31"/>
      <c r="G39" s="31"/>
      <c r="H39" s="31"/>
      <c r="I39" s="95">
        <f>G42</f>
        <v>241.85701099645513</v>
      </c>
      <c r="J39" s="96">
        <f>K39-0.5%</f>
        <v>0.11739872978900825</v>
      </c>
      <c r="K39" s="97">
        <f>L39-0.5%</f>
        <v>0.12239872978900826</v>
      </c>
      <c r="L39" s="97">
        <f>M39-0.5%</f>
        <v>0.12739872978900826</v>
      </c>
      <c r="M39" s="97">
        <v>0.13239872978900827</v>
      </c>
      <c r="N39" s="97">
        <f>M39+0.5%</f>
        <v>0.13739872978900827</v>
      </c>
      <c r="O39" s="97">
        <f t="shared" ref="O39:P39" si="20">N39+0.5%</f>
        <v>0.14239872978900828</v>
      </c>
      <c r="P39" s="97">
        <f t="shared" si="20"/>
        <v>0.14739872978900828</v>
      </c>
    </row>
    <row r="40" spans="2:16" ht="23.4" thickTop="1" x14ac:dyDescent="0.4">
      <c r="B40" s="74" t="s">
        <v>135</v>
      </c>
      <c r="C40" s="31"/>
      <c r="D40" s="98">
        <v>1.1499999999999999</v>
      </c>
      <c r="E40" s="31"/>
      <c r="F40" s="84" t="s">
        <v>136</v>
      </c>
      <c r="G40" s="99">
        <f>G34+G35+G36-G37-G38</f>
        <v>93282.797999266768</v>
      </c>
      <c r="H40" s="100"/>
      <c r="I40" s="101">
        <f>I42-0.5%</f>
        <v>6.5000000000000002E-2</v>
      </c>
      <c r="J40" s="102">
        <f t="dataTable" ref="J40:P44" dt2D="1" dtr="1" r1="D43" r2="G29"/>
        <v>320.98448708378908</v>
      </c>
      <c r="K40" s="102">
        <v>281.27803774730523</v>
      </c>
      <c r="L40" s="102">
        <v>247.95042496699796</v>
      </c>
      <c r="M40" s="154">
        <v>219.58167202711502</v>
      </c>
      <c r="N40" s="102">
        <v>195.14407634525341</v>
      </c>
      <c r="O40" s="102">
        <v>173.87550360304425</v>
      </c>
      <c r="P40" s="102">
        <v>155.19881337463096</v>
      </c>
    </row>
    <row r="41" spans="2:16" ht="22.8" x14ac:dyDescent="0.4">
      <c r="B41" s="74" t="s">
        <v>137</v>
      </c>
      <c r="C41" s="31"/>
      <c r="D41" s="87">
        <v>0.13350000000000001</v>
      </c>
      <c r="E41" s="31"/>
      <c r="F41" s="74" t="s">
        <v>138</v>
      </c>
      <c r="G41" s="103">
        <f>'Data Sheet'!K57/10</f>
        <v>385.69400000000002</v>
      </c>
      <c r="H41" s="94"/>
      <c r="I41" s="104">
        <f>I42-0.5%</f>
        <v>6.5000000000000002E-2</v>
      </c>
      <c r="J41" s="102">
        <v>320.98448708378908</v>
      </c>
      <c r="K41" s="102">
        <v>281.27803774730523</v>
      </c>
      <c r="L41" s="102">
        <v>247.95042496699796</v>
      </c>
      <c r="M41" s="154">
        <v>219.58167202711502</v>
      </c>
      <c r="N41" s="102">
        <v>195.14407634525341</v>
      </c>
      <c r="O41" s="102">
        <v>173.87550360304425</v>
      </c>
      <c r="P41" s="102">
        <v>155.19881337463096</v>
      </c>
    </row>
    <row r="42" spans="2:16" ht="22.8" x14ac:dyDescent="0.4">
      <c r="B42" s="74" t="s">
        <v>139</v>
      </c>
      <c r="C42" s="31"/>
      <c r="D42" s="77"/>
      <c r="E42" s="31"/>
      <c r="F42" s="71" t="s">
        <v>140</v>
      </c>
      <c r="G42" s="105">
        <f>G40/G41</f>
        <v>241.85701099645513</v>
      </c>
      <c r="H42" s="106" t="s">
        <v>141</v>
      </c>
      <c r="I42" s="104">
        <v>7.0000000000000007E-2</v>
      </c>
      <c r="J42" s="154">
        <v>360.77038102570185</v>
      </c>
      <c r="K42" s="154">
        <v>313.55090632919575</v>
      </c>
      <c r="L42" s="154">
        <v>274.57367562514833</v>
      </c>
      <c r="M42" s="155">
        <v>241.85701099645513</v>
      </c>
      <c r="N42" s="154">
        <v>214.00728907258326</v>
      </c>
      <c r="O42" s="154">
        <v>190.01587970109799</v>
      </c>
      <c r="P42" s="154">
        <v>169.13479186102671</v>
      </c>
    </row>
    <row r="43" spans="2:16" ht="23.4" thickBot="1" x14ac:dyDescent="0.45">
      <c r="B43" s="81" t="s">
        <v>111</v>
      </c>
      <c r="C43" s="107"/>
      <c r="D43" s="108">
        <f>(D36*D38)+(D33*D32)*(1-D34)</f>
        <v>0.13239872978900827</v>
      </c>
      <c r="E43" s="31"/>
      <c r="F43" s="74" t="s">
        <v>142</v>
      </c>
      <c r="G43" s="77">
        <f>C6</f>
        <v>231</v>
      </c>
      <c r="H43" s="94"/>
      <c r="I43" s="104">
        <f>I42+0.5%</f>
        <v>7.5000000000000011E-2</v>
      </c>
      <c r="J43" s="102">
        <v>409.94002163641852</v>
      </c>
      <c r="K43" s="102">
        <v>352.63257943507875</v>
      </c>
      <c r="L43" s="102">
        <v>306.27782247397965</v>
      </c>
      <c r="M43" s="154">
        <v>268.01315691940221</v>
      </c>
      <c r="N43" s="102">
        <v>235.89351409377107</v>
      </c>
      <c r="O43" s="102">
        <v>208.55101548506579</v>
      </c>
      <c r="P43" s="102">
        <v>184.99566302537548</v>
      </c>
    </row>
    <row r="44" spans="2:16" ht="23.4" thickBot="1" x14ac:dyDescent="0.45">
      <c r="B44" s="31"/>
      <c r="C44" s="31"/>
      <c r="D44" s="31"/>
      <c r="E44" s="31"/>
      <c r="F44" s="81" t="s">
        <v>143</v>
      </c>
      <c r="G44" s="109">
        <f>G42/G43-1</f>
        <v>4.70000476037018E-2</v>
      </c>
      <c r="H44" s="94"/>
      <c r="I44" s="104">
        <v>6.7659999999999998E-2</v>
      </c>
      <c r="J44" s="102">
        <v>341.15480605258745</v>
      </c>
      <c r="K44" s="102">
        <v>297.71324729432718</v>
      </c>
      <c r="L44" s="102">
        <v>261.55919925543145</v>
      </c>
      <c r="M44" s="155">
        <v>231.00381334031326</v>
      </c>
      <c r="N44" s="102">
        <v>204.84258535608893</v>
      </c>
      <c r="O44" s="102">
        <v>182.19334273348014</v>
      </c>
      <c r="P44" s="102">
        <v>162.39518561667958</v>
      </c>
    </row>
    <row r="45" spans="2:16" ht="23.4" thickBot="1" x14ac:dyDescent="0.45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31"/>
    </row>
    <row r="46" spans="2:16" ht="22.8" x14ac:dyDescent="0.4">
      <c r="B46" s="84" t="s">
        <v>144</v>
      </c>
      <c r="C46" s="110">
        <v>2023</v>
      </c>
      <c r="D46" s="110">
        <f>C46+1</f>
        <v>2024</v>
      </c>
      <c r="E46" s="110">
        <f>D46+1</f>
        <v>2025</v>
      </c>
      <c r="F46" s="111">
        <f>E46+1</f>
        <v>2026</v>
      </c>
      <c r="G46" s="110">
        <f t="shared" ref="G46:K46" si="21">F46+1</f>
        <v>2027</v>
      </c>
      <c r="H46" s="110">
        <f>G46+1</f>
        <v>2028</v>
      </c>
      <c r="I46" s="110">
        <f>H46+1</f>
        <v>2029</v>
      </c>
      <c r="J46" s="110">
        <f t="shared" si="21"/>
        <v>2030</v>
      </c>
      <c r="K46" s="85">
        <f t="shared" si="21"/>
        <v>2031</v>
      </c>
      <c r="M46" s="31"/>
      <c r="N46" s="31"/>
      <c r="O46" s="31"/>
      <c r="P46" s="31"/>
    </row>
    <row r="47" spans="2:16" ht="22.8" x14ac:dyDescent="0.4">
      <c r="B47" s="74" t="s">
        <v>145</v>
      </c>
      <c r="C47" s="145">
        <f>'Balance Sheet'!V23</f>
        <v>11529</v>
      </c>
      <c r="D47" s="145">
        <f>'Balance Sheet'!W23</f>
        <v>11677</v>
      </c>
      <c r="E47" s="145">
        <f>'Balance Sheet'!X23</f>
        <v>13022</v>
      </c>
      <c r="F47" s="112">
        <f>'Balance Sheet'!Y23</f>
        <v>11791</v>
      </c>
      <c r="G47" s="146" t="s">
        <v>146</v>
      </c>
      <c r="H47" s="146" t="s">
        <v>146</v>
      </c>
      <c r="I47" s="146" t="s">
        <v>146</v>
      </c>
      <c r="J47" s="146" t="s">
        <v>146</v>
      </c>
      <c r="K47" s="113" t="s">
        <v>146</v>
      </c>
      <c r="M47" s="31"/>
      <c r="N47" s="31"/>
      <c r="O47" s="31"/>
      <c r="P47" s="31"/>
    </row>
    <row r="48" spans="2:16" ht="22.8" x14ac:dyDescent="0.4">
      <c r="B48" s="74" t="s">
        <v>147</v>
      </c>
      <c r="C48" s="145">
        <f>'Balance Sheet'!V14</f>
        <v>3079</v>
      </c>
      <c r="D48" s="145">
        <f>'Balance Sheet'!W14</f>
        <v>3609</v>
      </c>
      <c r="E48" s="145">
        <f>'Balance Sheet'!X14</f>
        <v>2978</v>
      </c>
      <c r="F48" s="112">
        <f>'Balance Sheet'!Y14</f>
        <v>2841</v>
      </c>
      <c r="G48" s="146" t="s">
        <v>146</v>
      </c>
      <c r="H48" s="146" t="s">
        <v>146</v>
      </c>
      <c r="I48" s="146" t="s">
        <v>146</v>
      </c>
      <c r="J48" s="146" t="s">
        <v>146</v>
      </c>
      <c r="K48" s="113" t="s">
        <v>146</v>
      </c>
      <c r="M48" s="31"/>
      <c r="N48" s="31"/>
      <c r="O48" s="31"/>
      <c r="P48" s="31"/>
    </row>
    <row r="49" spans="2:16" ht="22.8" x14ac:dyDescent="0.4">
      <c r="B49" s="74" t="s">
        <v>148</v>
      </c>
      <c r="C49" s="145">
        <f>'Balance Sheet'!V22</f>
        <v>3075</v>
      </c>
      <c r="D49" s="145">
        <f>'Balance Sheet'!W22</f>
        <v>4142</v>
      </c>
      <c r="E49" s="145">
        <f>'Balance Sheet'!X22</f>
        <v>3317</v>
      </c>
      <c r="F49" s="114">
        <f>'Balance Sheet'!Y22</f>
        <v>3623</v>
      </c>
      <c r="G49" s="146" t="s">
        <v>146</v>
      </c>
      <c r="H49" s="146" t="s">
        <v>146</v>
      </c>
      <c r="I49" s="146" t="s">
        <v>146</v>
      </c>
      <c r="J49" s="146" t="s">
        <v>146</v>
      </c>
      <c r="K49" s="113" t="s">
        <v>146</v>
      </c>
      <c r="M49" s="31"/>
      <c r="N49" s="31"/>
      <c r="O49" s="31"/>
      <c r="P49" s="31"/>
    </row>
    <row r="50" spans="2:16" ht="23.4" thickBot="1" x14ac:dyDescent="0.45">
      <c r="B50" s="115" t="s">
        <v>30</v>
      </c>
      <c r="C50" s="116">
        <f>C47+C49-C48</f>
        <v>11525</v>
      </c>
      <c r="D50" s="116">
        <f>D47+D49-D48</f>
        <v>12210</v>
      </c>
      <c r="E50" s="116">
        <f>E47+E49-E48</f>
        <v>13361</v>
      </c>
      <c r="F50" s="117">
        <f>F47+F49-F48</f>
        <v>12573</v>
      </c>
      <c r="G50" s="118">
        <f>G12*G52</f>
        <v>14503.77509228688</v>
      </c>
      <c r="H50" s="118">
        <f>H12*H52</f>
        <v>16560.875669800473</v>
      </c>
      <c r="I50" s="118">
        <f>I12*I52</f>
        <v>18792.295927858995</v>
      </c>
      <c r="J50" s="118">
        <f>J12*J52</f>
        <v>21450.982956141506</v>
      </c>
      <c r="K50" s="119">
        <f>K12*K52</f>
        <v>24637.555946783807</v>
      </c>
      <c r="M50" s="31"/>
      <c r="N50" s="31"/>
      <c r="O50" s="31"/>
      <c r="P50" s="31"/>
    </row>
    <row r="51" spans="2:16" ht="22.8" x14ac:dyDescent="0.4">
      <c r="B51" s="74" t="s">
        <v>149</v>
      </c>
      <c r="C51" s="147">
        <f>'Adani Power DCF'!C50-'Balance Sheet'!U1</f>
        <v>3214</v>
      </c>
      <c r="D51" s="148">
        <f>D50-C50</f>
        <v>685</v>
      </c>
      <c r="E51" s="148">
        <f>E50-D50</f>
        <v>1151</v>
      </c>
      <c r="F51" s="120">
        <f>F50-E50</f>
        <v>-788</v>
      </c>
      <c r="G51" s="149">
        <f>G50-F50</f>
        <v>1930.77509228688</v>
      </c>
      <c r="H51" s="149">
        <f t="shared" ref="H51:K51" si="22">H50-G50</f>
        <v>2057.1005775135927</v>
      </c>
      <c r="I51" s="149">
        <f t="shared" si="22"/>
        <v>2231.4202580585224</v>
      </c>
      <c r="J51" s="149">
        <f t="shared" si="22"/>
        <v>2658.6870282825112</v>
      </c>
      <c r="K51" s="121">
        <f t="shared" si="22"/>
        <v>3186.5729906423003</v>
      </c>
      <c r="M51" s="31"/>
      <c r="N51" s="31"/>
      <c r="O51" s="31"/>
      <c r="P51" s="31"/>
    </row>
    <row r="52" spans="2:16" ht="22.8" x14ac:dyDescent="0.4">
      <c r="B52" s="74" t="s">
        <v>150</v>
      </c>
      <c r="C52" s="150">
        <f>C50/C12</f>
        <v>0.29724062692626108</v>
      </c>
      <c r="D52" s="150">
        <f t="shared" ref="D52:F52" si="23">D50/D12</f>
        <v>0.24249646235197736</v>
      </c>
      <c r="E52" s="150">
        <f t="shared" si="23"/>
        <v>0.23772714276030021</v>
      </c>
      <c r="F52" s="122">
        <f t="shared" si="23"/>
        <v>0.23180087506535707</v>
      </c>
      <c r="G52" s="150">
        <f>AVERAGE(D52:F52)</f>
        <v>0.23734149339254487</v>
      </c>
      <c r="H52" s="150">
        <f>G52</f>
        <v>0.23734149339254487</v>
      </c>
      <c r="I52" s="150">
        <f t="shared" ref="I52:K52" si="24">H52</f>
        <v>0.23734149339254487</v>
      </c>
      <c r="J52" s="150">
        <f t="shared" si="24"/>
        <v>0.23734149339254487</v>
      </c>
      <c r="K52" s="123">
        <f t="shared" si="24"/>
        <v>0.23734149339254487</v>
      </c>
      <c r="M52" s="31"/>
      <c r="N52" s="31"/>
      <c r="O52" s="31"/>
      <c r="P52" s="31"/>
    </row>
    <row r="53" spans="2:16" ht="22.8" x14ac:dyDescent="0.4">
      <c r="B53" s="124"/>
      <c r="C53" s="151"/>
      <c r="D53" s="151"/>
      <c r="E53" s="151"/>
      <c r="F53" s="125"/>
      <c r="G53" s="151"/>
      <c r="H53" s="151"/>
      <c r="I53" s="151"/>
      <c r="J53" s="151"/>
      <c r="K53" s="126"/>
      <c r="M53" s="31"/>
      <c r="N53" s="31"/>
      <c r="O53" s="31"/>
      <c r="P53" s="31"/>
    </row>
    <row r="54" spans="2:16" ht="23.4" thickBot="1" x14ac:dyDescent="0.45">
      <c r="B54" s="81" t="s">
        <v>151</v>
      </c>
      <c r="C54" s="127"/>
      <c r="D54" s="127"/>
      <c r="E54" s="127"/>
      <c r="F54" s="128"/>
      <c r="G54" s="127"/>
      <c r="H54" s="127"/>
      <c r="I54" s="127"/>
      <c r="J54" s="127"/>
      <c r="K54" s="129"/>
      <c r="M54" s="31"/>
      <c r="N54" s="31"/>
      <c r="O54" s="31"/>
      <c r="P54" s="31"/>
    </row>
    <row r="59" spans="2:16" x14ac:dyDescent="0.3">
      <c r="C59" s="135"/>
    </row>
  </sheetData>
  <pageMargins left="0.25" right="0.25" top="0.75" bottom="0.75" header="0.3" footer="0.54"/>
  <pageSetup scale="3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B5" activePane="bottomRight" state="frozen"/>
      <selection activeCell="I2" sqref="I2"/>
      <selection pane="topRight" activeCell="I2" sqref="I2"/>
      <selection pane="bottomLeft" activeCell="I2" sqref="I2"/>
      <selection pane="bottomRight" activeCell="H8" sqref="H8"/>
    </sheetView>
  </sheetViews>
  <sheetFormatPr defaultColWidth="8.77734375" defaultRowHeight="14.4" x14ac:dyDescent="0.3"/>
  <cols>
    <col min="1" max="1" width="20.6640625" customWidth="1"/>
    <col min="2" max="6" width="13.44140625" customWidth="1"/>
    <col min="7" max="7" width="14.77734375" bestFit="1" customWidth="1"/>
    <col min="8" max="11" width="13.44140625" customWidth="1"/>
    <col min="12" max="12" width="13.33203125" customWidth="1"/>
    <col min="13" max="14" width="12.109375" customWidth="1"/>
  </cols>
  <sheetData>
    <row r="1" spans="1:14" s="2" customFormat="1" x14ac:dyDescent="0.3">
      <c r="A1" s="2" t="str">
        <f>'Data Sheet'!B1</f>
        <v>ADANI POWER LTD</v>
      </c>
      <c r="H1" t="str">
        <f>UPDATE</f>
        <v/>
      </c>
      <c r="J1" s="3"/>
      <c r="K1" s="3"/>
      <c r="M1" s="2" t="s">
        <v>1</v>
      </c>
    </row>
    <row r="3" spans="1:14" s="2" customFormat="1" x14ac:dyDescent="0.3">
      <c r="A3" s="11" t="s">
        <v>2</v>
      </c>
      <c r="B3" s="12">
        <f>'Data Sheet'!B16</f>
        <v>42825</v>
      </c>
      <c r="C3" s="12">
        <f>'Data Sheet'!C16</f>
        <v>43190</v>
      </c>
      <c r="D3" s="12">
        <f>'Data Sheet'!D16</f>
        <v>43555</v>
      </c>
      <c r="E3" s="12">
        <f>'Data Sheet'!E16</f>
        <v>43921</v>
      </c>
      <c r="F3" s="12">
        <f>'Data Sheet'!F16</f>
        <v>44286</v>
      </c>
      <c r="G3" s="12">
        <f>'Data Sheet'!G16</f>
        <v>44651</v>
      </c>
      <c r="H3" s="12">
        <f>'Data Sheet'!H16</f>
        <v>45016</v>
      </c>
      <c r="I3" s="12">
        <f>'Data Sheet'!I16</f>
        <v>45382</v>
      </c>
      <c r="J3" s="12">
        <f>'Data Sheet'!J16</f>
        <v>45747</v>
      </c>
      <c r="K3" s="12">
        <f>'Data Sheet'!K16</f>
        <v>46112</v>
      </c>
      <c r="L3" s="13" t="s">
        <v>3</v>
      </c>
      <c r="M3" s="13" t="s">
        <v>4</v>
      </c>
      <c r="N3" s="13" t="s">
        <v>5</v>
      </c>
    </row>
    <row r="4" spans="1:14" s="2" customFormat="1" x14ac:dyDescent="0.3">
      <c r="A4" s="2" t="s">
        <v>6</v>
      </c>
      <c r="B4" s="1">
        <f>'Data Sheet'!B17</f>
        <v>22615.51</v>
      </c>
      <c r="C4" s="1">
        <f>'Data Sheet'!C17</f>
        <v>20304.28</v>
      </c>
      <c r="D4" s="1">
        <f>'Data Sheet'!D17</f>
        <v>23884.18</v>
      </c>
      <c r="E4" s="1">
        <f>'Data Sheet'!E17</f>
        <v>26467.72</v>
      </c>
      <c r="F4" s="1">
        <f>'Data Sheet'!F17</f>
        <v>26221.48</v>
      </c>
      <c r="G4" s="1">
        <f>'Data Sheet'!G17</f>
        <v>27711.18</v>
      </c>
      <c r="H4" s="1">
        <f>'Data Sheet'!H17</f>
        <v>38773.300000000003</v>
      </c>
      <c r="I4" s="1">
        <f>'Data Sheet'!I17</f>
        <v>50351.25</v>
      </c>
      <c r="J4" s="1">
        <f>'Data Sheet'!J17</f>
        <v>56203.09</v>
      </c>
      <c r="K4" s="1">
        <f>'Data Sheet'!K17</f>
        <v>54240.52</v>
      </c>
      <c r="L4" s="1">
        <f>SUM(Quarters!H4:K4)</f>
        <v>54240.520000000004</v>
      </c>
      <c r="M4" s="1">
        <f>$K4+M23*K4</f>
        <v>60662.579120411108</v>
      </c>
      <c r="N4" s="1">
        <f>$K4+N23*L4</f>
        <v>54240.520000000004</v>
      </c>
    </row>
    <row r="5" spans="1:14" x14ac:dyDescent="0.3">
      <c r="A5" t="s">
        <v>7</v>
      </c>
      <c r="B5" s="6">
        <f>SUM('Data Sheet'!B18,'Data Sheet'!B20:B24, -1*'Data Sheet'!B19)</f>
        <v>16635.47</v>
      </c>
      <c r="C5" s="6">
        <f>SUM('Data Sheet'!C18,'Data Sheet'!C20:C24, -1*'Data Sheet'!C19)</f>
        <v>14868.35</v>
      </c>
      <c r="D5" s="6">
        <f>SUM('Data Sheet'!D18,'Data Sheet'!D20:D24, -1*'Data Sheet'!D19)</f>
        <v>18900.77</v>
      </c>
      <c r="E5" s="6">
        <f>SUM('Data Sheet'!E18,'Data Sheet'!E20:E24, -1*'Data Sheet'!E19)</f>
        <v>20734.080000000002</v>
      </c>
      <c r="F5" s="6">
        <f>SUM('Data Sheet'!F18,'Data Sheet'!F20:F24, -1*'Data Sheet'!F19)</f>
        <v>17533.319999999996</v>
      </c>
      <c r="G5" s="6">
        <f>SUM('Data Sheet'!G18,'Data Sheet'!G20:G24, -1*'Data Sheet'!G19)</f>
        <v>17829.77</v>
      </c>
      <c r="H5" s="6">
        <f>SUM('Data Sheet'!H18,'Data Sheet'!H20:H24, -1*'Data Sheet'!H19)</f>
        <v>28676.959999999999</v>
      </c>
      <c r="I5" s="6">
        <f>SUM('Data Sheet'!I18,'Data Sheet'!I20:I24, -1*'Data Sheet'!I19)</f>
        <v>32123.629999999997</v>
      </c>
      <c r="J5" s="6">
        <f>SUM('Data Sheet'!J18,'Data Sheet'!J20:J24, -1*'Data Sheet'!J19)</f>
        <v>34784.76</v>
      </c>
      <c r="K5" s="6">
        <f>SUM('Data Sheet'!K18,'Data Sheet'!K20:K24, -1*'Data Sheet'!K19)</f>
        <v>34434.410000000003</v>
      </c>
      <c r="L5" s="6">
        <f>SUM(Quarters!H5:K5)</f>
        <v>34434.410000000003</v>
      </c>
      <c r="M5" s="6">
        <f t="shared" ref="M5:N5" si="0">M4-M6</f>
        <v>38233.28446745126</v>
      </c>
      <c r="N5" s="6">
        <f t="shared" si="0"/>
        <v>36995.580289770958</v>
      </c>
    </row>
    <row r="6" spans="1:14" s="2" customFormat="1" x14ac:dyDescent="0.3">
      <c r="A6" s="2" t="s">
        <v>8</v>
      </c>
      <c r="B6" s="1">
        <f>B4-B5</f>
        <v>5980.0399999999972</v>
      </c>
      <c r="C6" s="1">
        <f t="shared" ref="C6:K6" si="1">C4-C5</f>
        <v>5435.9299999999985</v>
      </c>
      <c r="D6" s="1">
        <f t="shared" si="1"/>
        <v>4983.41</v>
      </c>
      <c r="E6" s="1">
        <f t="shared" si="1"/>
        <v>5733.6399999999994</v>
      </c>
      <c r="F6" s="1">
        <f t="shared" si="1"/>
        <v>8688.1600000000035</v>
      </c>
      <c r="G6" s="1">
        <f t="shared" si="1"/>
        <v>9881.41</v>
      </c>
      <c r="H6" s="1">
        <f t="shared" si="1"/>
        <v>10096.340000000004</v>
      </c>
      <c r="I6" s="1">
        <f t="shared" si="1"/>
        <v>18227.620000000003</v>
      </c>
      <c r="J6" s="1">
        <f t="shared" si="1"/>
        <v>21418.329999999994</v>
      </c>
      <c r="K6" s="1">
        <f t="shared" si="1"/>
        <v>19806.109999999993</v>
      </c>
      <c r="L6" s="1">
        <f>SUM(Quarters!H6:K6)</f>
        <v>19806.11</v>
      </c>
      <c r="M6" s="1">
        <f>M4*M24</f>
        <v>22429.294652959852</v>
      </c>
      <c r="N6" s="1">
        <f>N4*N24</f>
        <v>17244.939710229046</v>
      </c>
    </row>
    <row r="7" spans="1:14" x14ac:dyDescent="0.3">
      <c r="A7" t="s">
        <v>9</v>
      </c>
      <c r="B7" s="6">
        <f>'Data Sheet'!B25</f>
        <v>-3666.12</v>
      </c>
      <c r="C7" s="6">
        <f>'Data Sheet'!C25</f>
        <v>754.1</v>
      </c>
      <c r="D7" s="6">
        <f>'Data Sheet'!D25</f>
        <v>2447.87</v>
      </c>
      <c r="E7" s="6">
        <f>'Data Sheet'!E25</f>
        <v>322.76</v>
      </c>
      <c r="F7" s="6">
        <f>'Data Sheet'!F25</f>
        <v>1908.56</v>
      </c>
      <c r="G7" s="6">
        <f>'Data Sheet'!G25</f>
        <v>3908.04</v>
      </c>
      <c r="H7" s="6">
        <f>'Data Sheet'!H25</f>
        <v>4215.54</v>
      </c>
      <c r="I7" s="6">
        <f>'Data Sheet'!I25</f>
        <v>9883.31</v>
      </c>
      <c r="J7" s="6">
        <f>'Data Sheet'!J25</f>
        <v>2589.85</v>
      </c>
      <c r="K7" s="6">
        <f>'Data Sheet'!K25</f>
        <v>3624.76</v>
      </c>
      <c r="L7" s="6">
        <f>SUM(Quarters!H7:K7)</f>
        <v>3624.76</v>
      </c>
      <c r="M7" s="6">
        <v>0</v>
      </c>
      <c r="N7" s="6">
        <v>0</v>
      </c>
    </row>
    <row r="8" spans="1:14" x14ac:dyDescent="0.3">
      <c r="A8" t="s">
        <v>10</v>
      </c>
      <c r="B8" s="6">
        <f>'Data Sheet'!B26</f>
        <v>2672.36</v>
      </c>
      <c r="C8" s="6">
        <f>'Data Sheet'!C26</f>
        <v>2698.72</v>
      </c>
      <c r="D8" s="6">
        <f>'Data Sheet'!D26</f>
        <v>2750.62</v>
      </c>
      <c r="E8" s="6">
        <f>'Data Sheet'!E26</f>
        <v>3006.5</v>
      </c>
      <c r="F8" s="6">
        <f>'Data Sheet'!F26</f>
        <v>3201.65</v>
      </c>
      <c r="G8" s="6">
        <f>'Data Sheet'!G26</f>
        <v>3117.54</v>
      </c>
      <c r="H8" s="6">
        <f>'Data Sheet'!H26</f>
        <v>3303.68</v>
      </c>
      <c r="I8" s="6">
        <f>'Data Sheet'!I26</f>
        <v>3931.33</v>
      </c>
      <c r="J8" s="6">
        <f>'Data Sheet'!J26</f>
        <v>4308.88</v>
      </c>
      <c r="K8" s="6">
        <f>'Data Sheet'!K26</f>
        <v>4564.53</v>
      </c>
      <c r="L8" s="6">
        <f>SUM(Quarters!H8:K8)</f>
        <v>4564.5300000000007</v>
      </c>
      <c r="M8" s="6">
        <f>+$L8</f>
        <v>4564.5300000000007</v>
      </c>
      <c r="N8" s="6">
        <f>+$L8</f>
        <v>4564.5300000000007</v>
      </c>
    </row>
    <row r="9" spans="1:14" x14ac:dyDescent="0.3">
      <c r="A9" t="s">
        <v>11</v>
      </c>
      <c r="B9" s="6">
        <f>'Data Sheet'!B27</f>
        <v>5901.73</v>
      </c>
      <c r="C9" s="6">
        <f>'Data Sheet'!C27</f>
        <v>5570.23</v>
      </c>
      <c r="D9" s="6">
        <f>'Data Sheet'!D27</f>
        <v>5656.52</v>
      </c>
      <c r="E9" s="6">
        <f>'Data Sheet'!E27</f>
        <v>5314.82</v>
      </c>
      <c r="F9" s="6">
        <f>'Data Sheet'!F27</f>
        <v>5106.33</v>
      </c>
      <c r="G9" s="6">
        <f>'Data Sheet'!G27</f>
        <v>4094.78</v>
      </c>
      <c r="H9" s="6">
        <f>'Data Sheet'!H27</f>
        <v>3333.5</v>
      </c>
      <c r="I9" s="6">
        <f>'Data Sheet'!I27</f>
        <v>3388.09</v>
      </c>
      <c r="J9" s="6">
        <f>'Data Sheet'!J27</f>
        <v>3339.79</v>
      </c>
      <c r="K9" s="6">
        <f>'Data Sheet'!K27</f>
        <v>3366.83</v>
      </c>
      <c r="L9" s="6">
        <f>SUM(Quarters!H9:K9)</f>
        <v>3366.83</v>
      </c>
      <c r="M9" s="6">
        <f>+$L9</f>
        <v>3366.83</v>
      </c>
      <c r="N9" s="6">
        <f>+$L9</f>
        <v>3366.83</v>
      </c>
    </row>
    <row r="10" spans="1:14" x14ac:dyDescent="0.3">
      <c r="A10" t="s">
        <v>12</v>
      </c>
      <c r="B10" s="6">
        <f>'Data Sheet'!B28</f>
        <v>-6260.17</v>
      </c>
      <c r="C10" s="6">
        <f>'Data Sheet'!C28</f>
        <v>-2078.92</v>
      </c>
      <c r="D10" s="6">
        <f>'Data Sheet'!D28</f>
        <v>-975.86</v>
      </c>
      <c r="E10" s="6">
        <f>'Data Sheet'!E28</f>
        <v>-2264.92</v>
      </c>
      <c r="F10" s="6">
        <f>'Data Sheet'!F28</f>
        <v>2288.7399999999998</v>
      </c>
      <c r="G10" s="6">
        <f>'Data Sheet'!G28</f>
        <v>6577.13</v>
      </c>
      <c r="H10" s="6">
        <f>'Data Sheet'!H28</f>
        <v>7674.7</v>
      </c>
      <c r="I10" s="6">
        <f>'Data Sheet'!I28</f>
        <v>20791.509999999998</v>
      </c>
      <c r="J10" s="6">
        <f>'Data Sheet'!J28</f>
        <v>16359.51</v>
      </c>
      <c r="K10" s="6">
        <f>'Data Sheet'!K28</f>
        <v>15499.51</v>
      </c>
      <c r="L10" s="6">
        <f>SUM(Quarters!H10:K10)</f>
        <v>15499.51</v>
      </c>
      <c r="M10" s="6">
        <f>M6+M7-SUM(M8:M9)</f>
        <v>14497.934652959852</v>
      </c>
      <c r="N10" s="6">
        <f>N6+N7-SUM(N8:N9)</f>
        <v>9313.5797102290453</v>
      </c>
    </row>
    <row r="11" spans="1:14" x14ac:dyDescent="0.3">
      <c r="A11" t="s">
        <v>13</v>
      </c>
      <c r="B11" s="6">
        <f>'Data Sheet'!B29</f>
        <v>-86.07</v>
      </c>
      <c r="C11" s="6">
        <f>'Data Sheet'!C29</f>
        <v>-5.15</v>
      </c>
      <c r="D11" s="6">
        <f>'Data Sheet'!D29</f>
        <v>8.5399999999999991</v>
      </c>
      <c r="E11" s="6">
        <f>'Data Sheet'!E29</f>
        <v>9.85</v>
      </c>
      <c r="F11" s="6">
        <f>'Data Sheet'!F29</f>
        <v>1018.76</v>
      </c>
      <c r="G11" s="6">
        <f>'Data Sheet'!G29</f>
        <v>1665.55</v>
      </c>
      <c r="H11" s="6">
        <f>'Data Sheet'!H29</f>
        <v>-3051.94</v>
      </c>
      <c r="I11" s="6">
        <f>'Data Sheet'!I29</f>
        <v>-37.28</v>
      </c>
      <c r="J11" s="6">
        <f>'Data Sheet'!J29</f>
        <v>3609.9</v>
      </c>
      <c r="K11" s="6">
        <f>'Data Sheet'!K29</f>
        <v>2528.4299999999998</v>
      </c>
      <c r="L11" s="6">
        <f>SUM(Quarters!H11:K11)</f>
        <v>2528.4299999999998</v>
      </c>
      <c r="M11" s="7">
        <f>IF($L10&gt;0,$L11/$L10,0)</f>
        <v>0.1631296731316022</v>
      </c>
      <c r="N11" s="7">
        <f>IF($L10&gt;0,$L11/$L10,0)</f>
        <v>0.1631296731316022</v>
      </c>
    </row>
    <row r="12" spans="1:14" s="2" customFormat="1" x14ac:dyDescent="0.3">
      <c r="A12" s="2" t="s">
        <v>14</v>
      </c>
      <c r="B12" s="1">
        <f>'Data Sheet'!B30</f>
        <v>-6174.1</v>
      </c>
      <c r="C12" s="1">
        <f>'Data Sheet'!C30</f>
        <v>-2102.9499999999998</v>
      </c>
      <c r="D12" s="1">
        <f>'Data Sheet'!D30</f>
        <v>-984.4</v>
      </c>
      <c r="E12" s="1">
        <f>'Data Sheet'!E30</f>
        <v>-2274.77</v>
      </c>
      <c r="F12" s="1">
        <f>'Data Sheet'!F30</f>
        <v>1269.98</v>
      </c>
      <c r="G12" s="1">
        <f>'Data Sheet'!G30</f>
        <v>4911.58</v>
      </c>
      <c r="H12" s="1">
        <f>'Data Sheet'!H30</f>
        <v>10726.64</v>
      </c>
      <c r="I12" s="1">
        <f>'Data Sheet'!I30</f>
        <v>20828.79</v>
      </c>
      <c r="J12" s="1">
        <f>'Data Sheet'!J30</f>
        <v>12938.77</v>
      </c>
      <c r="K12" s="1">
        <f>'Data Sheet'!K30</f>
        <v>12834.3</v>
      </c>
      <c r="L12" s="1">
        <f>SUM(Quarters!H12:K12)</f>
        <v>12834.300000000001</v>
      </c>
      <c r="M12" s="1">
        <f>M10-M11*M10</f>
        <v>12132.891311939182</v>
      </c>
      <c r="N12" s="1">
        <f>N10-N11*N10</f>
        <v>7794.2584964142588</v>
      </c>
    </row>
    <row r="13" spans="1:14" x14ac:dyDescent="0.3">
      <c r="A13" t="s">
        <v>57</v>
      </c>
      <c r="B13" s="6">
        <f>IF('Data Sheet'!B93&gt;0,B12/'Data Sheet'!B93,0)</f>
        <v>-3.2015535631873973</v>
      </c>
      <c r="C13" s="6">
        <f>IF('Data Sheet'!C93&gt;0,C12/'Data Sheet'!C93,0)</f>
        <v>-1.0904758694716536</v>
      </c>
      <c r="D13" s="6">
        <f>IF('Data Sheet'!D93&gt;0,D12/'Data Sheet'!D93,0)</f>
        <v>-0.5104564758591007</v>
      </c>
      <c r="E13" s="6">
        <f>IF('Data Sheet'!E93&gt;0,E12/'Data Sheet'!E93,0)</f>
        <v>-1.1795724071414126</v>
      </c>
      <c r="F13" s="6">
        <f>IF('Data Sheet'!F93&gt;0,F12/'Data Sheet'!F93,0)</f>
        <v>0.65854278262041932</v>
      </c>
      <c r="G13" s="6">
        <f>IF('Data Sheet'!G93&gt;0,G12/'Data Sheet'!G93,0)</f>
        <v>2.5468791321617656</v>
      </c>
      <c r="H13" s="6">
        <f>IF('Data Sheet'!H93&gt;0,H12/'Data Sheet'!H93,0)</f>
        <v>5.5622540148407804</v>
      </c>
      <c r="I13" s="6">
        <f>IF('Data Sheet'!I93&gt;0,I12/'Data Sheet'!I93,0)</f>
        <v>10.800681369168304</v>
      </c>
      <c r="J13" s="6">
        <f>IF('Data Sheet'!J93&gt;0,J12/'Data Sheet'!J93,0)</f>
        <v>6.709344713684942</v>
      </c>
      <c r="K13" s="6">
        <f>IF('Data Sheet'!K93&gt;0,K12/'Data Sheet'!K93,0)</f>
        <v>6.6551722349842102</v>
      </c>
      <c r="L13" s="6">
        <f>IF('Data Sheet'!$B6&gt;0,'Profit &amp; Loss'!L12/'Data Sheet'!$B6,0)</f>
        <v>6.6551743081364467</v>
      </c>
      <c r="M13" s="6">
        <f>IF('Data Sheet'!$B6&gt;0,'Profit &amp; Loss'!M12/'Data Sheet'!$B6,0)</f>
        <v>6.2914616724425594</v>
      </c>
      <c r="N13" s="6">
        <f>IF('Data Sheet'!$B6&gt;0,'Profit &amp; Loss'!N12/'Data Sheet'!$B6,0)</f>
        <v>4.0416811899605261</v>
      </c>
    </row>
    <row r="14" spans="1:14" x14ac:dyDescent="0.3">
      <c r="A14" t="s">
        <v>16</v>
      </c>
      <c r="B14" s="6">
        <f>IF(B15&gt;0,B15/B13,"")</f>
        <v>-2.4925399005523072</v>
      </c>
      <c r="C14" s="6">
        <f t="shared" ref="C14:K14" si="2">IF(C15&gt;0,C15/C13,"")</f>
        <v>-4.3467261703797053</v>
      </c>
      <c r="D14" s="6">
        <f t="shared" si="2"/>
        <v>-18.885057700121905</v>
      </c>
      <c r="E14" s="6">
        <f t="shared" si="2"/>
        <v>-4.7050948007930469</v>
      </c>
      <c r="F14" s="6">
        <f t="shared" si="2"/>
        <v>25.829756925305912</v>
      </c>
      <c r="G14" s="6">
        <f t="shared" si="2"/>
        <v>14.535436539769281</v>
      </c>
      <c r="H14" s="6">
        <f t="shared" si="2"/>
        <v>6.889293422730697</v>
      </c>
      <c r="I14" s="6">
        <f t="shared" si="2"/>
        <v>9.8845615707873584</v>
      </c>
      <c r="J14" s="6">
        <f t="shared" si="2"/>
        <v>15.181810496670085</v>
      </c>
      <c r="K14" s="6">
        <f t="shared" si="2"/>
        <v>22.603472109893023</v>
      </c>
      <c r="L14" s="6">
        <f t="shared" ref="L14" si="3">IF(L13&gt;0,L15/L13,0)</f>
        <v>34.64221811863522</v>
      </c>
      <c r="M14" s="6">
        <f>M25</f>
        <v>34.64221811863522</v>
      </c>
      <c r="N14" s="6">
        <f>N25</f>
        <v>17.289465376414274</v>
      </c>
    </row>
    <row r="15" spans="1:14" s="2" customFormat="1" x14ac:dyDescent="0.3">
      <c r="A15" s="2" t="s">
        <v>58</v>
      </c>
      <c r="B15" s="1">
        <f>'Data Sheet'!B90</f>
        <v>7.98</v>
      </c>
      <c r="C15" s="1">
        <f>'Data Sheet'!C90</f>
        <v>4.74</v>
      </c>
      <c r="D15" s="1">
        <f>'Data Sheet'!D90</f>
        <v>9.64</v>
      </c>
      <c r="E15" s="1">
        <f>'Data Sheet'!E90</f>
        <v>5.55</v>
      </c>
      <c r="F15" s="1">
        <f>'Data Sheet'!F90</f>
        <v>17.010000000000002</v>
      </c>
      <c r="G15" s="1">
        <f>'Data Sheet'!G90</f>
        <v>37.020000000000003</v>
      </c>
      <c r="H15" s="1">
        <f>'Data Sheet'!H90</f>
        <v>38.32</v>
      </c>
      <c r="I15" s="1">
        <f>'Data Sheet'!I90</f>
        <v>106.76</v>
      </c>
      <c r="J15" s="1">
        <f>'Data Sheet'!J90</f>
        <v>101.86</v>
      </c>
      <c r="K15" s="1">
        <f>'Data Sheet'!K90</f>
        <v>150.43</v>
      </c>
      <c r="L15" s="1">
        <f>'Data Sheet'!B8</f>
        <v>230.55</v>
      </c>
      <c r="M15" s="8">
        <f>M13*M14</f>
        <v>217.95018754178867</v>
      </c>
      <c r="N15" s="9">
        <f>N13*N14</f>
        <v>69.87850699632736</v>
      </c>
    </row>
    <row r="17" spans="1:14" s="2" customFormat="1" x14ac:dyDescent="0.3">
      <c r="A17" s="2" t="s">
        <v>15</v>
      </c>
    </row>
    <row r="18" spans="1:14" x14ac:dyDescent="0.3">
      <c r="A18" t="s">
        <v>17</v>
      </c>
      <c r="B18" s="5">
        <f>IF('Data Sheet'!B30&gt;0, 'Data Sheet'!B31/'Data Sheet'!B30, 0)</f>
        <v>0</v>
      </c>
      <c r="C18" s="5">
        <f>IF('Data Sheet'!C30&gt;0, 'Data Sheet'!C31/'Data Sheet'!C30, 0)</f>
        <v>0</v>
      </c>
      <c r="D18" s="5">
        <f>IF('Data Sheet'!D30&gt;0, 'Data Sheet'!D31/'Data Sheet'!D30, 0)</f>
        <v>0</v>
      </c>
      <c r="E18" s="5">
        <f>IF('Data Sheet'!E30&gt;0, 'Data Sheet'!E31/'Data Sheet'!E30, 0)</f>
        <v>0</v>
      </c>
      <c r="F18" s="5">
        <f>IF('Data Sheet'!F30&gt;0, 'Data Sheet'!F31/'Data Sheet'!F30, 0)</f>
        <v>0</v>
      </c>
      <c r="G18" s="5">
        <f>IF('Data Sheet'!G30&gt;0, 'Data Sheet'!G31/'Data Sheet'!G30, 0)</f>
        <v>0</v>
      </c>
      <c r="H18" s="5">
        <f>IF('Data Sheet'!H30&gt;0, 'Data Sheet'!H31/'Data Sheet'!H30, 0)</f>
        <v>0</v>
      </c>
      <c r="I18" s="5">
        <f>IF('Data Sheet'!I30&gt;0, 'Data Sheet'!I31/'Data Sheet'!I30, 0)</f>
        <v>0</v>
      </c>
      <c r="J18" s="5">
        <f>IF('Data Sheet'!J30&gt;0, 'Data Sheet'!J31/'Data Sheet'!J30, 0)</f>
        <v>0</v>
      </c>
      <c r="K18" s="5">
        <f>IF('Data Sheet'!K30&gt;0, 'Data Sheet'!K31/'Data Sheet'!K30, 0)</f>
        <v>0</v>
      </c>
    </row>
    <row r="19" spans="1:14" x14ac:dyDescent="0.3">
      <c r="A19" t="s">
        <v>18</v>
      </c>
      <c r="B19" s="5">
        <f t="shared" ref="B19:L19" si="4">IF(B6&gt;0,B6/B4,0)</f>
        <v>0.26442207140144075</v>
      </c>
      <c r="C19" s="5">
        <f t="shared" ref="C19:K19" si="5">IF(C6&gt;0,C6/C4,0)</f>
        <v>0.26772335684890075</v>
      </c>
      <c r="D19" s="5">
        <f t="shared" si="5"/>
        <v>0.20864898857737632</v>
      </c>
      <c r="E19" s="5">
        <f t="shared" si="5"/>
        <v>0.21662765058720582</v>
      </c>
      <c r="F19" s="5">
        <f t="shared" si="5"/>
        <v>0.33133751412963736</v>
      </c>
      <c r="G19" s="5">
        <f t="shared" si="5"/>
        <v>0.35658568130263668</v>
      </c>
      <c r="H19" s="5">
        <f t="shared" si="5"/>
        <v>0.26039413720266275</v>
      </c>
      <c r="I19" s="5">
        <f t="shared" si="5"/>
        <v>0.36200928477445948</v>
      </c>
      <c r="J19" s="5">
        <f t="shared" si="5"/>
        <v>0.38108812166733175</v>
      </c>
      <c r="K19" s="5">
        <f t="shared" si="5"/>
        <v>0.36515339454710233</v>
      </c>
      <c r="L19" s="5">
        <f t="shared" si="4"/>
        <v>0.36515339454710238</v>
      </c>
    </row>
    <row r="20" spans="1:14" x14ac:dyDescent="0.3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</row>
    <row r="21" spans="1:14" x14ac:dyDescent="0.3"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</row>
    <row r="22" spans="1:14" s="2" customFormat="1" x14ac:dyDescent="0.3">
      <c r="A22" s="11"/>
      <c r="B22" s="12"/>
      <c r="C22" s="12"/>
      <c r="D22" s="12"/>
      <c r="E22" s="12"/>
      <c r="F22" s="12"/>
      <c r="G22" s="12" t="s">
        <v>19</v>
      </c>
      <c r="H22" s="12" t="s">
        <v>65</v>
      </c>
      <c r="I22" s="12" t="s">
        <v>66</v>
      </c>
      <c r="J22" s="12" t="s">
        <v>67</v>
      </c>
      <c r="K22" s="12" t="s">
        <v>68</v>
      </c>
      <c r="L22" s="13" t="s">
        <v>69</v>
      </c>
      <c r="M22" s="13" t="s">
        <v>20</v>
      </c>
      <c r="N22" s="13" t="s">
        <v>21</v>
      </c>
    </row>
    <row r="23" spans="1:14" s="2" customFormat="1" x14ac:dyDescent="0.3">
      <c r="A23"/>
      <c r="B23"/>
      <c r="C23"/>
      <c r="D23"/>
      <c r="E23"/>
      <c r="F23"/>
      <c r="G23" t="s">
        <v>22</v>
      </c>
      <c r="H23" s="5">
        <f>IF(B4=0,"",POWER($K4/B4,1/9)-1)</f>
        <v>0.10207982196919008</v>
      </c>
      <c r="I23" s="5">
        <f>IF(D4=0,"",POWER($K4/D4,1/7)-1)</f>
        <v>0.12431406622286056</v>
      </c>
      <c r="J23" s="5">
        <f>IF(F4=0,"",POWER($K4/F4,1/5)-1)</f>
        <v>0.15646722408777647</v>
      </c>
      <c r="K23" s="5">
        <f>IF(H4=0,"",POWER($K4/H4, 1/3)-1)</f>
        <v>0.11839965989284607</v>
      </c>
      <c r="L23" s="5">
        <f>IF(ISERROR(MAX(IF(J4=0,"",(K4-J4)/J4),IF(K4=0,"",(L4-K4)/K4))),"",MAX(IF(J4=0,"",(K4-J4)/J4),IF(K4=0,"",(L4-K4)/K4)))</f>
        <v>1.3414247529676017E-16</v>
      </c>
      <c r="M23" s="16">
        <f>MAX(K23:L23)</f>
        <v>0.11839965989284607</v>
      </c>
      <c r="N23" s="16">
        <f>MIN(H23:L23)</f>
        <v>1.3414247529676017E-16</v>
      </c>
    </row>
    <row r="24" spans="1:14" x14ac:dyDescent="0.3">
      <c r="G24" t="s">
        <v>18</v>
      </c>
      <c r="H24" s="5">
        <f>IF(SUM(B4:$K$4)=0,"",SUMPRODUCT(B19:$K$19,B4:$K$4)/SUM(B4:$K$4))</f>
        <v>0.31793463097752467</v>
      </c>
      <c r="I24" s="5">
        <f>IF(SUM(E4:$K$4)=0,"",SUMPRODUCT(E19:$K$19,E4:$K$4)/SUM(E4:$K$4))</f>
        <v>0.33522198601314274</v>
      </c>
      <c r="J24" s="5">
        <f>IF(SUM(G4:$K$4)=0,"",SUMPRODUCT(G19:$K$19,G4:$K$4)/SUM(G4:$K$4))</f>
        <v>0.34948099550095491</v>
      </c>
      <c r="K24" s="5">
        <f>IF(SUM(I4:$K$4)=0, "", SUMPRODUCT(I19:$K$19,I4:$K$4)/SUM(I4:$K$4))</f>
        <v>0.36973856005098665</v>
      </c>
      <c r="L24" s="5">
        <f>L19</f>
        <v>0.36515339454710238</v>
      </c>
      <c r="M24" s="16">
        <f>MAX(K24:L24)</f>
        <v>0.36973856005098665</v>
      </c>
      <c r="N24" s="16">
        <f>MIN(H24:L24)</f>
        <v>0.31793463097752467</v>
      </c>
    </row>
    <row r="25" spans="1:14" x14ac:dyDescent="0.3">
      <c r="G25" t="s">
        <v>23</v>
      </c>
      <c r="H25" s="6">
        <f>IF(ISERROR(AVERAGEIF(B14:$L14,"&gt;0")),"",AVERAGEIF(B14:$L14,"&gt;0"))</f>
        <v>18.509507026255939</v>
      </c>
      <c r="I25" s="6">
        <f>IF(ISERROR(AVERAGEIF(E14:$L14,"&gt;0")),"",AVERAGEIF(E14:$L14,"&gt;0"))</f>
        <v>18.509507026255939</v>
      </c>
      <c r="J25" s="6">
        <f>IF(ISERROR(AVERAGEIF(G14:$L14,"&gt;0")),"",AVERAGEIF(G14:$L14,"&gt;0"))</f>
        <v>17.289465376414274</v>
      </c>
      <c r="K25" s="6">
        <f>IF(ISERROR(AVERAGEIF(I14:$L14,"&gt;0")),"",AVERAGEIF(I14:$L14,"&gt;0"))</f>
        <v>20.578015573996424</v>
      </c>
      <c r="L25" s="6">
        <f>L14</f>
        <v>34.64221811863522</v>
      </c>
      <c r="M25" s="1">
        <f>MAX(K25:L25)</f>
        <v>34.64221811863522</v>
      </c>
      <c r="N25" s="1">
        <f>MIN(H25:L25)</f>
        <v>17.289465376414274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customWidth="1"/>
    <col min="2" max="11" width="13.44140625" bestFit="1" customWidth="1"/>
  </cols>
  <sheetData>
    <row r="1" spans="1:11" s="2" customFormat="1" x14ac:dyDescent="0.3">
      <c r="A1" s="2" t="str">
        <f>'Profit &amp; Loss'!A1</f>
        <v>ADANI POWER LTD</v>
      </c>
      <c r="E1" t="str">
        <f>UPDATE</f>
        <v/>
      </c>
      <c r="J1" s="2" t="s">
        <v>1</v>
      </c>
    </row>
    <row r="3" spans="1:11" s="2" customFormat="1" x14ac:dyDescent="0.3">
      <c r="A3" s="11" t="s">
        <v>2</v>
      </c>
      <c r="B3" s="12">
        <f>'Data Sheet'!B41</f>
        <v>45291</v>
      </c>
      <c r="C3" s="12">
        <f>'Data Sheet'!C41</f>
        <v>45382</v>
      </c>
      <c r="D3" s="12">
        <f>'Data Sheet'!D41</f>
        <v>45473</v>
      </c>
      <c r="E3" s="12">
        <f>'Data Sheet'!E41</f>
        <v>45565</v>
      </c>
      <c r="F3" s="12">
        <f>'Data Sheet'!F41</f>
        <v>45657</v>
      </c>
      <c r="G3" s="12">
        <f>'Data Sheet'!G41</f>
        <v>45747</v>
      </c>
      <c r="H3" s="12">
        <f>'Data Sheet'!H41</f>
        <v>45838</v>
      </c>
      <c r="I3" s="12">
        <f>'Data Sheet'!I41</f>
        <v>45930</v>
      </c>
      <c r="J3" s="12">
        <f>'Data Sheet'!J41</f>
        <v>46022</v>
      </c>
      <c r="K3" s="12">
        <f>'Data Sheet'!K41</f>
        <v>46112</v>
      </c>
    </row>
    <row r="4" spans="1:11" s="2" customFormat="1" x14ac:dyDescent="0.3">
      <c r="A4" s="2" t="s">
        <v>6</v>
      </c>
      <c r="B4" s="1">
        <f>'Data Sheet'!B42</f>
        <v>12991.44</v>
      </c>
      <c r="C4" s="1">
        <f>'Data Sheet'!C42</f>
        <v>13363.69</v>
      </c>
      <c r="D4" s="1">
        <f>'Data Sheet'!D42</f>
        <v>14955.63</v>
      </c>
      <c r="E4" s="1">
        <f>'Data Sheet'!E42</f>
        <v>13338.88</v>
      </c>
      <c r="F4" s="1">
        <f>'Data Sheet'!F42</f>
        <v>13671.18</v>
      </c>
      <c r="G4" s="1">
        <f>'Data Sheet'!G42</f>
        <v>14237.4</v>
      </c>
      <c r="H4" s="1">
        <f>'Data Sheet'!H42</f>
        <v>14109.15</v>
      </c>
      <c r="I4" s="1">
        <f>'Data Sheet'!I42</f>
        <v>13456.84</v>
      </c>
      <c r="J4" s="1">
        <f>'Data Sheet'!J42</f>
        <v>12451.44</v>
      </c>
      <c r="K4" s="1">
        <f>'Data Sheet'!K42</f>
        <v>14223.09</v>
      </c>
    </row>
    <row r="5" spans="1:11" x14ac:dyDescent="0.3">
      <c r="A5" t="s">
        <v>7</v>
      </c>
      <c r="B5" s="6">
        <f>'Data Sheet'!B43</f>
        <v>8346.1</v>
      </c>
      <c r="C5" s="6">
        <f>'Data Sheet'!C43</f>
        <v>8513.9500000000007</v>
      </c>
      <c r="D5" s="6">
        <f>'Data Sheet'!D43</f>
        <v>8761.32</v>
      </c>
      <c r="E5" s="6">
        <f>'Data Sheet'!E43</f>
        <v>8063.3</v>
      </c>
      <c r="F5" s="6">
        <f>'Data Sheet'!F43</f>
        <v>8648.26</v>
      </c>
      <c r="G5" s="6">
        <f>'Data Sheet'!G43</f>
        <v>9424.77</v>
      </c>
      <c r="H5" s="6">
        <f>'Data Sheet'!H43</f>
        <v>8423.8700000000008</v>
      </c>
      <c r="I5" s="6">
        <f>'Data Sheet'!I43</f>
        <v>8306.5499999999993</v>
      </c>
      <c r="J5" s="6">
        <f>'Data Sheet'!J43</f>
        <v>8213.3700000000008</v>
      </c>
      <c r="K5" s="6">
        <f>'Data Sheet'!K43</f>
        <v>9490.6200000000008</v>
      </c>
    </row>
    <row r="6" spans="1:11" s="2" customFormat="1" x14ac:dyDescent="0.3">
      <c r="A6" s="2" t="s">
        <v>8</v>
      </c>
      <c r="B6" s="1">
        <f>'Data Sheet'!B50</f>
        <v>4645.34</v>
      </c>
      <c r="C6" s="1">
        <f>'Data Sheet'!C50</f>
        <v>4849.74</v>
      </c>
      <c r="D6" s="1">
        <f>'Data Sheet'!D50</f>
        <v>6194.31</v>
      </c>
      <c r="E6" s="1">
        <f>'Data Sheet'!E50</f>
        <v>5275.58</v>
      </c>
      <c r="F6" s="1">
        <f>'Data Sheet'!F50</f>
        <v>5022.92</v>
      </c>
      <c r="G6" s="1">
        <f>'Data Sheet'!G50</f>
        <v>4812.63</v>
      </c>
      <c r="H6" s="1">
        <f>'Data Sheet'!H50</f>
        <v>5685.28</v>
      </c>
      <c r="I6" s="1">
        <f>'Data Sheet'!I50</f>
        <v>5150.29</v>
      </c>
      <c r="J6" s="1">
        <f>'Data Sheet'!J50</f>
        <v>4238.07</v>
      </c>
      <c r="K6" s="1">
        <f>'Data Sheet'!K50</f>
        <v>4732.47</v>
      </c>
    </row>
    <row r="7" spans="1:11" x14ac:dyDescent="0.3">
      <c r="A7" t="s">
        <v>9</v>
      </c>
      <c r="B7" s="6">
        <f>'Data Sheet'!B44</f>
        <v>363.83</v>
      </c>
      <c r="C7" s="6">
        <f>'Data Sheet'!C44</f>
        <v>517.83000000000004</v>
      </c>
      <c r="D7" s="6">
        <f>'Data Sheet'!D44</f>
        <v>518.32000000000005</v>
      </c>
      <c r="E7" s="6">
        <f>'Data Sheet'!E44</f>
        <v>723.96</v>
      </c>
      <c r="F7" s="6">
        <f>'Data Sheet'!F44</f>
        <v>1162.26</v>
      </c>
      <c r="G7" s="6">
        <f>'Data Sheet'!G44</f>
        <v>298.2</v>
      </c>
      <c r="H7" s="6">
        <f>'Data Sheet'!H44</f>
        <v>464.55</v>
      </c>
      <c r="I7" s="6">
        <f>'Data Sheet'!I44</f>
        <v>850.95</v>
      </c>
      <c r="J7" s="6">
        <f>'Data Sheet'!J44</f>
        <v>543.26</v>
      </c>
      <c r="K7" s="6">
        <f>'Data Sheet'!K44</f>
        <v>1766</v>
      </c>
    </row>
    <row r="8" spans="1:11" x14ac:dyDescent="0.3">
      <c r="A8" t="s">
        <v>10</v>
      </c>
      <c r="B8" s="6">
        <f>'Data Sheet'!B45</f>
        <v>1002.23</v>
      </c>
      <c r="C8" s="6">
        <f>'Data Sheet'!C45</f>
        <v>990.03</v>
      </c>
      <c r="D8" s="6">
        <f>'Data Sheet'!D45</f>
        <v>995.63</v>
      </c>
      <c r="E8" s="6">
        <f>'Data Sheet'!E45</f>
        <v>1058.5899999999999</v>
      </c>
      <c r="F8" s="6">
        <f>'Data Sheet'!F45</f>
        <v>1170.01</v>
      </c>
      <c r="G8" s="6">
        <f>'Data Sheet'!G45</f>
        <v>1084.6500000000001</v>
      </c>
      <c r="H8" s="6">
        <f>'Data Sheet'!H45</f>
        <v>1088.5899999999999</v>
      </c>
      <c r="I8" s="6">
        <f>'Data Sheet'!I45</f>
        <v>1193.4100000000001</v>
      </c>
      <c r="J8" s="6">
        <f>'Data Sheet'!J45</f>
        <v>1135.3</v>
      </c>
      <c r="K8" s="6">
        <f>'Data Sheet'!K45</f>
        <v>1147.23</v>
      </c>
    </row>
    <row r="9" spans="1:11" x14ac:dyDescent="0.3">
      <c r="A9" t="s">
        <v>11</v>
      </c>
      <c r="B9" s="6">
        <f>'Data Sheet'!B46</f>
        <v>796.56</v>
      </c>
      <c r="C9" s="6">
        <f>'Data Sheet'!C46</f>
        <v>819.6</v>
      </c>
      <c r="D9" s="6">
        <f>'Data Sheet'!D46</f>
        <v>811.49</v>
      </c>
      <c r="E9" s="6">
        <f>'Data Sheet'!E46</f>
        <v>806.87</v>
      </c>
      <c r="F9" s="6">
        <f>'Data Sheet'!F46</f>
        <v>956.53</v>
      </c>
      <c r="G9" s="6">
        <f>'Data Sheet'!G46</f>
        <v>764.9</v>
      </c>
      <c r="H9" s="6">
        <f>'Data Sheet'!H46</f>
        <v>856.93</v>
      </c>
      <c r="I9" s="6">
        <f>'Data Sheet'!I46</f>
        <v>841.63</v>
      </c>
      <c r="J9" s="6">
        <f>'Data Sheet'!J46</f>
        <v>701.01</v>
      </c>
      <c r="K9" s="6">
        <f>'Data Sheet'!K46</f>
        <v>967.26</v>
      </c>
    </row>
    <row r="10" spans="1:11" x14ac:dyDescent="0.3">
      <c r="A10" t="s">
        <v>12</v>
      </c>
      <c r="B10" s="6">
        <f>'Data Sheet'!B47</f>
        <v>3210.38</v>
      </c>
      <c r="C10" s="6">
        <f>'Data Sheet'!C47</f>
        <v>3557.94</v>
      </c>
      <c r="D10" s="6">
        <f>'Data Sheet'!D47</f>
        <v>4905.51</v>
      </c>
      <c r="E10" s="6">
        <f>'Data Sheet'!E47</f>
        <v>4134.08</v>
      </c>
      <c r="F10" s="6">
        <f>'Data Sheet'!F47</f>
        <v>4058.64</v>
      </c>
      <c r="G10" s="6">
        <f>'Data Sheet'!G47</f>
        <v>3261.28</v>
      </c>
      <c r="H10" s="6">
        <f>'Data Sheet'!H47</f>
        <v>4204.3100000000004</v>
      </c>
      <c r="I10" s="6">
        <f>'Data Sheet'!I47</f>
        <v>3966.2</v>
      </c>
      <c r="J10" s="6">
        <f>'Data Sheet'!J47</f>
        <v>2945.02</v>
      </c>
      <c r="K10" s="6">
        <f>'Data Sheet'!K47</f>
        <v>4383.9799999999996</v>
      </c>
    </row>
    <row r="11" spans="1:11" x14ac:dyDescent="0.3">
      <c r="A11" t="s">
        <v>13</v>
      </c>
      <c r="B11" s="6">
        <f>'Data Sheet'!B48</f>
        <v>472.42</v>
      </c>
      <c r="C11" s="6">
        <f>'Data Sheet'!C48</f>
        <v>820.7</v>
      </c>
      <c r="D11" s="6">
        <f>'Data Sheet'!D48</f>
        <v>992.72</v>
      </c>
      <c r="E11" s="6">
        <f>'Data Sheet'!E48</f>
        <v>836.56</v>
      </c>
      <c r="F11" s="6">
        <f>'Data Sheet'!F48</f>
        <v>1118.57</v>
      </c>
      <c r="G11" s="6">
        <f>'Data Sheet'!G48</f>
        <v>662.05</v>
      </c>
      <c r="H11" s="6">
        <f>'Data Sheet'!H48</f>
        <v>899.18</v>
      </c>
      <c r="I11" s="6">
        <f>'Data Sheet'!I48</f>
        <v>1059.74</v>
      </c>
      <c r="J11" s="6">
        <f>'Data Sheet'!J48</f>
        <v>456.93</v>
      </c>
      <c r="K11" s="6">
        <f>'Data Sheet'!K48</f>
        <v>112.58</v>
      </c>
    </row>
    <row r="12" spans="1:11" s="2" customFormat="1" x14ac:dyDescent="0.3">
      <c r="A12" s="2" t="s">
        <v>14</v>
      </c>
      <c r="B12" s="1">
        <f>'Data Sheet'!B49</f>
        <v>2737.96</v>
      </c>
      <c r="C12" s="1">
        <f>'Data Sheet'!C49</f>
        <v>2737.24</v>
      </c>
      <c r="D12" s="1">
        <f>'Data Sheet'!D49</f>
        <v>3912.79</v>
      </c>
      <c r="E12" s="1">
        <f>'Data Sheet'!E49</f>
        <v>3331.8</v>
      </c>
      <c r="F12" s="1">
        <f>'Data Sheet'!F49</f>
        <v>3057.21</v>
      </c>
      <c r="G12" s="1">
        <f>'Data Sheet'!G49</f>
        <v>2636.97</v>
      </c>
      <c r="H12" s="1">
        <f>'Data Sheet'!H49</f>
        <v>3384.86</v>
      </c>
      <c r="I12" s="1">
        <f>'Data Sheet'!I49</f>
        <v>2952.78</v>
      </c>
      <c r="J12" s="1">
        <f>'Data Sheet'!J49</f>
        <v>2479.58</v>
      </c>
      <c r="K12" s="1">
        <f>'Data Sheet'!K49</f>
        <v>4017.08</v>
      </c>
    </row>
    <row r="14" spans="1:11" s="2" customFormat="1" x14ac:dyDescent="0.3">
      <c r="A14" s="2" t="s">
        <v>18</v>
      </c>
      <c r="B14" s="10">
        <f>IF(B4&gt;0,B6/B4,"")</f>
        <v>0.35756929177981811</v>
      </c>
      <c r="C14" s="10">
        <f t="shared" ref="C14:K14" si="0">IF(C4&gt;0,C6/C4,"")</f>
        <v>0.36290425773121043</v>
      </c>
      <c r="D14" s="10">
        <f t="shared" si="0"/>
        <v>0.41417914190174543</v>
      </c>
      <c r="E14" s="10">
        <f t="shared" si="0"/>
        <v>0.39550397034833512</v>
      </c>
      <c r="F14" s="10">
        <f t="shared" si="0"/>
        <v>0.3674093969942609</v>
      </c>
      <c r="G14" s="10">
        <f t="shared" si="0"/>
        <v>0.3380273083568629</v>
      </c>
      <c r="H14" s="10">
        <f t="shared" si="0"/>
        <v>0.40294985877958628</v>
      </c>
      <c r="I14" s="10">
        <f t="shared" si="0"/>
        <v>0.38272655393093774</v>
      </c>
      <c r="J14" s="10">
        <f t="shared" si="0"/>
        <v>0.34036786106667177</v>
      </c>
      <c r="K14" s="10">
        <f t="shared" si="0"/>
        <v>0.33273149505487204</v>
      </c>
    </row>
    <row r="22" s="23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Y27"/>
  <sheetViews>
    <sheetView zoomScale="116" workbookViewId="0">
      <pane xSplit="1" ySplit="3" topLeftCell="F6" activePane="bottomRight" state="frozen"/>
      <selection activeCell="C4" sqref="C4"/>
      <selection pane="topRight" activeCell="C4" sqref="C4"/>
      <selection pane="bottomLeft" activeCell="C4" sqref="C4"/>
      <selection pane="bottomRight" activeCell="F6" sqref="F6"/>
    </sheetView>
  </sheetViews>
  <sheetFormatPr defaultColWidth="8.77734375" defaultRowHeight="14.4" x14ac:dyDescent="0.3"/>
  <cols>
    <col min="1" max="1" width="21.109375" bestFit="1" customWidth="1"/>
    <col min="2" max="9" width="10.21875" bestFit="1" customWidth="1"/>
    <col min="10" max="10" width="12.109375" bestFit="1" customWidth="1"/>
    <col min="11" max="11" width="11.88671875" bestFit="1" customWidth="1"/>
    <col min="13" max="13" width="21.77734375" bestFit="1" customWidth="1"/>
    <col min="14" max="23" width="7" bestFit="1" customWidth="1"/>
    <col min="24" max="25" width="8.33203125" bestFit="1" customWidth="1"/>
  </cols>
  <sheetData>
    <row r="1" spans="1:25" s="2" customFormat="1" x14ac:dyDescent="0.3">
      <c r="A1" s="2" t="str">
        <f>'Profit &amp; Loss'!A1</f>
        <v>ADANI POWER LTD</v>
      </c>
      <c r="E1" t="str">
        <f>UPDATE</f>
        <v/>
      </c>
      <c r="G1"/>
      <c r="J1" s="2" t="s">
        <v>1</v>
      </c>
      <c r="U1" s="132">
        <f>U23+U22-U14</f>
        <v>8311</v>
      </c>
    </row>
    <row r="2" spans="1:25" x14ac:dyDescent="0.3">
      <c r="G2" s="2"/>
      <c r="H2" s="2"/>
    </row>
    <row r="3" spans="1:25" x14ac:dyDescent="0.3">
      <c r="A3" s="11" t="s">
        <v>2</v>
      </c>
      <c r="B3" s="12">
        <f>'Data Sheet'!B56</f>
        <v>42825</v>
      </c>
      <c r="C3" s="12">
        <f>'Data Sheet'!C56</f>
        <v>43190</v>
      </c>
      <c r="D3" s="12">
        <f>'Data Sheet'!D56</f>
        <v>43555</v>
      </c>
      <c r="E3" s="12">
        <f>'Data Sheet'!E56</f>
        <v>43921</v>
      </c>
      <c r="F3" s="12">
        <f>'Data Sheet'!F56</f>
        <v>44286</v>
      </c>
      <c r="G3" s="12">
        <f>'Data Sheet'!G56</f>
        <v>44651</v>
      </c>
      <c r="H3" s="12">
        <f>'Data Sheet'!H56</f>
        <v>45016</v>
      </c>
      <c r="I3" s="12">
        <f>'Data Sheet'!I56</f>
        <v>45382</v>
      </c>
      <c r="J3" s="12">
        <f>'Data Sheet'!J56</f>
        <v>45747</v>
      </c>
      <c r="K3" s="12">
        <f>'Data Sheet'!K56</f>
        <v>46112</v>
      </c>
      <c r="N3" s="130">
        <v>42064</v>
      </c>
      <c r="O3" s="130">
        <v>42430</v>
      </c>
      <c r="P3" s="130">
        <v>42795</v>
      </c>
      <c r="Q3" s="130">
        <v>43160</v>
      </c>
      <c r="R3" s="130">
        <v>43525</v>
      </c>
      <c r="S3" s="130">
        <v>43891</v>
      </c>
      <c r="T3" s="130">
        <v>44256</v>
      </c>
      <c r="U3" s="130">
        <v>44621</v>
      </c>
      <c r="V3" s="130">
        <v>44986</v>
      </c>
      <c r="W3" s="130">
        <v>45352</v>
      </c>
      <c r="X3" s="130">
        <v>45717</v>
      </c>
      <c r="Y3" s="130">
        <v>46082</v>
      </c>
    </row>
    <row r="4" spans="1:25" x14ac:dyDescent="0.3">
      <c r="A4" t="s">
        <v>24</v>
      </c>
      <c r="B4" s="14">
        <f>'Data Sheet'!B57</f>
        <v>3856.94</v>
      </c>
      <c r="C4" s="14">
        <f>'Data Sheet'!C57</f>
        <v>3856.94</v>
      </c>
      <c r="D4" s="14">
        <f>'Data Sheet'!D57</f>
        <v>3856.94</v>
      </c>
      <c r="E4" s="14">
        <f>'Data Sheet'!E57</f>
        <v>3856.94</v>
      </c>
      <c r="F4" s="14">
        <f>'Data Sheet'!F57</f>
        <v>3856.94</v>
      </c>
      <c r="G4" s="14">
        <f>'Data Sheet'!G57</f>
        <v>3856.94</v>
      </c>
      <c r="H4" s="14">
        <f>'Data Sheet'!H57</f>
        <v>3856.94</v>
      </c>
      <c r="I4" s="14">
        <f>'Data Sheet'!I57</f>
        <v>3856.94</v>
      </c>
      <c r="J4" s="14">
        <f>'Data Sheet'!J57</f>
        <v>3856.94</v>
      </c>
      <c r="K4" s="14">
        <f>'Data Sheet'!K57</f>
        <v>3856.94</v>
      </c>
      <c r="M4" t="s">
        <v>152</v>
      </c>
      <c r="N4" s="131">
        <v>2872</v>
      </c>
      <c r="O4" s="131">
        <v>3334</v>
      </c>
      <c r="P4" s="131">
        <v>3857</v>
      </c>
      <c r="Q4" s="131">
        <v>3857</v>
      </c>
      <c r="R4" s="131">
        <v>3857</v>
      </c>
      <c r="S4" s="131">
        <v>3857</v>
      </c>
      <c r="T4" s="131">
        <v>3857</v>
      </c>
      <c r="U4" s="131">
        <v>3857</v>
      </c>
      <c r="V4" s="131">
        <v>3857</v>
      </c>
      <c r="W4" s="131">
        <v>3857</v>
      </c>
      <c r="X4" s="131">
        <v>3857</v>
      </c>
      <c r="Y4" s="131">
        <v>3857</v>
      </c>
    </row>
    <row r="5" spans="1:25" x14ac:dyDescent="0.3">
      <c r="A5" t="s">
        <v>25</v>
      </c>
      <c r="B5" s="14">
        <f>'Data Sheet'!B58</f>
        <v>-857.38</v>
      </c>
      <c r="C5" s="14">
        <f>'Data Sheet'!C58</f>
        <v>-2967.61</v>
      </c>
      <c r="D5" s="14">
        <f>'Data Sheet'!D58</f>
        <v>3855.35</v>
      </c>
      <c r="E5" s="14">
        <f>'Data Sheet'!E58</f>
        <v>2623.5</v>
      </c>
      <c r="F5" s="14">
        <f>'Data Sheet'!F58</f>
        <v>9255.65</v>
      </c>
      <c r="G5" s="14">
        <f>'Data Sheet'!G58</f>
        <v>14599.95</v>
      </c>
      <c r="H5" s="14">
        <f>'Data Sheet'!H58</f>
        <v>26018.720000000001</v>
      </c>
      <c r="I5" s="14">
        <f>'Data Sheet'!I58</f>
        <v>39041.54</v>
      </c>
      <c r="J5" s="14">
        <f>'Data Sheet'!J58</f>
        <v>52490.15</v>
      </c>
      <c r="K5" s="14">
        <f>'Data Sheet'!K58</f>
        <v>61079.94</v>
      </c>
      <c r="M5" t="s">
        <v>25</v>
      </c>
      <c r="N5" s="131">
        <v>2853</v>
      </c>
      <c r="O5" s="131">
        <v>4134</v>
      </c>
      <c r="P5">
        <v>-857</v>
      </c>
      <c r="Q5" s="131">
        <v>-2968</v>
      </c>
      <c r="R5" s="131">
        <v>3855</v>
      </c>
      <c r="S5" s="131">
        <v>2624</v>
      </c>
      <c r="T5" s="131">
        <v>9256</v>
      </c>
      <c r="U5" s="131">
        <v>14600</v>
      </c>
      <c r="V5" s="131">
        <v>26019</v>
      </c>
      <c r="W5" s="131">
        <v>39042</v>
      </c>
      <c r="X5" s="131">
        <v>52490</v>
      </c>
      <c r="Y5" s="131">
        <v>61080</v>
      </c>
    </row>
    <row r="6" spans="1:25" x14ac:dyDescent="0.3">
      <c r="A6" t="s">
        <v>71</v>
      </c>
      <c r="B6" s="14">
        <f>'Data Sheet'!B59</f>
        <v>52484.37</v>
      </c>
      <c r="C6" s="14">
        <f>'Data Sheet'!C59</f>
        <v>52834.81</v>
      </c>
      <c r="D6" s="14">
        <f>'Data Sheet'!D59</f>
        <v>46979.7</v>
      </c>
      <c r="E6" s="14">
        <f>'Data Sheet'!E59</f>
        <v>55198.76</v>
      </c>
      <c r="F6" s="14">
        <f>'Data Sheet'!F59</f>
        <v>52411.27</v>
      </c>
      <c r="G6" s="14">
        <f>'Data Sheet'!G59</f>
        <v>49144.98</v>
      </c>
      <c r="H6" s="14">
        <f>'Data Sheet'!H59</f>
        <v>42349.53</v>
      </c>
      <c r="I6" s="14">
        <f>'Data Sheet'!I59</f>
        <v>34862.11</v>
      </c>
      <c r="J6" s="14">
        <f>'Data Sheet'!J59</f>
        <v>39494.870000000003</v>
      </c>
      <c r="K6" s="14">
        <f>'Data Sheet'!K59</f>
        <v>54670.29</v>
      </c>
      <c r="M6" t="s">
        <v>153</v>
      </c>
      <c r="N6" s="131">
        <v>44742</v>
      </c>
      <c r="O6" s="131">
        <v>52729</v>
      </c>
      <c r="P6" s="131">
        <v>52484</v>
      </c>
      <c r="Q6" s="131">
        <v>52835</v>
      </c>
      <c r="R6" s="131">
        <v>46980</v>
      </c>
      <c r="S6" s="131">
        <v>55199</v>
      </c>
      <c r="T6" s="131">
        <v>52411</v>
      </c>
      <c r="U6" s="131">
        <v>49145</v>
      </c>
      <c r="V6" s="131">
        <v>42350</v>
      </c>
      <c r="W6" s="131">
        <v>34862</v>
      </c>
      <c r="X6" s="131">
        <v>39495</v>
      </c>
      <c r="Y6" s="131">
        <v>54670</v>
      </c>
    </row>
    <row r="7" spans="1:25" x14ac:dyDescent="0.3">
      <c r="A7" t="s">
        <v>72</v>
      </c>
      <c r="B7" s="14">
        <f>'Data Sheet'!B60</f>
        <v>16027.12</v>
      </c>
      <c r="C7" s="14">
        <f>'Data Sheet'!C60</f>
        <v>15803.93</v>
      </c>
      <c r="D7" s="14">
        <f>'Data Sheet'!D60</f>
        <v>13292.61</v>
      </c>
      <c r="E7" s="14">
        <f>'Data Sheet'!E60</f>
        <v>13345.8</v>
      </c>
      <c r="F7" s="14">
        <f>'Data Sheet'!F60</f>
        <v>13011.61</v>
      </c>
      <c r="G7" s="14">
        <f>'Data Sheet'!G60</f>
        <v>14379.15</v>
      </c>
      <c r="H7" s="14">
        <f>'Data Sheet'!H60</f>
        <v>13596.08</v>
      </c>
      <c r="I7" s="14">
        <f>'Data Sheet'!I60</f>
        <v>14248.38</v>
      </c>
      <c r="J7" s="14">
        <f>'Data Sheet'!J60</f>
        <v>17075.61</v>
      </c>
      <c r="K7" s="14">
        <f>'Data Sheet'!K60</f>
        <v>21861.360000000001</v>
      </c>
      <c r="M7" t="s">
        <v>154</v>
      </c>
      <c r="N7" s="131">
        <v>35090</v>
      </c>
      <c r="O7" s="131">
        <v>35418</v>
      </c>
      <c r="P7" s="131">
        <v>36651</v>
      </c>
      <c r="Q7" s="131">
        <v>34560</v>
      </c>
      <c r="R7" s="131">
        <v>36410</v>
      </c>
      <c r="S7" s="131">
        <v>44566</v>
      </c>
      <c r="T7" s="131">
        <v>39957</v>
      </c>
      <c r="U7" s="131">
        <v>37871</v>
      </c>
      <c r="V7" s="131">
        <v>33703</v>
      </c>
      <c r="W7" s="131">
        <v>26595</v>
      </c>
      <c r="X7" s="131">
        <v>27647</v>
      </c>
      <c r="Y7" s="131">
        <v>42830</v>
      </c>
    </row>
    <row r="8" spans="1:25" s="2" customFormat="1" x14ac:dyDescent="0.3">
      <c r="A8" s="2" t="s">
        <v>26</v>
      </c>
      <c r="B8" s="15">
        <f>'Data Sheet'!B61</f>
        <v>71511.05</v>
      </c>
      <c r="C8" s="15">
        <f>'Data Sheet'!C61</f>
        <v>69528.070000000007</v>
      </c>
      <c r="D8" s="15">
        <f>'Data Sheet'!D61</f>
        <v>67984.600000000006</v>
      </c>
      <c r="E8" s="15">
        <f>'Data Sheet'!E61</f>
        <v>75025</v>
      </c>
      <c r="F8" s="15">
        <f>'Data Sheet'!F61</f>
        <v>78535.47</v>
      </c>
      <c r="G8" s="15">
        <f>'Data Sheet'!G61</f>
        <v>81981.02</v>
      </c>
      <c r="H8" s="15">
        <f>'Data Sheet'!H61</f>
        <v>85821.27</v>
      </c>
      <c r="I8" s="15">
        <f>'Data Sheet'!I61</f>
        <v>92008.97</v>
      </c>
      <c r="J8" s="15">
        <f>'Data Sheet'!J61</f>
        <v>112917.57</v>
      </c>
      <c r="K8" s="15">
        <f>'Data Sheet'!K61</f>
        <v>141468.53</v>
      </c>
      <c r="M8" s="2" t="s">
        <v>155</v>
      </c>
      <c r="N8" s="132">
        <v>6295</v>
      </c>
      <c r="O8" s="132">
        <v>13436</v>
      </c>
      <c r="P8" s="132">
        <v>12580</v>
      </c>
      <c r="Q8" s="132">
        <v>14560</v>
      </c>
      <c r="R8" s="132">
        <v>7074</v>
      </c>
      <c r="S8" s="132">
        <v>7802</v>
      </c>
      <c r="T8" s="132">
        <v>9683</v>
      </c>
      <c r="U8" s="132">
        <v>10924</v>
      </c>
      <c r="V8" s="132">
        <v>8549</v>
      </c>
      <c r="W8" s="132">
        <v>7862</v>
      </c>
      <c r="X8" s="132">
        <v>10688</v>
      </c>
      <c r="Y8" s="132">
        <v>10726</v>
      </c>
    </row>
    <row r="9" spans="1:25" s="2" customFormat="1" x14ac:dyDescent="0.3">
      <c r="B9" s="15"/>
      <c r="C9" s="15"/>
      <c r="D9" s="15"/>
      <c r="E9" s="15"/>
      <c r="F9" s="15"/>
      <c r="G9" s="15"/>
      <c r="H9" s="15"/>
      <c r="I9" s="15"/>
      <c r="J9" s="15"/>
      <c r="K9" s="15"/>
      <c r="M9" s="2" t="s">
        <v>156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103</v>
      </c>
      <c r="V9" s="2">
        <v>97</v>
      </c>
      <c r="W9" s="2">
        <v>159</v>
      </c>
      <c r="X9" s="132">
        <v>1160</v>
      </c>
      <c r="Y9" s="132">
        <v>1115</v>
      </c>
    </row>
    <row r="10" spans="1:25" x14ac:dyDescent="0.3">
      <c r="A10" t="s">
        <v>27</v>
      </c>
      <c r="B10" s="14">
        <f>'Data Sheet'!B62</f>
        <v>54390.93</v>
      </c>
      <c r="C10" s="14">
        <f>'Data Sheet'!C62</f>
        <v>52137.14</v>
      </c>
      <c r="D10" s="14">
        <f>'Data Sheet'!D62</f>
        <v>50418.76</v>
      </c>
      <c r="E10" s="14">
        <f>'Data Sheet'!E62</f>
        <v>55845.81</v>
      </c>
      <c r="F10" s="14">
        <f>'Data Sheet'!F62</f>
        <v>52851.3</v>
      </c>
      <c r="G10" s="14">
        <f>'Data Sheet'!G62</f>
        <v>53274.21</v>
      </c>
      <c r="H10" s="14">
        <f>'Data Sheet'!H62</f>
        <v>51451.38</v>
      </c>
      <c r="I10" s="14">
        <f>'Data Sheet'!I62</f>
        <v>63015.85</v>
      </c>
      <c r="J10" s="14">
        <f>'Data Sheet'!J62</f>
        <v>69297.45</v>
      </c>
      <c r="K10" s="14">
        <f>'Data Sheet'!K62</f>
        <v>69401.460000000006</v>
      </c>
      <c r="M10" t="s">
        <v>157</v>
      </c>
      <c r="N10">
        <v>0</v>
      </c>
      <c r="O10">
        <v>0</v>
      </c>
      <c r="P10">
        <v>0</v>
      </c>
      <c r="Q10">
        <v>0</v>
      </c>
      <c r="R10">
        <v>0</v>
      </c>
      <c r="S10">
        <v>76</v>
      </c>
      <c r="T10">
        <v>88</v>
      </c>
      <c r="U10">
        <v>401</v>
      </c>
      <c r="V10">
        <v>169</v>
      </c>
      <c r="W10">
        <v>431</v>
      </c>
      <c r="X10">
        <v>139</v>
      </c>
      <c r="Y10">
        <v>152</v>
      </c>
    </row>
    <row r="11" spans="1:25" x14ac:dyDescent="0.3">
      <c r="A11" t="s">
        <v>28</v>
      </c>
      <c r="B11" s="14">
        <f>'Data Sheet'!B63</f>
        <v>124.61</v>
      </c>
      <c r="C11" s="14">
        <f>'Data Sheet'!C63</f>
        <v>119.86</v>
      </c>
      <c r="D11" s="14">
        <f>'Data Sheet'!D63</f>
        <v>350.08</v>
      </c>
      <c r="E11" s="14">
        <f>'Data Sheet'!E63</f>
        <v>2346.77</v>
      </c>
      <c r="F11" s="14">
        <f>'Data Sheet'!F63</f>
        <v>6439.42</v>
      </c>
      <c r="G11" s="14">
        <f>'Data Sheet'!G63</f>
        <v>10269.74</v>
      </c>
      <c r="H11" s="14">
        <f>'Data Sheet'!H63</f>
        <v>12879.54</v>
      </c>
      <c r="I11" s="14">
        <f>'Data Sheet'!I63</f>
        <v>925.12</v>
      </c>
      <c r="J11" s="14">
        <f>'Data Sheet'!J63</f>
        <v>12104.42</v>
      </c>
      <c r="K11" s="14">
        <f>'Data Sheet'!K63</f>
        <v>35053.46</v>
      </c>
      <c r="M11" t="s">
        <v>158</v>
      </c>
      <c r="N11" s="131">
        <v>3357</v>
      </c>
      <c r="O11" s="131">
        <v>3876</v>
      </c>
      <c r="P11" s="131">
        <v>3254</v>
      </c>
      <c r="Q11" s="131">
        <v>3715</v>
      </c>
      <c r="R11" s="131">
        <v>3496</v>
      </c>
      <c r="S11" s="131">
        <v>2754</v>
      </c>
      <c r="T11" s="131">
        <v>2683</v>
      </c>
      <c r="U11">
        <v>-154</v>
      </c>
      <c r="V11">
        <v>-169</v>
      </c>
      <c r="W11">
        <v>-184</v>
      </c>
      <c r="X11">
        <v>-139</v>
      </c>
      <c r="Y11">
        <v>-152</v>
      </c>
    </row>
    <row r="12" spans="1:25" x14ac:dyDescent="0.3">
      <c r="A12" t="s">
        <v>29</v>
      </c>
      <c r="B12" s="14">
        <f>'Data Sheet'!B64</f>
        <v>164.33</v>
      </c>
      <c r="C12" s="14">
        <f>'Data Sheet'!C64</f>
        <v>0.01</v>
      </c>
      <c r="D12" s="14">
        <f>'Data Sheet'!D64</f>
        <v>2.72</v>
      </c>
      <c r="E12" s="14">
        <f>'Data Sheet'!E64</f>
        <v>2.8</v>
      </c>
      <c r="F12" s="14">
        <f>'Data Sheet'!F64</f>
        <v>20.100000000000001</v>
      </c>
      <c r="G12" s="14">
        <f>'Data Sheet'!G64</f>
        <v>183.25</v>
      </c>
      <c r="H12" s="14">
        <f>'Data Sheet'!H64</f>
        <v>654.04999999999995</v>
      </c>
      <c r="I12" s="14">
        <f>'Data Sheet'!I64</f>
        <v>373.51</v>
      </c>
      <c r="J12" s="14">
        <f>'Data Sheet'!J64</f>
        <v>1097.21</v>
      </c>
      <c r="K12" s="14">
        <f>'Data Sheet'!K64</f>
        <v>1515.99</v>
      </c>
      <c r="M12" t="s">
        <v>159</v>
      </c>
      <c r="N12" s="131">
        <v>8008</v>
      </c>
      <c r="O12" s="131">
        <v>15597</v>
      </c>
      <c r="P12" s="131">
        <v>16027</v>
      </c>
      <c r="Q12" s="131">
        <v>15804</v>
      </c>
      <c r="R12" s="131">
        <v>13293</v>
      </c>
      <c r="S12" s="131">
        <v>13346</v>
      </c>
      <c r="T12" s="131">
        <v>13012</v>
      </c>
      <c r="U12" s="131">
        <v>14379</v>
      </c>
      <c r="V12" s="131">
        <v>13596</v>
      </c>
      <c r="W12" s="131">
        <v>14248</v>
      </c>
      <c r="X12" s="131">
        <v>17076</v>
      </c>
      <c r="Y12" s="131">
        <v>21861</v>
      </c>
    </row>
    <row r="13" spans="1:25" x14ac:dyDescent="0.3">
      <c r="A13" t="s">
        <v>73</v>
      </c>
      <c r="B13" s="14">
        <f>'Data Sheet'!B65</f>
        <v>16831.18</v>
      </c>
      <c r="C13" s="14">
        <f>'Data Sheet'!C65</f>
        <v>17271.060000000001</v>
      </c>
      <c r="D13" s="14">
        <f>'Data Sheet'!D65</f>
        <v>17213.04</v>
      </c>
      <c r="E13" s="14">
        <f>'Data Sheet'!E65</f>
        <v>16829.62</v>
      </c>
      <c r="F13" s="14">
        <f>'Data Sheet'!F65</f>
        <v>19224.650000000001</v>
      </c>
      <c r="G13" s="14">
        <f>'Data Sheet'!G65</f>
        <v>18253.82</v>
      </c>
      <c r="H13" s="14">
        <f>'Data Sheet'!H65</f>
        <v>20836.3</v>
      </c>
      <c r="I13" s="14">
        <f>'Data Sheet'!I65</f>
        <v>27694.49</v>
      </c>
      <c r="J13" s="14">
        <f>'Data Sheet'!J65</f>
        <v>30418.49</v>
      </c>
      <c r="K13" s="14">
        <f>'Data Sheet'!K65</f>
        <v>35497.620000000003</v>
      </c>
      <c r="M13" t="s">
        <v>160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s="131">
        <v>1326</v>
      </c>
      <c r="Y13" s="131">
        <v>1465</v>
      </c>
    </row>
    <row r="14" spans="1:25" s="2" customFormat="1" x14ac:dyDescent="0.3">
      <c r="A14" s="2" t="s">
        <v>26</v>
      </c>
      <c r="B14" s="14">
        <f>'Data Sheet'!B66</f>
        <v>71511.05</v>
      </c>
      <c r="C14" s="14">
        <f>'Data Sheet'!C66</f>
        <v>69528.070000000007</v>
      </c>
      <c r="D14" s="14">
        <f>'Data Sheet'!D66</f>
        <v>67984.600000000006</v>
      </c>
      <c r="E14" s="14">
        <f>'Data Sheet'!E66</f>
        <v>75025</v>
      </c>
      <c r="F14" s="14">
        <f>'Data Sheet'!F66</f>
        <v>78535.47</v>
      </c>
      <c r="G14" s="14">
        <f>'Data Sheet'!G66</f>
        <v>81981.02</v>
      </c>
      <c r="H14" s="14">
        <f>'Data Sheet'!H66</f>
        <v>85821.27</v>
      </c>
      <c r="I14" s="14">
        <f>'Data Sheet'!I66</f>
        <v>92008.97</v>
      </c>
      <c r="J14" s="14">
        <f>'Data Sheet'!J66</f>
        <v>112917.57</v>
      </c>
      <c r="K14" s="14">
        <f>'Data Sheet'!K66</f>
        <v>141468.53</v>
      </c>
      <c r="M14" s="2" t="s">
        <v>161</v>
      </c>
      <c r="N14" s="132">
        <v>5685</v>
      </c>
      <c r="O14" s="132">
        <v>6232</v>
      </c>
      <c r="P14" s="132">
        <v>7400</v>
      </c>
      <c r="Q14" s="132">
        <v>7626</v>
      </c>
      <c r="R14" s="132">
        <v>6362</v>
      </c>
      <c r="S14" s="132">
        <v>5596</v>
      </c>
      <c r="T14" s="132">
        <v>3803</v>
      </c>
      <c r="U14" s="132">
        <v>3508</v>
      </c>
      <c r="V14" s="132">
        <v>3079</v>
      </c>
      <c r="W14" s="132">
        <v>3609</v>
      </c>
      <c r="X14" s="132">
        <v>2978</v>
      </c>
      <c r="Y14" s="132">
        <v>2841</v>
      </c>
    </row>
    <row r="15" spans="1:25" x14ac:dyDescent="0.3">
      <c r="B15" s="4"/>
      <c r="C15" s="4"/>
      <c r="D15" s="4"/>
      <c r="E15" s="4"/>
      <c r="F15" s="4"/>
      <c r="G15" s="4"/>
      <c r="H15" s="4"/>
      <c r="I15" s="4"/>
      <c r="J15" s="4"/>
      <c r="K15" s="4"/>
      <c r="M15" t="s">
        <v>162</v>
      </c>
      <c r="N15">
        <v>0</v>
      </c>
      <c r="O15">
        <v>660</v>
      </c>
      <c r="P15">
        <v>709</v>
      </c>
      <c r="Q15">
        <v>130</v>
      </c>
      <c r="R15">
        <v>72</v>
      </c>
      <c r="S15">
        <v>38</v>
      </c>
      <c r="T15">
        <v>753</v>
      </c>
      <c r="U15">
        <v>53</v>
      </c>
      <c r="V15">
        <v>33</v>
      </c>
      <c r="W15">
        <v>5</v>
      </c>
      <c r="X15">
        <v>21</v>
      </c>
      <c r="Y15">
        <v>116</v>
      </c>
    </row>
    <row r="16" spans="1:25" x14ac:dyDescent="0.3">
      <c r="A16" t="s">
        <v>30</v>
      </c>
      <c r="B16" s="4">
        <f>B13-B7</f>
        <v>804.05999999999949</v>
      </c>
      <c r="C16" s="4">
        <f t="shared" ref="C16:K16" si="0">C13-C7</f>
        <v>1467.130000000001</v>
      </c>
      <c r="D16" s="4">
        <f t="shared" si="0"/>
        <v>3920.4300000000003</v>
      </c>
      <c r="E16" s="4">
        <f t="shared" si="0"/>
        <v>3483.8199999999997</v>
      </c>
      <c r="F16" s="4">
        <f t="shared" si="0"/>
        <v>6213.0400000000009</v>
      </c>
      <c r="G16" s="4">
        <f t="shared" si="0"/>
        <v>3874.67</v>
      </c>
      <c r="H16" s="4">
        <f t="shared" si="0"/>
        <v>7240.2199999999993</v>
      </c>
      <c r="I16" s="4">
        <f t="shared" si="0"/>
        <v>13446.110000000002</v>
      </c>
      <c r="J16" s="4">
        <f t="shared" si="0"/>
        <v>13342.880000000001</v>
      </c>
      <c r="K16" s="4">
        <f t="shared" si="0"/>
        <v>13636.260000000002</v>
      </c>
      <c r="M16" t="s">
        <v>163</v>
      </c>
      <c r="N16" s="131">
        <v>2323</v>
      </c>
      <c r="O16" s="131">
        <v>8704</v>
      </c>
      <c r="P16" s="131">
        <v>7918</v>
      </c>
      <c r="Q16" s="131">
        <v>8047</v>
      </c>
      <c r="R16" s="131">
        <v>6859</v>
      </c>
      <c r="S16" s="131">
        <v>7712</v>
      </c>
      <c r="T16" s="131">
        <v>8456</v>
      </c>
      <c r="U16" s="131">
        <v>10818</v>
      </c>
      <c r="V16" s="131">
        <v>10484</v>
      </c>
      <c r="W16" s="131">
        <v>10635</v>
      </c>
      <c r="X16" s="131">
        <v>12750</v>
      </c>
      <c r="Y16" s="131">
        <v>17439</v>
      </c>
    </row>
    <row r="17" spans="1:25" x14ac:dyDescent="0.3">
      <c r="A17" t="s">
        <v>44</v>
      </c>
      <c r="B17" s="4">
        <f>'Data Sheet'!B67</f>
        <v>7704.34</v>
      </c>
      <c r="C17" s="4">
        <f>'Data Sheet'!C67</f>
        <v>6069.81</v>
      </c>
      <c r="D17" s="4">
        <f>'Data Sheet'!D67</f>
        <v>8550.99</v>
      </c>
      <c r="E17" s="4">
        <f>'Data Sheet'!E67</f>
        <v>8366.4699999999993</v>
      </c>
      <c r="F17" s="4">
        <f>'Data Sheet'!F67</f>
        <v>11437.92</v>
      </c>
      <c r="G17" s="4">
        <f>'Data Sheet'!G67</f>
        <v>9560.92</v>
      </c>
      <c r="H17" s="4">
        <f>'Data Sheet'!H67</f>
        <v>11529.36</v>
      </c>
      <c r="I17" s="4">
        <f>'Data Sheet'!I67</f>
        <v>11677.48</v>
      </c>
      <c r="J17" s="4">
        <f>'Data Sheet'!J67</f>
        <v>13022.07</v>
      </c>
      <c r="K17" s="4">
        <f>'Data Sheet'!K67</f>
        <v>11791.37</v>
      </c>
      <c r="M17" t="s">
        <v>164</v>
      </c>
      <c r="N17" s="131">
        <v>58474</v>
      </c>
      <c r="O17" s="131">
        <v>75794</v>
      </c>
      <c r="P17" s="131">
        <v>71511</v>
      </c>
      <c r="Q17" s="131">
        <v>69528</v>
      </c>
      <c r="R17" s="131">
        <v>67985</v>
      </c>
      <c r="S17" s="131">
        <v>75025</v>
      </c>
      <c r="T17" s="131">
        <v>78535</v>
      </c>
      <c r="U17" s="131">
        <v>81981</v>
      </c>
      <c r="V17" s="131">
        <v>85821</v>
      </c>
      <c r="W17" s="131">
        <v>92009</v>
      </c>
      <c r="X17" s="131">
        <v>112918</v>
      </c>
      <c r="Y17" s="131">
        <v>141469</v>
      </c>
    </row>
    <row r="18" spans="1:25" x14ac:dyDescent="0.3">
      <c r="A18" t="s">
        <v>45</v>
      </c>
      <c r="B18" s="4">
        <f>'Data Sheet'!B68</f>
        <v>1760.41</v>
      </c>
      <c r="C18" s="4">
        <f>'Data Sheet'!C68</f>
        <v>873.98</v>
      </c>
      <c r="D18" s="4">
        <f>'Data Sheet'!D68</f>
        <v>1224.08</v>
      </c>
      <c r="E18" s="4">
        <f>'Data Sheet'!E68</f>
        <v>2522.77</v>
      </c>
      <c r="F18" s="4">
        <f>'Data Sheet'!F68</f>
        <v>2025.11</v>
      </c>
      <c r="G18" s="4">
        <f>'Data Sheet'!G68</f>
        <v>2258.27</v>
      </c>
      <c r="H18" s="4">
        <f>'Data Sheet'!H68</f>
        <v>3075.2</v>
      </c>
      <c r="I18" s="4">
        <f>'Data Sheet'!I68</f>
        <v>4142.1000000000004</v>
      </c>
      <c r="J18" s="4">
        <f>'Data Sheet'!J68</f>
        <v>3317.28</v>
      </c>
      <c r="K18" s="4">
        <f>'Data Sheet'!K68</f>
        <v>3623.48</v>
      </c>
      <c r="M18" t="s">
        <v>165</v>
      </c>
      <c r="N18" s="131">
        <v>45080</v>
      </c>
      <c r="O18" s="131">
        <v>56941</v>
      </c>
      <c r="P18" s="131">
        <v>54391</v>
      </c>
      <c r="Q18" s="131">
        <v>52137</v>
      </c>
      <c r="R18" s="131">
        <v>50419</v>
      </c>
      <c r="S18" s="131">
        <v>55846</v>
      </c>
      <c r="T18" s="131">
        <v>52851</v>
      </c>
      <c r="U18" s="131">
        <v>53274</v>
      </c>
      <c r="V18" s="131">
        <v>51451</v>
      </c>
      <c r="W18" s="131">
        <v>63016</v>
      </c>
      <c r="X18" s="131">
        <v>69297</v>
      </c>
      <c r="Y18" s="131">
        <v>69401</v>
      </c>
    </row>
    <row r="19" spans="1:25" x14ac:dyDescent="0.3">
      <c r="M19" t="s">
        <v>166</v>
      </c>
      <c r="N19">
        <v>191</v>
      </c>
      <c r="O19">
        <v>88</v>
      </c>
      <c r="P19">
        <v>125</v>
      </c>
      <c r="Q19">
        <v>120</v>
      </c>
      <c r="R19">
        <v>350</v>
      </c>
      <c r="S19" s="131">
        <v>2347</v>
      </c>
      <c r="T19" s="131">
        <v>6439</v>
      </c>
      <c r="U19" s="131">
        <v>10270</v>
      </c>
      <c r="V19" s="131">
        <v>12880</v>
      </c>
      <c r="W19">
        <v>925</v>
      </c>
      <c r="X19" s="131">
        <v>12104</v>
      </c>
      <c r="Y19" s="131">
        <v>35053</v>
      </c>
    </row>
    <row r="20" spans="1:25" x14ac:dyDescent="0.3">
      <c r="A20" t="s">
        <v>46</v>
      </c>
      <c r="B20" s="4">
        <f>IF('Profit &amp; Loss'!B4&gt;0,'Balance Sheet'!B17/('Profit &amp; Loss'!B4/365),0)</f>
        <v>124.34316537632803</v>
      </c>
      <c r="C20" s="4">
        <f>IF('Profit &amp; Loss'!C4&gt;0,'Balance Sheet'!C17/('Profit &amp; Loss'!C4/365),0)</f>
        <v>109.11397252204955</v>
      </c>
      <c r="D20" s="4">
        <f>IF('Profit &amp; Loss'!D4&gt;0,'Balance Sheet'!D17/('Profit &amp; Loss'!D4/365),0)</f>
        <v>130.67693134116391</v>
      </c>
      <c r="E20" s="4">
        <f>IF('Profit &amp; Loss'!E4&gt;0,'Balance Sheet'!E17/('Profit &amp; Loss'!E4/365),0)</f>
        <v>115.37682694240378</v>
      </c>
      <c r="F20" s="4">
        <f>IF('Profit &amp; Loss'!F4&gt;0,'Balance Sheet'!F17/('Profit &amp; Loss'!F4/365),0)</f>
        <v>159.21453708943966</v>
      </c>
      <c r="G20" s="4">
        <f>IF('Profit &amp; Loss'!G4&gt;0,'Balance Sheet'!G17/('Profit &amp; Loss'!G4/365),0)</f>
        <v>125.93241428188911</v>
      </c>
      <c r="H20" s="4">
        <f>IF('Profit &amp; Loss'!H4&gt;0,'Balance Sheet'!H17/('Profit &amp; Loss'!H4/365),0)</f>
        <v>108.5338725359977</v>
      </c>
      <c r="I20" s="4">
        <f>IF('Profit &amp; Loss'!I4&gt;0,'Balance Sheet'!I17/('Profit &amp; Loss'!I4/365),0)</f>
        <v>84.650931208261952</v>
      </c>
      <c r="J20" s="4">
        <f>IF('Profit &amp; Loss'!J4&gt;0,'Balance Sheet'!J17/('Profit &amp; Loss'!J4/365),0)</f>
        <v>84.569292364530142</v>
      </c>
      <c r="K20" s="4">
        <f>IF('Profit &amp; Loss'!K4&gt;0,'Balance Sheet'!K17/('Profit &amp; Loss'!K4/365),0)</f>
        <v>79.347507177291092</v>
      </c>
      <c r="M20" t="s">
        <v>29</v>
      </c>
      <c r="N20">
        <v>357</v>
      </c>
      <c r="O20">
        <v>0</v>
      </c>
      <c r="P20">
        <v>164</v>
      </c>
      <c r="Q20">
        <v>0</v>
      </c>
      <c r="R20">
        <v>3</v>
      </c>
      <c r="S20">
        <v>3</v>
      </c>
      <c r="T20">
        <v>20</v>
      </c>
      <c r="U20">
        <v>183</v>
      </c>
      <c r="V20">
        <v>654</v>
      </c>
      <c r="W20">
        <v>374</v>
      </c>
      <c r="X20" s="131">
        <v>1097</v>
      </c>
      <c r="Y20" s="131">
        <v>1516</v>
      </c>
    </row>
    <row r="21" spans="1:25" x14ac:dyDescent="0.3">
      <c r="A21" t="s">
        <v>47</v>
      </c>
      <c r="B21" s="4">
        <f>IF('Balance Sheet'!B18&gt;0,'Profit &amp; Loss'!B4/'Balance Sheet'!B18,0)</f>
        <v>12.846728887020635</v>
      </c>
      <c r="C21" s="4">
        <f>IF('Balance Sheet'!C18&gt;0,'Profit &amp; Loss'!C4/'Balance Sheet'!C18,0)</f>
        <v>23.23197327169958</v>
      </c>
      <c r="D21" s="4">
        <f>IF('Balance Sheet'!D18&gt;0,'Profit &amp; Loss'!D4/'Balance Sheet'!D18,0)</f>
        <v>19.511943663812826</v>
      </c>
      <c r="E21" s="4">
        <f>IF('Balance Sheet'!E18&gt;0,'Profit &amp; Loss'!E4/'Balance Sheet'!E18,0)</f>
        <v>10.491531134427634</v>
      </c>
      <c r="F21" s="4">
        <f>IF('Balance Sheet'!F18&gt;0,'Profit &amp; Loss'!F4/'Balance Sheet'!F18,0)</f>
        <v>12.948175654655797</v>
      </c>
      <c r="G21" s="4">
        <f>IF('Balance Sheet'!G18&gt;0,'Profit &amp; Loss'!G4/'Balance Sheet'!G18,0)</f>
        <v>12.270977341061963</v>
      </c>
      <c r="H21" s="4">
        <f>IF('Balance Sheet'!H18&gt;0,'Profit &amp; Loss'!H4/'Balance Sheet'!H18,0)</f>
        <v>12.608383194588972</v>
      </c>
      <c r="I21" s="4">
        <f>IF('Balance Sheet'!I18&gt;0,'Profit &amp; Loss'!I4/'Balance Sheet'!I18,0)</f>
        <v>12.155971608604331</v>
      </c>
      <c r="J21" s="4">
        <f>IF('Balance Sheet'!J18&gt;0,'Profit &amp; Loss'!J4/'Balance Sheet'!J18,0)</f>
        <v>16.942522186851878</v>
      </c>
      <c r="K21" s="4">
        <f>IF('Balance Sheet'!K18&gt;0,'Profit &amp; Loss'!K4/'Balance Sheet'!K18,0)</f>
        <v>14.969178800490136</v>
      </c>
      <c r="M21" t="s">
        <v>167</v>
      </c>
      <c r="N21" s="131">
        <v>12846</v>
      </c>
      <c r="O21" s="131">
        <v>18765</v>
      </c>
      <c r="P21" s="131">
        <v>16831</v>
      </c>
      <c r="Q21" s="131">
        <v>17271</v>
      </c>
      <c r="R21" s="131">
        <v>17213</v>
      </c>
      <c r="S21" s="131">
        <v>16830</v>
      </c>
      <c r="T21" s="131">
        <v>19225</v>
      </c>
      <c r="U21" s="131">
        <v>18254</v>
      </c>
      <c r="V21" s="131">
        <v>20836</v>
      </c>
      <c r="W21" s="131">
        <v>27694</v>
      </c>
      <c r="X21" s="131">
        <v>30418</v>
      </c>
      <c r="Y21" s="131">
        <v>35498</v>
      </c>
    </row>
    <row r="22" spans="1:25" x14ac:dyDescent="0.3">
      <c r="M22" t="s">
        <v>168</v>
      </c>
      <c r="N22" s="131">
        <v>1629</v>
      </c>
      <c r="O22" s="131">
        <v>1619</v>
      </c>
      <c r="P22" s="131">
        <v>1760</v>
      </c>
      <c r="Q22">
        <v>874</v>
      </c>
      <c r="R22" s="131">
        <v>1224</v>
      </c>
      <c r="S22" s="131">
        <v>2523</v>
      </c>
      <c r="T22" s="131">
        <v>2025</v>
      </c>
      <c r="U22" s="131">
        <v>2258</v>
      </c>
      <c r="V22" s="131">
        <v>3075</v>
      </c>
      <c r="W22" s="131">
        <v>4142</v>
      </c>
      <c r="X22" s="131">
        <v>3317</v>
      </c>
      <c r="Y22" s="131">
        <v>3623</v>
      </c>
    </row>
    <row r="23" spans="1:25" s="2" customFormat="1" x14ac:dyDescent="0.3">
      <c r="A23" s="2" t="s">
        <v>59</v>
      </c>
      <c r="B23" s="10">
        <f>IF(SUM('Balance Sheet'!B4:B5)&gt;0,'Profit &amp; Loss'!B12/SUM('Balance Sheet'!B4:B5),"")</f>
        <v>-2.0583352224992999</v>
      </c>
      <c r="C23" s="10">
        <f>IF(SUM('Balance Sheet'!C4:C5)&gt;0,'Profit &amp; Loss'!C12/SUM('Balance Sheet'!C4:C5),"")</f>
        <v>-2.364645294772469</v>
      </c>
      <c r="D23" s="10">
        <f>IF(SUM('Balance Sheet'!D4:D5)&gt;0,'Profit &amp; Loss'!D12/SUM('Balance Sheet'!D4:D5),"")</f>
        <v>-0.12764042845899207</v>
      </c>
      <c r="E23" s="10">
        <f>IF(SUM('Balance Sheet'!E4:E5)&gt;0,'Profit &amp; Loss'!E12/SUM('Balance Sheet'!E4:E5),"")</f>
        <v>-0.35102091833270577</v>
      </c>
      <c r="F23" s="10">
        <f>IF(SUM('Balance Sheet'!F4:F5)&gt;0,'Profit &amp; Loss'!F12/SUM('Balance Sheet'!F4:F5),"")</f>
        <v>9.6851956783518739E-2</v>
      </c>
      <c r="G23" s="10">
        <f>IF(SUM('Balance Sheet'!G4:G5)&gt;0,'Profit &amp; Loss'!G12/SUM('Balance Sheet'!G4:G5),"")</f>
        <v>0.26611092117902851</v>
      </c>
      <c r="H23" s="10">
        <f>IF(SUM('Balance Sheet'!H4:H5)&gt;0,'Profit &amp; Loss'!H12/SUM('Balance Sheet'!H4:H5),"")</f>
        <v>0.35904277930596346</v>
      </c>
      <c r="I23" s="10">
        <f>IF(SUM('Balance Sheet'!I4:I5)&gt;0,'Profit &amp; Loss'!I12/SUM('Balance Sheet'!I4:I5),"")</f>
        <v>0.48553678358767022</v>
      </c>
      <c r="J23" s="10">
        <f>IF(SUM('Balance Sheet'!J4:J5)&gt;0,'Profit &amp; Loss'!J12/SUM('Balance Sheet'!J4:J5),"")</f>
        <v>0.22962623269453666</v>
      </c>
      <c r="K23" s="10">
        <f>IF(SUM('Balance Sheet'!K4:K5)&gt;0,'Profit &amp; Loss'!K12/SUM('Balance Sheet'!K4:K5),"")</f>
        <v>0.19764269549137559</v>
      </c>
      <c r="M23" s="2" t="s">
        <v>169</v>
      </c>
      <c r="N23" s="132">
        <v>3490</v>
      </c>
      <c r="O23" s="132">
        <v>12477</v>
      </c>
      <c r="P23" s="132">
        <v>7704</v>
      </c>
      <c r="Q23" s="132">
        <v>6070</v>
      </c>
      <c r="R23" s="132">
        <v>8551</v>
      </c>
      <c r="S23" s="132">
        <v>8366</v>
      </c>
      <c r="T23" s="132">
        <v>11438</v>
      </c>
      <c r="U23" s="132">
        <v>9561</v>
      </c>
      <c r="V23" s="132">
        <v>11529</v>
      </c>
      <c r="W23" s="132">
        <v>11677</v>
      </c>
      <c r="X23" s="132">
        <v>13022</v>
      </c>
      <c r="Y23" s="132">
        <v>11791</v>
      </c>
    </row>
    <row r="24" spans="1:25" s="2" customFormat="1" x14ac:dyDescent="0.3">
      <c r="A24" s="2" t="s">
        <v>60</v>
      </c>
      <c r="B24" s="10"/>
      <c r="C24" s="10">
        <f>IF((B4+B5+B6+C4+C5+C6)&gt;0,('Profit &amp; Loss'!C10+'Profit &amp; Loss'!C9)*2/(B4+B5+B6+C4+C5+C6),"")</f>
        <v>6.3938681454584798E-2</v>
      </c>
      <c r="D24" s="10">
        <f>IF((C4+C5+C6+D4+D5+D6)&gt;0,('Profit &amp; Loss'!D10+'Profit &amp; Loss'!D9)*2/(C4+C5+C6+D4+D5+D6),"")</f>
        <v>8.6346192213280451E-2</v>
      </c>
      <c r="E24" s="10">
        <f>IF((D4+D5+D6+E4+E5+E6)&gt;0,('Profit &amp; Loss'!E10+'Profit &amp; Loss'!E9)*2/(D4+D5+D6+E4+E5+E6),"")</f>
        <v>5.24167536655765E-2</v>
      </c>
      <c r="F24" s="10">
        <f>IF((E4+E5+E6+F4+F5+F6)&gt;0,('Profit &amp; Loss'!F10+'Profit &amp; Loss'!F9)*2/(E4+E5+E6+F4+F5+F6),"")</f>
        <v>0.11627188842784128</v>
      </c>
      <c r="G24" s="10">
        <f>IF((F4+F5+F6+G4+G5+G6)&gt;0,('Profit &amp; Loss'!G10+'Profit &amp; Loss'!G9)*2/(F4+F5+F6+G4+G5+G6),"")</f>
        <v>0.16032828514818284</v>
      </c>
      <c r="H24" s="10">
        <f>IF((G4+G5+G6+H4+H5+H6)&gt;0,('Profit &amp; Loss'!H10+'Profit &amp; Loss'!H9)*2/(G4+G5+G6+H4+H5+H6),"")</f>
        <v>0.15745450129610106</v>
      </c>
      <c r="I24" s="10">
        <f>IF((H4+H5+H6+I4+I5+I6)&gt;0,('Profit &amp; Loss'!I10+'Profit &amp; Loss'!I9)*2/(H4+H5+H6+I4+I5+I6),"")</f>
        <v>0.32242523257871503</v>
      </c>
      <c r="J24" s="10">
        <f>IF((I4+I5+I6+J4+J5+J6)&gt;0,('Profit &amp; Loss'!J10+'Profit &amp; Loss'!J9)*2/(I4+I5+I6+J4+J5+J6),"")</f>
        <v>0.22694712721673732</v>
      </c>
      <c r="K24" s="10">
        <f>IF((J4+J5+J6+K4+K5+K6)&gt;0,('Profit &amp; Loss'!K10+'Profit &amp; Loss'!K9)*2/(J4+J5+J6+K4+K5+K6),"")</f>
        <v>0.17513498430000621</v>
      </c>
      <c r="M24" s="2" t="s">
        <v>170</v>
      </c>
      <c r="N24" s="2">
        <v>856</v>
      </c>
      <c r="O24" s="2">
        <v>869</v>
      </c>
      <c r="P24" s="2">
        <v>604</v>
      </c>
      <c r="Q24" s="2">
        <v>857</v>
      </c>
      <c r="R24" s="2">
        <v>916</v>
      </c>
      <c r="S24" s="132">
        <v>1979</v>
      </c>
      <c r="T24" s="132">
        <v>1607</v>
      </c>
      <c r="U24" s="132">
        <v>2365</v>
      </c>
      <c r="V24" s="132">
        <v>1874</v>
      </c>
      <c r="W24" s="132">
        <v>7212</v>
      </c>
      <c r="X24" s="132">
        <v>6120</v>
      </c>
      <c r="Y24" s="132">
        <v>6926</v>
      </c>
    </row>
    <row r="25" spans="1:25" x14ac:dyDescent="0.3">
      <c r="M25" t="s">
        <v>171</v>
      </c>
      <c r="N25">
        <v>33</v>
      </c>
      <c r="O25">
        <v>419</v>
      </c>
      <c r="P25">
        <v>771</v>
      </c>
      <c r="Q25">
        <v>752</v>
      </c>
      <c r="R25">
        <v>659</v>
      </c>
      <c r="S25">
        <v>880</v>
      </c>
      <c r="T25">
        <v>909</v>
      </c>
      <c r="U25" s="131">
        <v>1474</v>
      </c>
      <c r="V25" s="131">
        <v>1394</v>
      </c>
      <c r="W25" s="131">
        <v>1242</v>
      </c>
      <c r="X25" s="131">
        <v>1057</v>
      </c>
      <c r="Y25" s="131">
        <v>1479</v>
      </c>
    </row>
    <row r="26" spans="1:25" x14ac:dyDescent="0.3">
      <c r="M26" t="s">
        <v>172</v>
      </c>
      <c r="N26" s="131">
        <v>6838</v>
      </c>
      <c r="O26" s="131">
        <v>3382</v>
      </c>
      <c r="P26" s="131">
        <v>5991</v>
      </c>
      <c r="Q26" s="131">
        <v>8719</v>
      </c>
      <c r="R26" s="131">
        <v>5863</v>
      </c>
      <c r="S26" s="131">
        <v>3081</v>
      </c>
      <c r="T26" s="131">
        <v>3245</v>
      </c>
      <c r="U26" s="131">
        <v>2596</v>
      </c>
      <c r="V26" s="131">
        <v>2964</v>
      </c>
      <c r="W26" s="131">
        <v>3421</v>
      </c>
      <c r="X26" s="131">
        <v>6902</v>
      </c>
      <c r="Y26" s="131">
        <v>11677</v>
      </c>
    </row>
    <row r="27" spans="1:25" x14ac:dyDescent="0.3">
      <c r="M27" t="s">
        <v>173</v>
      </c>
      <c r="N27" s="131">
        <v>58474</v>
      </c>
      <c r="O27" s="131">
        <v>75794</v>
      </c>
      <c r="P27" s="131">
        <v>71511</v>
      </c>
      <c r="Q27" s="131">
        <v>69528</v>
      </c>
      <c r="R27" s="131">
        <v>67985</v>
      </c>
      <c r="S27" s="131">
        <v>75025</v>
      </c>
      <c r="T27" s="131">
        <v>78535</v>
      </c>
      <c r="U27" s="131">
        <v>81981</v>
      </c>
      <c r="V27" s="131">
        <v>85821</v>
      </c>
      <c r="W27" s="131">
        <v>92009</v>
      </c>
      <c r="X27" s="131">
        <v>112918</v>
      </c>
      <c r="Y27" s="131">
        <v>141469</v>
      </c>
    </row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Y27"/>
  <sheetViews>
    <sheetView zoomScale="125" zoomScaleNormal="150" zoomScalePageLayoutView="150" workbookViewId="0">
      <pane xSplit="1" ySplit="3" topLeftCell="K4" activePane="bottomRight" state="frozen"/>
      <selection pane="topRight" activeCell="B1" sqref="B1"/>
      <selection pane="bottomLeft" activeCell="A4" sqref="A4"/>
      <selection pane="bottomRight" activeCell="M3" sqref="M3"/>
    </sheetView>
  </sheetViews>
  <sheetFormatPr defaultColWidth="8.77734375" defaultRowHeight="14.4" x14ac:dyDescent="0.3"/>
  <cols>
    <col min="1" max="1" width="26" bestFit="1" customWidth="1"/>
    <col min="2" max="6" width="9.6640625" bestFit="1" customWidth="1"/>
    <col min="7" max="9" width="10.6640625" bestFit="1" customWidth="1"/>
    <col min="10" max="10" width="12.109375" bestFit="1" customWidth="1"/>
    <col min="11" max="11" width="10.6640625" bestFit="1" customWidth="1"/>
    <col min="13" max="13" width="27.109375" bestFit="1" customWidth="1"/>
    <col min="14" max="14" width="7.21875" bestFit="1" customWidth="1"/>
    <col min="15" max="20" width="7.109375" bestFit="1" customWidth="1"/>
    <col min="21" max="25" width="7.21875" bestFit="1" customWidth="1"/>
  </cols>
  <sheetData>
    <row r="1" spans="1:25" s="2" customFormat="1" x14ac:dyDescent="0.3">
      <c r="A1" s="2" t="str">
        <f>'Balance Sheet'!A1</f>
        <v>ADANI POWER LTD</v>
      </c>
      <c r="E1" t="str">
        <f>UPDATE</f>
        <v/>
      </c>
      <c r="F1"/>
      <c r="J1" s="2" t="s">
        <v>1</v>
      </c>
    </row>
    <row r="3" spans="1:25" s="2" customFormat="1" x14ac:dyDescent="0.3">
      <c r="A3" s="11" t="s">
        <v>2</v>
      </c>
      <c r="B3" s="12">
        <f>'Data Sheet'!B81</f>
        <v>42825</v>
      </c>
      <c r="C3" s="12">
        <f>'Data Sheet'!C81</f>
        <v>43190</v>
      </c>
      <c r="D3" s="12">
        <f>'Data Sheet'!D81</f>
        <v>43555</v>
      </c>
      <c r="E3" s="12">
        <f>'Data Sheet'!E81</f>
        <v>43921</v>
      </c>
      <c r="F3" s="12">
        <f>'Data Sheet'!F81</f>
        <v>44286</v>
      </c>
      <c r="G3" s="12">
        <f>'Data Sheet'!G81</f>
        <v>44651</v>
      </c>
      <c r="H3" s="12">
        <f>'Data Sheet'!H81</f>
        <v>45016</v>
      </c>
      <c r="I3" s="12">
        <f>'Data Sheet'!I81</f>
        <v>45382</v>
      </c>
      <c r="J3" s="12">
        <f>'Data Sheet'!J81</f>
        <v>45747</v>
      </c>
      <c r="K3" s="12">
        <f>'Data Sheet'!K81</f>
        <v>46112</v>
      </c>
      <c r="N3" s="133">
        <v>42064</v>
      </c>
      <c r="O3" s="133">
        <v>42430</v>
      </c>
      <c r="P3" s="133">
        <v>42795</v>
      </c>
      <c r="Q3" s="133">
        <v>43160</v>
      </c>
      <c r="R3" s="133">
        <v>43525</v>
      </c>
      <c r="S3" s="133">
        <v>43891</v>
      </c>
      <c r="T3" s="133">
        <v>44256</v>
      </c>
      <c r="U3" s="133">
        <v>44621</v>
      </c>
      <c r="V3" s="133">
        <v>44986</v>
      </c>
      <c r="W3" s="133">
        <v>45352</v>
      </c>
      <c r="X3" s="133">
        <v>45717</v>
      </c>
      <c r="Y3" s="133">
        <v>46082</v>
      </c>
    </row>
    <row r="4" spans="1:25" s="2" customFormat="1" x14ac:dyDescent="0.3">
      <c r="A4" s="2" t="s">
        <v>32</v>
      </c>
      <c r="B4" s="1">
        <f>'Data Sheet'!B82</f>
        <v>4725.2</v>
      </c>
      <c r="C4" s="1">
        <f>'Data Sheet'!C82</f>
        <v>5101.1499999999996</v>
      </c>
      <c r="D4" s="1">
        <f>'Data Sheet'!D82</f>
        <v>5610.38</v>
      </c>
      <c r="E4" s="1">
        <f>'Data Sheet'!E82</f>
        <v>5597.55</v>
      </c>
      <c r="F4" s="1">
        <f>'Data Sheet'!F82</f>
        <v>7014.35</v>
      </c>
      <c r="G4" s="1">
        <f>'Data Sheet'!G82</f>
        <v>10232.73</v>
      </c>
      <c r="H4" s="1">
        <f>'Data Sheet'!H82</f>
        <v>8430.5300000000007</v>
      </c>
      <c r="I4" s="1">
        <f>'Data Sheet'!I82</f>
        <v>14170.15</v>
      </c>
      <c r="J4" s="1">
        <f>'Data Sheet'!J82</f>
        <v>21501.11</v>
      </c>
      <c r="K4" s="1">
        <f>'Data Sheet'!K82</f>
        <v>20513.650000000001</v>
      </c>
      <c r="M4" s="2" t="s">
        <v>174</v>
      </c>
      <c r="N4" s="132">
        <v>5824</v>
      </c>
      <c r="O4" s="132">
        <v>5257</v>
      </c>
      <c r="P4" s="132">
        <v>4725</v>
      </c>
      <c r="Q4" s="132">
        <v>5101</v>
      </c>
      <c r="R4" s="132">
        <v>5610</v>
      </c>
      <c r="S4" s="132">
        <v>5598</v>
      </c>
      <c r="T4" s="132">
        <v>7014</v>
      </c>
      <c r="U4" s="132">
        <v>10233</v>
      </c>
      <c r="V4" s="132">
        <v>8431</v>
      </c>
      <c r="W4" s="132">
        <v>14170</v>
      </c>
      <c r="X4" s="132">
        <v>21501</v>
      </c>
      <c r="Y4" s="132">
        <v>20514</v>
      </c>
    </row>
    <row r="5" spans="1:25" x14ac:dyDescent="0.3">
      <c r="A5" t="s">
        <v>33</v>
      </c>
      <c r="B5" s="6">
        <f>'Data Sheet'!B83</f>
        <v>-1212.04</v>
      </c>
      <c r="C5" s="6">
        <f>'Data Sheet'!C83</f>
        <v>-520.42999999999995</v>
      </c>
      <c r="D5" s="6">
        <f>'Data Sheet'!D83</f>
        <v>-984.02</v>
      </c>
      <c r="E5" s="6">
        <f>'Data Sheet'!E83</f>
        <v>-2303.81</v>
      </c>
      <c r="F5" s="6">
        <f>'Data Sheet'!F83</f>
        <v>-2187.5700000000002</v>
      </c>
      <c r="G5" s="6">
        <f>'Data Sheet'!G83</f>
        <v>774.46</v>
      </c>
      <c r="H5" s="6">
        <f>'Data Sheet'!H83</f>
        <v>1544.79</v>
      </c>
      <c r="I5" s="6">
        <f>'Data Sheet'!I83</f>
        <v>3480.9</v>
      </c>
      <c r="J5" s="6">
        <f>'Data Sheet'!J83</f>
        <v>-17142.05</v>
      </c>
      <c r="K5" s="6">
        <f>'Data Sheet'!K83</f>
        <v>-26460.560000000001</v>
      </c>
      <c r="M5" t="s">
        <v>175</v>
      </c>
      <c r="N5" s="131">
        <v>5591</v>
      </c>
      <c r="O5" s="131">
        <v>8460</v>
      </c>
      <c r="P5" s="131">
        <v>5463</v>
      </c>
      <c r="Q5" s="131">
        <v>5441</v>
      </c>
      <c r="R5" s="131">
        <v>5540</v>
      </c>
      <c r="S5" s="131">
        <v>6098</v>
      </c>
      <c r="T5" s="131">
        <v>8665</v>
      </c>
      <c r="U5" s="131">
        <v>10152</v>
      </c>
      <c r="V5" s="131">
        <v>9860</v>
      </c>
      <c r="W5" s="131">
        <v>18678</v>
      </c>
      <c r="X5" s="131">
        <v>21950</v>
      </c>
      <c r="Y5" s="131">
        <v>20858</v>
      </c>
    </row>
    <row r="6" spans="1:25" x14ac:dyDescent="0.3">
      <c r="A6" t="s">
        <v>34</v>
      </c>
      <c r="B6" s="6">
        <f>'Data Sheet'!B84</f>
        <v>-3538.93</v>
      </c>
      <c r="C6" s="6">
        <f>'Data Sheet'!C84</f>
        <v>-4600.1099999999997</v>
      </c>
      <c r="D6" s="6">
        <f>'Data Sheet'!D84</f>
        <v>-4663.4399999999996</v>
      </c>
      <c r="E6" s="6">
        <f>'Data Sheet'!E84</f>
        <v>-2377.1799999999998</v>
      </c>
      <c r="F6" s="6">
        <f>'Data Sheet'!F84</f>
        <v>-5654.84</v>
      </c>
      <c r="G6" s="6">
        <f>'Data Sheet'!G84</f>
        <v>-10337.86</v>
      </c>
      <c r="H6" s="6">
        <f>'Data Sheet'!H84</f>
        <v>-10408.459999999999</v>
      </c>
      <c r="I6" s="6">
        <f>'Data Sheet'!I84</f>
        <v>-16864.03</v>
      </c>
      <c r="J6" s="6">
        <f>'Data Sheet'!J84</f>
        <v>-5175.45</v>
      </c>
      <c r="K6" s="6">
        <f>'Data Sheet'!K84</f>
        <v>6554.93</v>
      </c>
      <c r="M6" t="s">
        <v>78</v>
      </c>
      <c r="N6" s="131">
        <v>-2137</v>
      </c>
      <c r="O6" s="131">
        <v>-4283</v>
      </c>
      <c r="P6" s="131">
        <v>-1284</v>
      </c>
      <c r="Q6" s="131">
        <v>1635</v>
      </c>
      <c r="R6" s="131">
        <v>-1595</v>
      </c>
      <c r="S6" s="131">
        <v>1252</v>
      </c>
      <c r="T6">
        <v>-489</v>
      </c>
      <c r="U6">
        <v>981</v>
      </c>
      <c r="V6" s="131">
        <v>-2995</v>
      </c>
      <c r="W6" s="131">
        <v>-1738</v>
      </c>
      <c r="X6">
        <v>-342</v>
      </c>
      <c r="Y6" s="131">
        <v>1370</v>
      </c>
    </row>
    <row r="7" spans="1:25" s="2" customFormat="1" x14ac:dyDescent="0.3">
      <c r="A7" s="2" t="s">
        <v>35</v>
      </c>
      <c r="B7" s="1">
        <f>'Data Sheet'!B85</f>
        <v>-25.77</v>
      </c>
      <c r="C7" s="1">
        <f>'Data Sheet'!C85</f>
        <v>-19.39</v>
      </c>
      <c r="D7" s="1">
        <f>'Data Sheet'!D85</f>
        <v>-37.08</v>
      </c>
      <c r="E7" s="1">
        <f>'Data Sheet'!E85</f>
        <v>916.56</v>
      </c>
      <c r="F7" s="1">
        <f>'Data Sheet'!F85</f>
        <v>-828.06</v>
      </c>
      <c r="G7" s="1">
        <f>'Data Sheet'!G85</f>
        <v>669.33</v>
      </c>
      <c r="H7" s="1">
        <f>'Data Sheet'!H85</f>
        <v>-433.14</v>
      </c>
      <c r="I7" s="1">
        <f>'Data Sheet'!I85</f>
        <v>787.02</v>
      </c>
      <c r="J7" s="1">
        <f>'Data Sheet'!J85</f>
        <v>-816.39</v>
      </c>
      <c r="K7" s="1">
        <f>'Data Sheet'!K85</f>
        <v>608.02</v>
      </c>
      <c r="M7" s="2" t="s">
        <v>45</v>
      </c>
      <c r="N7" s="2">
        <v>-369</v>
      </c>
      <c r="O7" s="2">
        <v>158</v>
      </c>
      <c r="P7" s="2">
        <v>-141</v>
      </c>
      <c r="Q7" s="2">
        <v>875</v>
      </c>
      <c r="R7" s="2">
        <v>-350</v>
      </c>
      <c r="S7" s="132">
        <v>-1233</v>
      </c>
      <c r="T7" s="2">
        <v>385</v>
      </c>
      <c r="U7" s="2">
        <v>-262</v>
      </c>
      <c r="V7" s="2">
        <v>-829</v>
      </c>
      <c r="W7" s="132">
        <v>-1066</v>
      </c>
      <c r="X7" s="132">
        <v>1313</v>
      </c>
      <c r="Y7" s="2">
        <v>-234</v>
      </c>
    </row>
    <row r="8" spans="1:25" x14ac:dyDescent="0.3">
      <c r="B8" s="6"/>
      <c r="C8" s="6"/>
      <c r="D8" s="6"/>
      <c r="E8" s="6"/>
      <c r="F8" s="6"/>
      <c r="G8" s="6"/>
      <c r="H8" s="6"/>
      <c r="I8" s="6"/>
      <c r="J8" s="6"/>
      <c r="K8" s="6"/>
      <c r="M8" t="s">
        <v>147</v>
      </c>
      <c r="N8" s="131">
        <v>1871</v>
      </c>
      <c r="O8">
        <v>285</v>
      </c>
      <c r="P8" s="131">
        <v>1241</v>
      </c>
      <c r="Q8">
        <v>-26</v>
      </c>
      <c r="R8" s="131">
        <v>-1447</v>
      </c>
      <c r="S8" s="131">
        <v>-1105</v>
      </c>
      <c r="T8" s="131">
        <v>-1489</v>
      </c>
      <c r="U8">
        <v>-368</v>
      </c>
      <c r="V8">
        <v>-423</v>
      </c>
      <c r="W8">
        <v>616</v>
      </c>
      <c r="X8">
        <v>-880</v>
      </c>
      <c r="Y8">
        <v>-182</v>
      </c>
    </row>
    <row r="9" spans="1:25" x14ac:dyDescent="0.3">
      <c r="M9" t="s">
        <v>176</v>
      </c>
      <c r="N9">
        <v>-156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</row>
    <row r="10" spans="1:25" x14ac:dyDescent="0.3">
      <c r="M10" t="s">
        <v>177</v>
      </c>
      <c r="N10" s="131">
        <v>1029</v>
      </c>
      <c r="O10">
        <v>642</v>
      </c>
      <c r="P10">
        <v>-550</v>
      </c>
      <c r="Q10" s="131">
        <v>-2810</v>
      </c>
      <c r="R10" s="131">
        <v>3471</v>
      </c>
      <c r="S10">
        <v>643</v>
      </c>
      <c r="T10">
        <v>-53</v>
      </c>
      <c r="U10">
        <v>-46</v>
      </c>
      <c r="V10" s="131">
        <v>2897</v>
      </c>
      <c r="W10" s="131">
        <v>-2261</v>
      </c>
      <c r="X10">
        <v>-531</v>
      </c>
      <c r="Y10" s="131">
        <v>-1401</v>
      </c>
    </row>
    <row r="11" spans="1:25" x14ac:dyDescent="0.3">
      <c r="M11" t="s">
        <v>178</v>
      </c>
      <c r="N11">
        <v>237</v>
      </c>
      <c r="O11" s="131">
        <v>-3199</v>
      </c>
      <c r="P11">
        <v>-734</v>
      </c>
      <c r="Q11">
        <v>-327</v>
      </c>
      <c r="R11">
        <v>80</v>
      </c>
      <c r="S11">
        <v>-443</v>
      </c>
      <c r="T11" s="131">
        <v>-1645</v>
      </c>
      <c r="U11">
        <v>305</v>
      </c>
      <c r="V11" s="131">
        <v>-1351</v>
      </c>
      <c r="W11" s="131">
        <v>-4450</v>
      </c>
      <c r="X11">
        <v>-440</v>
      </c>
      <c r="Y11">
        <v>-447</v>
      </c>
    </row>
    <row r="12" spans="1:25" x14ac:dyDescent="0.3">
      <c r="M12" t="s">
        <v>179</v>
      </c>
      <c r="N12">
        <v>-5</v>
      </c>
      <c r="O12">
        <v>-4</v>
      </c>
      <c r="P12">
        <v>-4</v>
      </c>
      <c r="Q12">
        <v>-13</v>
      </c>
      <c r="R12">
        <v>-9</v>
      </c>
      <c r="S12">
        <v>-58</v>
      </c>
      <c r="T12">
        <v>-6</v>
      </c>
      <c r="U12">
        <v>-224</v>
      </c>
      <c r="V12">
        <v>-79</v>
      </c>
      <c r="W12">
        <v>-57</v>
      </c>
      <c r="X12">
        <v>-8</v>
      </c>
      <c r="Y12">
        <v>102</v>
      </c>
    </row>
    <row r="13" spans="1:25" x14ac:dyDescent="0.3">
      <c r="M13" t="s">
        <v>180</v>
      </c>
      <c r="N13" s="131">
        <v>-4737</v>
      </c>
      <c r="O13" s="131">
        <v>-2692</v>
      </c>
      <c r="P13" s="131">
        <v>-1212</v>
      </c>
      <c r="Q13">
        <v>-520</v>
      </c>
      <c r="R13">
        <v>-984</v>
      </c>
      <c r="S13" s="131">
        <v>-2304</v>
      </c>
      <c r="T13" s="131">
        <v>-2188</v>
      </c>
      <c r="U13">
        <v>774</v>
      </c>
      <c r="V13" s="131">
        <v>1545</v>
      </c>
      <c r="W13" s="131">
        <v>3481</v>
      </c>
      <c r="X13" s="131">
        <v>-17142</v>
      </c>
      <c r="Y13" s="131">
        <v>-26461</v>
      </c>
    </row>
    <row r="14" spans="1:25" x14ac:dyDescent="0.3">
      <c r="M14" t="s">
        <v>181</v>
      </c>
      <c r="N14" s="131">
        <v>-3072</v>
      </c>
      <c r="O14" s="131">
        <v>-1978</v>
      </c>
      <c r="P14">
        <v>-854</v>
      </c>
      <c r="Q14">
        <v>-943</v>
      </c>
      <c r="R14">
        <v>-962</v>
      </c>
      <c r="S14" s="131">
        <v>-2227</v>
      </c>
      <c r="T14" s="131">
        <v>-3618</v>
      </c>
      <c r="U14" s="131">
        <v>-3435</v>
      </c>
      <c r="V14" s="131">
        <v>-3244</v>
      </c>
      <c r="W14" s="131">
        <v>-2602</v>
      </c>
      <c r="X14" s="131">
        <v>-11559</v>
      </c>
      <c r="Y14" s="131">
        <v>-23350</v>
      </c>
    </row>
    <row r="15" spans="1:25" x14ac:dyDescent="0.3">
      <c r="M15" t="s">
        <v>182</v>
      </c>
      <c r="N15">
        <v>347</v>
      </c>
      <c r="O15">
        <v>10</v>
      </c>
      <c r="P15">
        <v>10</v>
      </c>
      <c r="Q15">
        <v>15</v>
      </c>
      <c r="R15">
        <v>3</v>
      </c>
      <c r="S15">
        <v>7</v>
      </c>
      <c r="T15">
        <v>10</v>
      </c>
      <c r="U15">
        <v>1</v>
      </c>
      <c r="V15">
        <v>1</v>
      </c>
      <c r="W15">
        <v>1</v>
      </c>
      <c r="X15">
        <v>15</v>
      </c>
      <c r="Y15">
        <v>19</v>
      </c>
    </row>
    <row r="16" spans="1:25" x14ac:dyDescent="0.3">
      <c r="M16" t="s">
        <v>183</v>
      </c>
      <c r="N16" s="131">
        <v>-25426</v>
      </c>
      <c r="O16">
        <v>0</v>
      </c>
      <c r="P16">
        <v>-162</v>
      </c>
      <c r="Q16">
        <v>0</v>
      </c>
      <c r="R16">
        <v>0</v>
      </c>
      <c r="S16">
        <v>0</v>
      </c>
      <c r="T16">
        <v>-429</v>
      </c>
      <c r="U16">
        <v>-162</v>
      </c>
      <c r="V16">
        <v>-458</v>
      </c>
      <c r="W16">
        <v>0</v>
      </c>
      <c r="X16">
        <v>-626</v>
      </c>
      <c r="Y16">
        <v>-460</v>
      </c>
    </row>
    <row r="17" spans="13:25" x14ac:dyDescent="0.3">
      <c r="M17" t="s">
        <v>184</v>
      </c>
      <c r="N17" s="131">
        <v>25208</v>
      </c>
      <c r="O17">
        <v>383</v>
      </c>
      <c r="P17">
        <v>0</v>
      </c>
      <c r="Q17">
        <v>172</v>
      </c>
      <c r="R17">
        <v>2</v>
      </c>
      <c r="S17">
        <v>4</v>
      </c>
      <c r="T17" s="131">
        <v>1415</v>
      </c>
      <c r="U17">
        <v>82</v>
      </c>
      <c r="V17">
        <v>0</v>
      </c>
      <c r="W17">
        <v>406</v>
      </c>
      <c r="X17">
        <v>0</v>
      </c>
      <c r="Y17">
        <v>137</v>
      </c>
    </row>
    <row r="18" spans="13:25" x14ac:dyDescent="0.3">
      <c r="M18" t="s">
        <v>185</v>
      </c>
      <c r="N18">
        <v>197</v>
      </c>
      <c r="O18">
        <v>139</v>
      </c>
      <c r="P18">
        <v>139</v>
      </c>
      <c r="Q18">
        <v>230</v>
      </c>
      <c r="R18">
        <v>628</v>
      </c>
      <c r="S18">
        <v>126</v>
      </c>
      <c r="T18">
        <v>91</v>
      </c>
      <c r="U18" s="131">
        <v>4301</v>
      </c>
      <c r="V18" s="131">
        <v>4827</v>
      </c>
      <c r="W18" s="131">
        <v>9316</v>
      </c>
      <c r="X18">
        <v>884</v>
      </c>
      <c r="Y18" s="131">
        <v>1340</v>
      </c>
    </row>
    <row r="19" spans="13:25" x14ac:dyDescent="0.3">
      <c r="M19" t="s">
        <v>186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-24</v>
      </c>
    </row>
    <row r="20" spans="13:25" x14ac:dyDescent="0.3">
      <c r="M20" t="s">
        <v>187</v>
      </c>
      <c r="N20" s="131">
        <v>-1757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</row>
    <row r="21" spans="13:25" x14ac:dyDescent="0.3">
      <c r="M21" t="s">
        <v>188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989</v>
      </c>
      <c r="W21">
        <v>534</v>
      </c>
      <c r="X21">
        <v>0</v>
      </c>
      <c r="Y21">
        <v>0</v>
      </c>
    </row>
    <row r="22" spans="13:25" x14ac:dyDescent="0.3">
      <c r="M22" t="s">
        <v>189</v>
      </c>
      <c r="N22">
        <v>0</v>
      </c>
      <c r="O22">
        <v>0</v>
      </c>
      <c r="P22">
        <v>0</v>
      </c>
      <c r="Q22">
        <v>0</v>
      </c>
      <c r="R22">
        <v>-324</v>
      </c>
      <c r="S22">
        <v>-1</v>
      </c>
      <c r="T22">
        <v>0</v>
      </c>
      <c r="U22">
        <v>-1</v>
      </c>
      <c r="V22">
        <v>-727</v>
      </c>
      <c r="W22">
        <v>0</v>
      </c>
      <c r="X22" s="131">
        <v>-5581</v>
      </c>
      <c r="Y22" s="131">
        <v>-3965</v>
      </c>
    </row>
    <row r="23" spans="13:25" x14ac:dyDescent="0.3">
      <c r="M23" t="s">
        <v>190</v>
      </c>
      <c r="N23">
        <v>-233</v>
      </c>
      <c r="O23" s="131">
        <v>-1245</v>
      </c>
      <c r="P23">
        <v>-344</v>
      </c>
      <c r="Q23">
        <v>5</v>
      </c>
      <c r="R23">
        <v>-331</v>
      </c>
      <c r="S23">
        <v>-213</v>
      </c>
      <c r="T23">
        <v>343</v>
      </c>
      <c r="U23">
        <v>-12</v>
      </c>
      <c r="V23">
        <v>156</v>
      </c>
      <c r="W23" s="131">
        <v>-4173</v>
      </c>
      <c r="X23">
        <v>-275</v>
      </c>
      <c r="Y23">
        <v>-158</v>
      </c>
    </row>
    <row r="24" spans="13:25" x14ac:dyDescent="0.3">
      <c r="M24" t="s">
        <v>191</v>
      </c>
      <c r="N24" s="131">
        <v>-1144</v>
      </c>
      <c r="O24" s="131">
        <v>-2713</v>
      </c>
      <c r="P24" s="131">
        <v>-3539</v>
      </c>
      <c r="Q24" s="131">
        <v>-4600</v>
      </c>
      <c r="R24" s="131">
        <v>-4663</v>
      </c>
      <c r="S24" s="131">
        <v>-2377</v>
      </c>
      <c r="T24" s="131">
        <v>-5655</v>
      </c>
      <c r="U24" s="131">
        <v>-10338</v>
      </c>
      <c r="V24" s="131">
        <v>-10408</v>
      </c>
      <c r="W24" s="131">
        <v>-16864</v>
      </c>
      <c r="X24" s="131">
        <v>-5175</v>
      </c>
      <c r="Y24" s="131">
        <v>6555</v>
      </c>
    </row>
    <row r="25" spans="13:25" x14ac:dyDescent="0.3">
      <c r="M25" t="s">
        <v>35</v>
      </c>
      <c r="N25">
        <v>-58</v>
      </c>
      <c r="O25">
        <v>-148</v>
      </c>
      <c r="P25">
        <v>-26</v>
      </c>
      <c r="Q25">
        <v>-19</v>
      </c>
      <c r="R25">
        <v>-37</v>
      </c>
      <c r="S25">
        <v>917</v>
      </c>
      <c r="T25">
        <v>-828</v>
      </c>
      <c r="U25">
        <v>669</v>
      </c>
      <c r="V25">
        <v>-433</v>
      </c>
      <c r="W25">
        <v>787</v>
      </c>
      <c r="X25">
        <v>-816</v>
      </c>
      <c r="Y25">
        <v>608</v>
      </c>
    </row>
    <row r="26" spans="13:25" x14ac:dyDescent="0.3">
      <c r="M26" t="s">
        <v>192</v>
      </c>
      <c r="N26" s="131">
        <v>3098</v>
      </c>
      <c r="O26" s="131">
        <v>3289</v>
      </c>
      <c r="P26" s="131">
        <v>3881</v>
      </c>
      <c r="Q26" s="131">
        <v>4174</v>
      </c>
      <c r="R26" s="131">
        <v>4651</v>
      </c>
      <c r="S26" s="131">
        <v>3378</v>
      </c>
      <c r="T26" s="131">
        <v>3407</v>
      </c>
      <c r="U26" s="131">
        <v>6799</v>
      </c>
      <c r="V26" s="131">
        <v>5188</v>
      </c>
      <c r="W26" s="131">
        <v>11568</v>
      </c>
      <c r="X26" s="131">
        <v>9957</v>
      </c>
      <c r="Y26" s="131">
        <v>-2817</v>
      </c>
    </row>
    <row r="27" spans="13:25" x14ac:dyDescent="0.3">
      <c r="M27" t="s">
        <v>193</v>
      </c>
      <c r="N27" s="134">
        <v>1.25</v>
      </c>
      <c r="O27" s="134">
        <v>0.6</v>
      </c>
      <c r="P27" s="134">
        <v>0.79</v>
      </c>
      <c r="Q27" s="134">
        <v>0.94</v>
      </c>
      <c r="R27" s="134">
        <v>1.1299999999999999</v>
      </c>
      <c r="S27" s="134">
        <v>0.99</v>
      </c>
      <c r="T27" s="134">
        <v>0.81</v>
      </c>
      <c r="U27" s="134">
        <v>1.06</v>
      </c>
      <c r="V27" s="134">
        <v>0.84</v>
      </c>
      <c r="W27" s="134">
        <v>0.78</v>
      </c>
      <c r="X27" s="134">
        <v>1</v>
      </c>
      <c r="Y27" s="134">
        <v>1.03</v>
      </c>
    </row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2"/>
    <col min="2" max="2" width="10.44140625" customWidth="1"/>
    <col min="3" max="3" width="13.33203125" style="20" customWidth="1"/>
    <col min="6" max="6" width="6.77734375" customWidth="1"/>
  </cols>
  <sheetData>
    <row r="1" spans="1:7" ht="21" x14ac:dyDescent="0.4">
      <c r="A1" s="19" t="s">
        <v>56</v>
      </c>
    </row>
    <row r="3" spans="1:7" x14ac:dyDescent="0.3">
      <c r="A3" s="2" t="s">
        <v>48</v>
      </c>
    </row>
    <row r="4" spans="1:7" x14ac:dyDescent="0.3">
      <c r="B4" t="s">
        <v>90</v>
      </c>
    </row>
    <row r="5" spans="1:7" x14ac:dyDescent="0.3">
      <c r="B5" t="s">
        <v>49</v>
      </c>
    </row>
    <row r="7" spans="1:7" x14ac:dyDescent="0.3">
      <c r="A7" s="2" t="s">
        <v>50</v>
      </c>
    </row>
    <row r="8" spans="1:7" x14ac:dyDescent="0.3">
      <c r="B8" t="s">
        <v>51</v>
      </c>
      <c r="C8" s="21" t="s">
        <v>91</v>
      </c>
    </row>
    <row r="10" spans="1:7" x14ac:dyDescent="0.3">
      <c r="A10" s="2" t="s">
        <v>52</v>
      </c>
    </row>
    <row r="11" spans="1:7" x14ac:dyDescent="0.3">
      <c r="B11" t="s">
        <v>53</v>
      </c>
    </row>
    <row r="14" spans="1:7" x14ac:dyDescent="0.3">
      <c r="A14" s="2" t="s">
        <v>54</v>
      </c>
    </row>
    <row r="15" spans="1:7" x14ac:dyDescent="0.3">
      <c r="B15" t="s">
        <v>55</v>
      </c>
    </row>
    <row r="16" spans="1:7" x14ac:dyDescent="0.3">
      <c r="B16" t="s">
        <v>92</v>
      </c>
      <c r="G16" s="22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93"/>
  <sheetViews>
    <sheetView zoomScale="120" zoomScaleNormal="120" zoomScalePageLayoutView="120" workbookViewId="0">
      <pane xSplit="1" ySplit="1" topLeftCell="D49" activePane="bottomRight" state="frozen"/>
      <selection activeCell="C4" sqref="C4"/>
      <selection pane="topRight" activeCell="C4" sqref="C4"/>
      <selection pane="bottomLeft" activeCell="C4" sqref="C4"/>
      <selection pane="bottomRight" activeCell="L70" sqref="L70"/>
    </sheetView>
  </sheetViews>
  <sheetFormatPr defaultColWidth="8.77734375" defaultRowHeight="14.4" x14ac:dyDescent="0.3"/>
  <cols>
    <col min="1" max="1" width="27.6640625" style="4" bestFit="1" customWidth="1"/>
    <col min="2" max="11" width="13.44140625" style="4" bestFit="1" customWidth="1"/>
    <col min="12" max="12" width="8.77734375" style="4"/>
    <col min="13" max="13" width="9.44140625" style="4" bestFit="1" customWidth="1"/>
    <col min="14" max="16384" width="8.77734375" style="4"/>
  </cols>
  <sheetData>
    <row r="1" spans="1:11" s="1" customFormat="1" x14ac:dyDescent="0.3">
      <c r="A1" s="1" t="s">
        <v>0</v>
      </c>
      <c r="B1" s="1" t="s">
        <v>63</v>
      </c>
      <c r="E1" s="156" t="str">
        <f>IF(B2&lt;&gt;B3, "A NEW VERSION OF THE WORKSHEET IS AVAILABLE", "")</f>
        <v/>
      </c>
      <c r="F1" s="156"/>
      <c r="G1" s="156"/>
      <c r="H1" s="156"/>
      <c r="I1" s="156"/>
      <c r="J1" s="156"/>
      <c r="K1" s="156"/>
    </row>
    <row r="2" spans="1:11" x14ac:dyDescent="0.3">
      <c r="A2" s="1" t="s">
        <v>61</v>
      </c>
      <c r="B2" s="4">
        <v>2.1</v>
      </c>
      <c r="E2" s="157" t="s">
        <v>36</v>
      </c>
      <c r="F2" s="157"/>
      <c r="G2" s="157"/>
      <c r="H2" s="157"/>
      <c r="I2" s="157"/>
      <c r="J2" s="157"/>
      <c r="K2" s="157"/>
    </row>
    <row r="3" spans="1:11" x14ac:dyDescent="0.3">
      <c r="A3" s="1" t="s">
        <v>62</v>
      </c>
      <c r="B3" s="4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4" t="s">
        <v>42</v>
      </c>
      <c r="B6" s="4">
        <f>IF(B9&gt;0, B9/B8, 0)</f>
        <v>1928.4693992626328</v>
      </c>
    </row>
    <row r="7" spans="1:11" x14ac:dyDescent="0.3">
      <c r="A7" s="4" t="s">
        <v>31</v>
      </c>
      <c r="B7">
        <v>2</v>
      </c>
    </row>
    <row r="8" spans="1:11" x14ac:dyDescent="0.3">
      <c r="A8" s="4" t="s">
        <v>43</v>
      </c>
      <c r="B8">
        <v>230.55</v>
      </c>
    </row>
    <row r="9" spans="1:11" x14ac:dyDescent="0.3">
      <c r="A9" s="4" t="s">
        <v>79</v>
      </c>
      <c r="B9">
        <v>444608.62</v>
      </c>
    </row>
    <row r="15" spans="1:11" x14ac:dyDescent="0.3">
      <c r="A15" s="1" t="s">
        <v>37</v>
      </c>
    </row>
    <row r="16" spans="1:11" s="18" customFormat="1" x14ac:dyDescent="0.3">
      <c r="A16" s="17" t="s">
        <v>38</v>
      </c>
      <c r="B16" s="12">
        <v>42825</v>
      </c>
      <c r="C16" s="12">
        <v>43190</v>
      </c>
      <c r="D16" s="12">
        <v>43555</v>
      </c>
      <c r="E16" s="12">
        <v>43921</v>
      </c>
      <c r="F16" s="12">
        <v>44286</v>
      </c>
      <c r="G16" s="12">
        <v>44651</v>
      </c>
      <c r="H16" s="12">
        <v>45016</v>
      </c>
      <c r="I16" s="12">
        <v>45382</v>
      </c>
      <c r="J16" s="12">
        <v>45747</v>
      </c>
      <c r="K16" s="12">
        <v>46112</v>
      </c>
    </row>
    <row r="17" spans="1:13" s="6" customFormat="1" x14ac:dyDescent="0.3">
      <c r="A17" s="6" t="s">
        <v>6</v>
      </c>
      <c r="B17">
        <v>22615.51</v>
      </c>
      <c r="C17">
        <v>20304.28</v>
      </c>
      <c r="D17">
        <v>23884.18</v>
      </c>
      <c r="E17">
        <v>26467.72</v>
      </c>
      <c r="F17">
        <v>26221.48</v>
      </c>
      <c r="G17">
        <v>27711.18</v>
      </c>
      <c r="H17">
        <v>38773.300000000003</v>
      </c>
      <c r="I17">
        <v>50351.25</v>
      </c>
      <c r="J17">
        <v>56203.09</v>
      </c>
      <c r="K17">
        <v>54240.52</v>
      </c>
    </row>
    <row r="18" spans="1:13" s="6" customFormat="1" x14ac:dyDescent="0.3">
      <c r="A18" s="4" t="s">
        <v>80</v>
      </c>
    </row>
    <row r="19" spans="1:13" s="6" customFormat="1" x14ac:dyDescent="0.3">
      <c r="A19" s="4" t="s">
        <v>81</v>
      </c>
    </row>
    <row r="20" spans="1:13" s="6" customFormat="1" x14ac:dyDescent="0.3">
      <c r="A20" s="4" t="s">
        <v>82</v>
      </c>
      <c r="B20">
        <v>14630.49</v>
      </c>
      <c r="C20">
        <v>12535.25</v>
      </c>
      <c r="D20">
        <v>15952.45</v>
      </c>
      <c r="E20">
        <v>17580.39</v>
      </c>
      <c r="F20">
        <v>14781.15</v>
      </c>
      <c r="G20">
        <v>14762.21</v>
      </c>
      <c r="H20">
        <v>25480.85</v>
      </c>
      <c r="I20">
        <v>28452.639999999999</v>
      </c>
      <c r="J20">
        <v>30273.25</v>
      </c>
      <c r="K20">
        <v>29168.02</v>
      </c>
    </row>
    <row r="21" spans="1:13" s="6" customFormat="1" x14ac:dyDescent="0.3">
      <c r="A21" s="4" t="s">
        <v>83</v>
      </c>
      <c r="B21">
        <v>1260.02</v>
      </c>
      <c r="C21">
        <v>1551.86</v>
      </c>
      <c r="D21">
        <v>1680.59</v>
      </c>
      <c r="E21">
        <v>1864.95</v>
      </c>
      <c r="F21">
        <v>1838.18</v>
      </c>
      <c r="G21">
        <v>2066.6799999999998</v>
      </c>
      <c r="H21">
        <v>1718.27</v>
      </c>
      <c r="I21">
        <v>1856.84</v>
      </c>
      <c r="J21">
        <v>2231.0500000000002</v>
      </c>
      <c r="K21">
        <v>2565.39</v>
      </c>
    </row>
    <row r="22" spans="1:13" s="6" customFormat="1" x14ac:dyDescent="0.3">
      <c r="A22" s="4" t="s">
        <v>84</v>
      </c>
      <c r="B22">
        <v>361.01</v>
      </c>
      <c r="C22">
        <v>353.9</v>
      </c>
      <c r="D22">
        <v>363.47</v>
      </c>
      <c r="E22">
        <v>427.04</v>
      </c>
      <c r="F22">
        <v>431.89</v>
      </c>
      <c r="G22">
        <v>470.72</v>
      </c>
      <c r="H22">
        <v>570.46</v>
      </c>
      <c r="I22">
        <v>644.16999999999996</v>
      </c>
      <c r="J22">
        <v>786.63</v>
      </c>
      <c r="K22">
        <v>857.81</v>
      </c>
    </row>
    <row r="23" spans="1:13" s="6" customFormat="1" x14ac:dyDescent="0.3">
      <c r="A23" s="4" t="s">
        <v>85</v>
      </c>
      <c r="B23">
        <v>307.25</v>
      </c>
      <c r="C23">
        <v>225.3</v>
      </c>
      <c r="D23">
        <v>222.73</v>
      </c>
      <c r="E23">
        <v>454.63</v>
      </c>
      <c r="F23">
        <v>281.14</v>
      </c>
      <c r="G23">
        <v>233.67</v>
      </c>
      <c r="H23">
        <v>443.65</v>
      </c>
      <c r="I23">
        <v>454.82</v>
      </c>
      <c r="J23">
        <v>543.57000000000005</v>
      </c>
      <c r="K23">
        <v>581.01</v>
      </c>
    </row>
    <row r="24" spans="1:13" s="6" customFormat="1" x14ac:dyDescent="0.3">
      <c r="A24" s="4" t="s">
        <v>86</v>
      </c>
      <c r="B24">
        <v>76.7</v>
      </c>
      <c r="C24">
        <v>202.04</v>
      </c>
      <c r="D24">
        <v>681.53</v>
      </c>
      <c r="E24">
        <v>407.07</v>
      </c>
      <c r="F24">
        <v>200.96</v>
      </c>
      <c r="G24">
        <v>296.49</v>
      </c>
      <c r="H24">
        <v>463.73</v>
      </c>
      <c r="I24">
        <v>715.16</v>
      </c>
      <c r="J24">
        <v>950.26</v>
      </c>
      <c r="K24">
        <v>1262.18</v>
      </c>
    </row>
    <row r="25" spans="1:13" s="6" customFormat="1" x14ac:dyDescent="0.3">
      <c r="A25" s="6" t="s">
        <v>9</v>
      </c>
      <c r="B25">
        <v>-3666.12</v>
      </c>
      <c r="C25">
        <v>754.1</v>
      </c>
      <c r="D25">
        <v>2447.87</v>
      </c>
      <c r="E25">
        <v>322.76</v>
      </c>
      <c r="F25">
        <v>1908.56</v>
      </c>
      <c r="G25">
        <v>3908.04</v>
      </c>
      <c r="H25">
        <v>4215.54</v>
      </c>
      <c r="I25">
        <v>9883.31</v>
      </c>
      <c r="J25">
        <v>2589.85</v>
      </c>
      <c r="K25">
        <v>3624.76</v>
      </c>
    </row>
    <row r="26" spans="1:13" s="6" customFormat="1" x14ac:dyDescent="0.3">
      <c r="A26" s="6" t="s">
        <v>10</v>
      </c>
      <c r="B26">
        <v>2672.36</v>
      </c>
      <c r="C26">
        <v>2698.72</v>
      </c>
      <c r="D26">
        <v>2750.62</v>
      </c>
      <c r="E26">
        <v>3006.5</v>
      </c>
      <c r="F26">
        <v>3201.65</v>
      </c>
      <c r="G26">
        <v>3117.54</v>
      </c>
      <c r="H26">
        <v>3303.68</v>
      </c>
      <c r="I26">
        <v>3931.33</v>
      </c>
      <c r="J26">
        <v>4308.88</v>
      </c>
      <c r="K26">
        <v>4564.53</v>
      </c>
    </row>
    <row r="27" spans="1:13" s="6" customFormat="1" x14ac:dyDescent="0.3">
      <c r="A27" s="6" t="s">
        <v>11</v>
      </c>
      <c r="B27">
        <v>5901.73</v>
      </c>
      <c r="C27">
        <v>5570.23</v>
      </c>
      <c r="D27">
        <v>5656.52</v>
      </c>
      <c r="E27">
        <v>5314.82</v>
      </c>
      <c r="F27">
        <v>5106.33</v>
      </c>
      <c r="G27">
        <v>4094.78</v>
      </c>
      <c r="H27">
        <v>3333.5</v>
      </c>
      <c r="I27">
        <v>3388.09</v>
      </c>
      <c r="J27">
        <v>3339.79</v>
      </c>
      <c r="K27">
        <v>3366.83</v>
      </c>
      <c r="M27" s="152">
        <f>I27/'Balance Sheet'!Y6</f>
        <v>6.1973477226998357E-2</v>
      </c>
    </row>
    <row r="28" spans="1:13" s="6" customFormat="1" x14ac:dyDescent="0.3">
      <c r="A28" s="6" t="s">
        <v>12</v>
      </c>
      <c r="B28">
        <v>-6260.17</v>
      </c>
      <c r="C28">
        <v>-2078.92</v>
      </c>
      <c r="D28">
        <v>-975.86</v>
      </c>
      <c r="E28">
        <v>-2264.92</v>
      </c>
      <c r="F28">
        <v>2288.7399999999998</v>
      </c>
      <c r="G28">
        <v>6577.13</v>
      </c>
      <c r="H28">
        <v>7674.7</v>
      </c>
      <c r="I28">
        <v>20791.509999999998</v>
      </c>
      <c r="J28">
        <v>16359.51</v>
      </c>
      <c r="K28">
        <v>15499.51</v>
      </c>
    </row>
    <row r="29" spans="1:13" s="6" customFormat="1" x14ac:dyDescent="0.3">
      <c r="A29" s="6" t="s">
        <v>13</v>
      </c>
      <c r="B29">
        <v>-86.07</v>
      </c>
      <c r="C29">
        <v>-5.15</v>
      </c>
      <c r="D29">
        <v>8.5399999999999991</v>
      </c>
      <c r="E29">
        <v>9.85</v>
      </c>
      <c r="F29">
        <v>1018.76</v>
      </c>
      <c r="G29">
        <v>1665.55</v>
      </c>
      <c r="H29">
        <v>-3051.94</v>
      </c>
      <c r="I29">
        <v>-37.28</v>
      </c>
      <c r="J29">
        <v>3609.9</v>
      </c>
      <c r="K29">
        <v>2528.4299999999998</v>
      </c>
    </row>
    <row r="30" spans="1:13" s="6" customFormat="1" x14ac:dyDescent="0.3">
      <c r="A30" s="6" t="s">
        <v>14</v>
      </c>
      <c r="B30">
        <v>-6174.1</v>
      </c>
      <c r="C30">
        <v>-2102.9499999999998</v>
      </c>
      <c r="D30">
        <v>-984.4</v>
      </c>
      <c r="E30">
        <v>-2274.77</v>
      </c>
      <c r="F30">
        <v>1269.98</v>
      </c>
      <c r="G30">
        <v>4911.58</v>
      </c>
      <c r="H30">
        <v>10726.64</v>
      </c>
      <c r="I30">
        <v>20828.79</v>
      </c>
      <c r="J30">
        <v>12938.77</v>
      </c>
      <c r="K30">
        <v>12834.3</v>
      </c>
    </row>
    <row r="31" spans="1:13" s="6" customFormat="1" x14ac:dyDescent="0.3">
      <c r="A31" s="6" t="s">
        <v>70</v>
      </c>
    </row>
    <row r="32" spans="1:13" s="6" customFormat="1" x14ac:dyDescent="0.3"/>
    <row r="33" spans="1:11" x14ac:dyDescent="0.3">
      <c r="A33" s="6"/>
    </row>
    <row r="34" spans="1:11" x14ac:dyDescent="0.3">
      <c r="A34" s="6"/>
    </row>
    <row r="35" spans="1:11" x14ac:dyDescent="0.3">
      <c r="A35" s="6"/>
    </row>
    <row r="36" spans="1:11" x14ac:dyDescent="0.3">
      <c r="A36" s="6"/>
    </row>
    <row r="37" spans="1:11" x14ac:dyDescent="0.3">
      <c r="A37" s="6"/>
    </row>
    <row r="38" spans="1:11" x14ac:dyDescent="0.3">
      <c r="A38" s="6"/>
    </row>
    <row r="39" spans="1:11" x14ac:dyDescent="0.3">
      <c r="A39" s="6"/>
    </row>
    <row r="40" spans="1:11" x14ac:dyDescent="0.3">
      <c r="A40" s="1" t="s">
        <v>39</v>
      </c>
    </row>
    <row r="41" spans="1:11" s="18" customFormat="1" x14ac:dyDescent="0.3">
      <c r="A41" s="17" t="s">
        <v>38</v>
      </c>
      <c r="B41" s="12">
        <v>45291</v>
      </c>
      <c r="C41" s="12">
        <v>45382</v>
      </c>
      <c r="D41" s="12">
        <v>45473</v>
      </c>
      <c r="E41" s="12">
        <v>45565</v>
      </c>
      <c r="F41" s="12">
        <v>45657</v>
      </c>
      <c r="G41" s="12">
        <v>45747</v>
      </c>
      <c r="H41" s="12">
        <v>45838</v>
      </c>
      <c r="I41" s="12">
        <v>45930</v>
      </c>
      <c r="J41" s="12">
        <v>46022</v>
      </c>
      <c r="K41" s="12">
        <v>46112</v>
      </c>
    </row>
    <row r="42" spans="1:11" s="6" customFormat="1" x14ac:dyDescent="0.3">
      <c r="A42" s="6" t="s">
        <v>6</v>
      </c>
      <c r="B42">
        <v>12991.44</v>
      </c>
      <c r="C42">
        <v>13363.69</v>
      </c>
      <c r="D42">
        <v>14955.63</v>
      </c>
      <c r="E42">
        <v>13338.88</v>
      </c>
      <c r="F42">
        <v>13671.18</v>
      </c>
      <c r="G42">
        <v>14237.4</v>
      </c>
      <c r="H42">
        <v>14109.15</v>
      </c>
      <c r="I42">
        <v>13456.84</v>
      </c>
      <c r="J42">
        <v>12451.44</v>
      </c>
      <c r="K42">
        <v>14223.09</v>
      </c>
    </row>
    <row r="43" spans="1:11" s="6" customFormat="1" x14ac:dyDescent="0.3">
      <c r="A43" s="6" t="s">
        <v>7</v>
      </c>
      <c r="B43">
        <v>8346.1</v>
      </c>
      <c r="C43">
        <v>8513.9500000000007</v>
      </c>
      <c r="D43">
        <v>8761.32</v>
      </c>
      <c r="E43">
        <v>8063.3</v>
      </c>
      <c r="F43">
        <v>8648.26</v>
      </c>
      <c r="G43">
        <v>9424.77</v>
      </c>
      <c r="H43">
        <v>8423.8700000000008</v>
      </c>
      <c r="I43">
        <v>8306.5499999999993</v>
      </c>
      <c r="J43">
        <v>8213.3700000000008</v>
      </c>
      <c r="K43">
        <v>9490.6200000000008</v>
      </c>
    </row>
    <row r="44" spans="1:11" s="6" customFormat="1" x14ac:dyDescent="0.3">
      <c r="A44" s="6" t="s">
        <v>9</v>
      </c>
      <c r="B44">
        <v>363.83</v>
      </c>
      <c r="C44">
        <v>517.83000000000004</v>
      </c>
      <c r="D44">
        <v>518.32000000000005</v>
      </c>
      <c r="E44">
        <v>723.96</v>
      </c>
      <c r="F44">
        <v>1162.26</v>
      </c>
      <c r="G44">
        <v>298.2</v>
      </c>
      <c r="H44">
        <v>464.55</v>
      </c>
      <c r="I44">
        <v>850.95</v>
      </c>
      <c r="J44">
        <v>543.26</v>
      </c>
      <c r="K44">
        <v>1766</v>
      </c>
    </row>
    <row r="45" spans="1:11" s="6" customFormat="1" x14ac:dyDescent="0.3">
      <c r="A45" s="6" t="s">
        <v>10</v>
      </c>
      <c r="B45">
        <v>1002.23</v>
      </c>
      <c r="C45">
        <v>990.03</v>
      </c>
      <c r="D45">
        <v>995.63</v>
      </c>
      <c r="E45">
        <v>1058.5899999999999</v>
      </c>
      <c r="F45">
        <v>1170.01</v>
      </c>
      <c r="G45">
        <v>1084.6500000000001</v>
      </c>
      <c r="H45">
        <v>1088.5899999999999</v>
      </c>
      <c r="I45">
        <v>1193.4100000000001</v>
      </c>
      <c r="J45">
        <v>1135.3</v>
      </c>
      <c r="K45">
        <v>1147.23</v>
      </c>
    </row>
    <row r="46" spans="1:11" s="6" customFormat="1" x14ac:dyDescent="0.3">
      <c r="A46" s="6" t="s">
        <v>11</v>
      </c>
      <c r="B46">
        <v>796.56</v>
      </c>
      <c r="C46">
        <v>819.6</v>
      </c>
      <c r="D46">
        <v>811.49</v>
      </c>
      <c r="E46">
        <v>806.87</v>
      </c>
      <c r="F46">
        <v>956.53</v>
      </c>
      <c r="G46">
        <v>764.9</v>
      </c>
      <c r="H46">
        <v>856.93</v>
      </c>
      <c r="I46">
        <v>841.63</v>
      </c>
      <c r="J46">
        <v>701.01</v>
      </c>
      <c r="K46">
        <v>967.26</v>
      </c>
    </row>
    <row r="47" spans="1:11" s="6" customFormat="1" x14ac:dyDescent="0.3">
      <c r="A47" s="6" t="s">
        <v>12</v>
      </c>
      <c r="B47">
        <v>3210.38</v>
      </c>
      <c r="C47">
        <v>3557.94</v>
      </c>
      <c r="D47">
        <v>4905.51</v>
      </c>
      <c r="E47">
        <v>4134.08</v>
      </c>
      <c r="F47">
        <v>4058.64</v>
      </c>
      <c r="G47">
        <v>3261.28</v>
      </c>
      <c r="H47">
        <v>4204.3100000000004</v>
      </c>
      <c r="I47">
        <v>3966.2</v>
      </c>
      <c r="J47">
        <v>2945.02</v>
      </c>
      <c r="K47">
        <v>4383.9799999999996</v>
      </c>
    </row>
    <row r="48" spans="1:11" s="6" customFormat="1" x14ac:dyDescent="0.3">
      <c r="A48" s="6" t="s">
        <v>13</v>
      </c>
      <c r="B48">
        <v>472.42</v>
      </c>
      <c r="C48">
        <v>820.7</v>
      </c>
      <c r="D48">
        <v>992.72</v>
      </c>
      <c r="E48">
        <v>836.56</v>
      </c>
      <c r="F48">
        <v>1118.57</v>
      </c>
      <c r="G48">
        <v>662.05</v>
      </c>
      <c r="H48">
        <v>899.18</v>
      </c>
      <c r="I48">
        <v>1059.74</v>
      </c>
      <c r="J48">
        <v>456.93</v>
      </c>
      <c r="K48">
        <v>112.58</v>
      </c>
    </row>
    <row r="49" spans="1:11" s="6" customFormat="1" x14ac:dyDescent="0.3">
      <c r="A49" s="6" t="s">
        <v>14</v>
      </c>
      <c r="B49">
        <v>2737.96</v>
      </c>
      <c r="C49">
        <v>2737.24</v>
      </c>
      <c r="D49">
        <v>3912.79</v>
      </c>
      <c r="E49">
        <v>3331.8</v>
      </c>
      <c r="F49">
        <v>3057.21</v>
      </c>
      <c r="G49">
        <v>2636.97</v>
      </c>
      <c r="H49">
        <v>3384.86</v>
      </c>
      <c r="I49">
        <v>2952.78</v>
      </c>
      <c r="J49">
        <v>2479.58</v>
      </c>
      <c r="K49">
        <v>4017.08</v>
      </c>
    </row>
    <row r="50" spans="1:11" x14ac:dyDescent="0.3">
      <c r="A50" s="6" t="s">
        <v>8</v>
      </c>
      <c r="B50">
        <v>4645.34</v>
      </c>
      <c r="C50">
        <v>4849.74</v>
      </c>
      <c r="D50">
        <v>6194.31</v>
      </c>
      <c r="E50">
        <v>5275.58</v>
      </c>
      <c r="F50">
        <v>5022.92</v>
      </c>
      <c r="G50">
        <v>4812.63</v>
      </c>
      <c r="H50">
        <v>5685.28</v>
      </c>
      <c r="I50">
        <v>5150.29</v>
      </c>
      <c r="J50">
        <v>4238.07</v>
      </c>
      <c r="K50">
        <v>4732.47</v>
      </c>
    </row>
    <row r="51" spans="1:11" x14ac:dyDescent="0.3">
      <c r="A51" s="6"/>
    </row>
    <row r="52" spans="1:11" x14ac:dyDescent="0.3">
      <c r="A52" s="6"/>
    </row>
    <row r="53" spans="1:11" x14ac:dyDescent="0.3">
      <c r="A53" s="6"/>
    </row>
    <row r="54" spans="1:11" x14ac:dyDescent="0.3">
      <c r="A54" s="6"/>
    </row>
    <row r="55" spans="1:11" x14ac:dyDescent="0.3">
      <c r="A55" s="1" t="s">
        <v>40</v>
      </c>
    </row>
    <row r="56" spans="1:11" s="18" customFormat="1" x14ac:dyDescent="0.3">
      <c r="A56" s="17" t="s">
        <v>38</v>
      </c>
      <c r="B56" s="12">
        <v>42825</v>
      </c>
      <c r="C56" s="12">
        <v>43190</v>
      </c>
      <c r="D56" s="12">
        <v>43555</v>
      </c>
      <c r="E56" s="12">
        <v>43921</v>
      </c>
      <c r="F56" s="12">
        <v>44286</v>
      </c>
      <c r="G56" s="12">
        <v>44651</v>
      </c>
      <c r="H56" s="12">
        <v>45016</v>
      </c>
      <c r="I56" s="12">
        <v>45382</v>
      </c>
      <c r="J56" s="12">
        <v>45747</v>
      </c>
      <c r="K56" s="12">
        <v>46112</v>
      </c>
    </row>
    <row r="57" spans="1:11" x14ac:dyDescent="0.3">
      <c r="A57" s="6" t="s">
        <v>24</v>
      </c>
      <c r="B57">
        <v>3856.94</v>
      </c>
      <c r="C57">
        <v>3856.94</v>
      </c>
      <c r="D57">
        <v>3856.94</v>
      </c>
      <c r="E57">
        <v>3856.94</v>
      </c>
      <c r="F57">
        <v>3856.94</v>
      </c>
      <c r="G57">
        <v>3856.94</v>
      </c>
      <c r="H57">
        <v>3856.94</v>
      </c>
      <c r="I57">
        <v>3856.94</v>
      </c>
      <c r="J57">
        <v>3856.94</v>
      </c>
      <c r="K57">
        <v>3856.94</v>
      </c>
    </row>
    <row r="58" spans="1:11" x14ac:dyDescent="0.3">
      <c r="A58" s="6" t="s">
        <v>25</v>
      </c>
      <c r="B58">
        <v>-857.38</v>
      </c>
      <c r="C58">
        <v>-2967.61</v>
      </c>
      <c r="D58">
        <v>3855.35</v>
      </c>
      <c r="E58">
        <v>2623.5</v>
      </c>
      <c r="F58">
        <v>9255.65</v>
      </c>
      <c r="G58">
        <v>14599.95</v>
      </c>
      <c r="H58">
        <v>26018.720000000001</v>
      </c>
      <c r="I58">
        <v>39041.54</v>
      </c>
      <c r="J58">
        <v>52490.15</v>
      </c>
      <c r="K58">
        <v>61079.94</v>
      </c>
    </row>
    <row r="59" spans="1:11" x14ac:dyDescent="0.3">
      <c r="A59" s="6" t="s">
        <v>71</v>
      </c>
      <c r="B59">
        <v>52484.37</v>
      </c>
      <c r="C59">
        <v>52834.81</v>
      </c>
      <c r="D59">
        <v>46979.7</v>
      </c>
      <c r="E59">
        <v>55198.76</v>
      </c>
      <c r="F59">
        <v>52411.27</v>
      </c>
      <c r="G59">
        <v>49144.98</v>
      </c>
      <c r="H59">
        <v>42349.53</v>
      </c>
      <c r="I59">
        <v>34862.11</v>
      </c>
      <c r="J59">
        <v>39494.870000000003</v>
      </c>
      <c r="K59">
        <v>54670.29</v>
      </c>
    </row>
    <row r="60" spans="1:11" x14ac:dyDescent="0.3">
      <c r="A60" s="6" t="s">
        <v>72</v>
      </c>
      <c r="B60">
        <v>16027.12</v>
      </c>
      <c r="C60">
        <v>15803.93</v>
      </c>
      <c r="D60">
        <v>13292.61</v>
      </c>
      <c r="E60">
        <v>13345.8</v>
      </c>
      <c r="F60">
        <v>13011.61</v>
      </c>
      <c r="G60">
        <v>14379.15</v>
      </c>
      <c r="H60">
        <v>13596.08</v>
      </c>
      <c r="I60">
        <v>14248.38</v>
      </c>
      <c r="J60">
        <v>17075.61</v>
      </c>
      <c r="K60">
        <v>21861.360000000001</v>
      </c>
    </row>
    <row r="61" spans="1:11" s="1" customFormat="1" x14ac:dyDescent="0.3">
      <c r="A61" s="1" t="s">
        <v>26</v>
      </c>
      <c r="B61">
        <v>71511.05</v>
      </c>
      <c r="C61">
        <v>69528.070000000007</v>
      </c>
      <c r="D61">
        <v>67984.600000000006</v>
      </c>
      <c r="E61">
        <v>75025</v>
      </c>
      <c r="F61">
        <v>78535.47</v>
      </c>
      <c r="G61">
        <v>81981.02</v>
      </c>
      <c r="H61">
        <v>85821.27</v>
      </c>
      <c r="I61">
        <v>92008.97</v>
      </c>
      <c r="J61">
        <v>112917.57</v>
      </c>
      <c r="K61">
        <v>141468.53</v>
      </c>
    </row>
    <row r="62" spans="1:11" x14ac:dyDescent="0.3">
      <c r="A62" s="6" t="s">
        <v>27</v>
      </c>
      <c r="B62">
        <v>54390.93</v>
      </c>
      <c r="C62">
        <v>52137.14</v>
      </c>
      <c r="D62">
        <v>50418.76</v>
      </c>
      <c r="E62">
        <v>55845.81</v>
      </c>
      <c r="F62">
        <v>52851.3</v>
      </c>
      <c r="G62">
        <v>53274.21</v>
      </c>
      <c r="H62">
        <v>51451.38</v>
      </c>
      <c r="I62">
        <v>63015.85</v>
      </c>
      <c r="J62">
        <v>69297.45</v>
      </c>
      <c r="K62">
        <v>69401.460000000006</v>
      </c>
    </row>
    <row r="63" spans="1:11" x14ac:dyDescent="0.3">
      <c r="A63" s="6" t="s">
        <v>28</v>
      </c>
      <c r="B63">
        <v>124.61</v>
      </c>
      <c r="C63">
        <v>119.86</v>
      </c>
      <c r="D63">
        <v>350.08</v>
      </c>
      <c r="E63">
        <v>2346.77</v>
      </c>
      <c r="F63">
        <v>6439.42</v>
      </c>
      <c r="G63">
        <v>10269.74</v>
      </c>
      <c r="H63">
        <v>12879.54</v>
      </c>
      <c r="I63">
        <v>925.12</v>
      </c>
      <c r="J63">
        <v>12104.42</v>
      </c>
      <c r="K63">
        <v>35053.46</v>
      </c>
    </row>
    <row r="64" spans="1:11" x14ac:dyDescent="0.3">
      <c r="A64" s="6" t="s">
        <v>29</v>
      </c>
      <c r="B64">
        <v>164.33</v>
      </c>
      <c r="C64">
        <v>0.01</v>
      </c>
      <c r="D64">
        <v>2.72</v>
      </c>
      <c r="E64">
        <v>2.8</v>
      </c>
      <c r="F64">
        <v>20.100000000000001</v>
      </c>
      <c r="G64">
        <v>183.25</v>
      </c>
      <c r="H64">
        <v>654.04999999999995</v>
      </c>
      <c r="I64">
        <v>373.51</v>
      </c>
      <c r="J64">
        <v>1097.21</v>
      </c>
      <c r="K64">
        <v>1515.99</v>
      </c>
    </row>
    <row r="65" spans="1:11" x14ac:dyDescent="0.3">
      <c r="A65" s="6" t="s">
        <v>73</v>
      </c>
      <c r="B65">
        <v>16831.18</v>
      </c>
      <c r="C65">
        <v>17271.060000000001</v>
      </c>
      <c r="D65">
        <v>17213.04</v>
      </c>
      <c r="E65">
        <v>16829.62</v>
      </c>
      <c r="F65">
        <v>19224.650000000001</v>
      </c>
      <c r="G65">
        <v>18253.82</v>
      </c>
      <c r="H65">
        <v>20836.3</v>
      </c>
      <c r="I65">
        <v>27694.49</v>
      </c>
      <c r="J65">
        <v>30418.49</v>
      </c>
      <c r="K65">
        <v>35497.620000000003</v>
      </c>
    </row>
    <row r="66" spans="1:11" s="1" customFormat="1" x14ac:dyDescent="0.3">
      <c r="A66" s="1" t="s">
        <v>26</v>
      </c>
      <c r="B66">
        <v>71511.05</v>
      </c>
      <c r="C66">
        <v>69528.070000000007</v>
      </c>
      <c r="D66">
        <v>67984.600000000006</v>
      </c>
      <c r="E66">
        <v>75025</v>
      </c>
      <c r="F66">
        <v>78535.47</v>
      </c>
      <c r="G66">
        <v>81981.02</v>
      </c>
      <c r="H66">
        <v>85821.27</v>
      </c>
      <c r="I66">
        <v>92008.97</v>
      </c>
      <c r="J66">
        <v>112917.57</v>
      </c>
      <c r="K66">
        <v>141468.53</v>
      </c>
    </row>
    <row r="67" spans="1:11" s="6" customFormat="1" x14ac:dyDescent="0.3">
      <c r="A67" s="6" t="s">
        <v>78</v>
      </c>
      <c r="B67">
        <v>7704.34</v>
      </c>
      <c r="C67">
        <v>6069.81</v>
      </c>
      <c r="D67">
        <v>8550.99</v>
      </c>
      <c r="E67">
        <v>8366.4699999999993</v>
      </c>
      <c r="F67">
        <v>11437.92</v>
      </c>
      <c r="G67">
        <v>9560.92</v>
      </c>
      <c r="H67">
        <v>11529.36</v>
      </c>
      <c r="I67">
        <v>11677.48</v>
      </c>
      <c r="J67">
        <v>13022.07</v>
      </c>
      <c r="K67">
        <v>11791.37</v>
      </c>
    </row>
    <row r="68" spans="1:11" x14ac:dyDescent="0.3">
      <c r="A68" s="6" t="s">
        <v>45</v>
      </c>
      <c r="B68">
        <v>1760.41</v>
      </c>
      <c r="C68">
        <v>873.98</v>
      </c>
      <c r="D68">
        <v>1224.08</v>
      </c>
      <c r="E68">
        <v>2522.77</v>
      </c>
      <c r="F68">
        <v>2025.11</v>
      </c>
      <c r="G68">
        <v>2258.27</v>
      </c>
      <c r="H68">
        <v>3075.2</v>
      </c>
      <c r="I68">
        <v>4142.1000000000004</v>
      </c>
      <c r="J68">
        <v>3317.28</v>
      </c>
      <c r="K68">
        <v>3623.48</v>
      </c>
    </row>
    <row r="69" spans="1:11" x14ac:dyDescent="0.3">
      <c r="A69" s="4" t="s">
        <v>87</v>
      </c>
      <c r="B69">
        <v>604.16999999999996</v>
      </c>
      <c r="C69">
        <v>856.61</v>
      </c>
      <c r="D69">
        <v>915.88</v>
      </c>
      <c r="E69">
        <v>1979.31</v>
      </c>
      <c r="F69">
        <v>1607.32</v>
      </c>
      <c r="G69">
        <v>2364.6799999999998</v>
      </c>
      <c r="H69">
        <v>1873.65</v>
      </c>
      <c r="I69">
        <v>7211.76</v>
      </c>
      <c r="J69">
        <v>6119.88</v>
      </c>
      <c r="K69">
        <v>6926.32</v>
      </c>
    </row>
    <row r="70" spans="1:11" x14ac:dyDescent="0.3">
      <c r="A70" s="4" t="s">
        <v>74</v>
      </c>
      <c r="B70">
        <v>3856938941</v>
      </c>
      <c r="C70">
        <v>3856938941</v>
      </c>
      <c r="D70">
        <v>3856938941</v>
      </c>
      <c r="E70">
        <v>3856938941</v>
      </c>
      <c r="F70">
        <v>3856938941</v>
      </c>
      <c r="G70">
        <v>3856938941</v>
      </c>
      <c r="H70">
        <v>3856938941</v>
      </c>
      <c r="I70">
        <v>3856938941</v>
      </c>
      <c r="J70">
        <v>3856938941</v>
      </c>
      <c r="K70">
        <v>19284694705</v>
      </c>
    </row>
    <row r="71" spans="1:11" x14ac:dyDescent="0.3">
      <c r="A71" s="4" t="s">
        <v>75</v>
      </c>
      <c r="K71" s="4">
        <f>K70/10000000</f>
        <v>1928.4694704999999</v>
      </c>
    </row>
    <row r="72" spans="1:11" x14ac:dyDescent="0.3">
      <c r="A72" s="4" t="s">
        <v>88</v>
      </c>
      <c r="B72">
        <v>10</v>
      </c>
      <c r="C72">
        <v>10</v>
      </c>
      <c r="D72">
        <v>10</v>
      </c>
      <c r="E72">
        <v>10</v>
      </c>
      <c r="F72">
        <v>10</v>
      </c>
      <c r="G72">
        <v>10</v>
      </c>
      <c r="H72">
        <v>10</v>
      </c>
      <c r="I72">
        <v>10</v>
      </c>
      <c r="J72">
        <v>10</v>
      </c>
      <c r="K72">
        <v>2</v>
      </c>
    </row>
    <row r="74" spans="1:11" x14ac:dyDescent="0.3">
      <c r="A74" s="6"/>
    </row>
    <row r="75" spans="1:11" x14ac:dyDescent="0.3">
      <c r="A75" s="6"/>
    </row>
    <row r="76" spans="1:11" x14ac:dyDescent="0.3">
      <c r="A76" s="6"/>
    </row>
    <row r="77" spans="1:11" x14ac:dyDescent="0.3">
      <c r="A77" s="6"/>
    </row>
    <row r="78" spans="1:11" x14ac:dyDescent="0.3">
      <c r="A78" s="6"/>
    </row>
    <row r="79" spans="1:11" x14ac:dyDescent="0.3">
      <c r="A79" s="6"/>
    </row>
    <row r="80" spans="1:11" x14ac:dyDescent="0.3">
      <c r="A80" s="1" t="s">
        <v>41</v>
      </c>
    </row>
    <row r="81" spans="1:11" s="18" customFormat="1" x14ac:dyDescent="0.3">
      <c r="A81" s="17" t="s">
        <v>38</v>
      </c>
      <c r="B81" s="12">
        <v>42825</v>
      </c>
      <c r="C81" s="12">
        <v>43190</v>
      </c>
      <c r="D81" s="12">
        <v>43555</v>
      </c>
      <c r="E81" s="12">
        <v>43921</v>
      </c>
      <c r="F81" s="12">
        <v>44286</v>
      </c>
      <c r="G81" s="12">
        <v>44651</v>
      </c>
      <c r="H81" s="12">
        <v>45016</v>
      </c>
      <c r="I81" s="12">
        <v>45382</v>
      </c>
      <c r="J81" s="12">
        <v>45747</v>
      </c>
      <c r="K81" s="12">
        <v>46112</v>
      </c>
    </row>
    <row r="82" spans="1:11" s="1" customFormat="1" x14ac:dyDescent="0.3">
      <c r="A82" s="6" t="s">
        <v>32</v>
      </c>
      <c r="B82">
        <v>4725.2</v>
      </c>
      <c r="C82">
        <v>5101.1499999999996</v>
      </c>
      <c r="D82">
        <v>5610.38</v>
      </c>
      <c r="E82">
        <v>5597.55</v>
      </c>
      <c r="F82">
        <v>7014.35</v>
      </c>
      <c r="G82">
        <v>10232.73</v>
      </c>
      <c r="H82">
        <v>8430.5300000000007</v>
      </c>
      <c r="I82">
        <v>14170.15</v>
      </c>
      <c r="J82">
        <v>21501.11</v>
      </c>
      <c r="K82">
        <v>20513.650000000001</v>
      </c>
    </row>
    <row r="83" spans="1:11" s="6" customFormat="1" x14ac:dyDescent="0.3">
      <c r="A83" s="6" t="s">
        <v>33</v>
      </c>
      <c r="B83">
        <v>-1212.04</v>
      </c>
      <c r="C83">
        <v>-520.42999999999995</v>
      </c>
      <c r="D83">
        <v>-984.02</v>
      </c>
      <c r="E83">
        <v>-2303.81</v>
      </c>
      <c r="F83">
        <v>-2187.5700000000002</v>
      </c>
      <c r="G83">
        <v>774.46</v>
      </c>
      <c r="H83">
        <v>1544.79</v>
      </c>
      <c r="I83">
        <v>3480.9</v>
      </c>
      <c r="J83">
        <v>-17142.05</v>
      </c>
      <c r="K83">
        <v>-26460.560000000001</v>
      </c>
    </row>
    <row r="84" spans="1:11" s="6" customFormat="1" x14ac:dyDescent="0.3">
      <c r="A84" s="6" t="s">
        <v>34</v>
      </c>
      <c r="B84">
        <v>-3538.93</v>
      </c>
      <c r="C84">
        <v>-4600.1099999999997</v>
      </c>
      <c r="D84">
        <v>-4663.4399999999996</v>
      </c>
      <c r="E84">
        <v>-2377.1799999999998</v>
      </c>
      <c r="F84">
        <v>-5654.84</v>
      </c>
      <c r="G84">
        <v>-10337.86</v>
      </c>
      <c r="H84">
        <v>-10408.459999999999</v>
      </c>
      <c r="I84">
        <v>-16864.03</v>
      </c>
      <c r="J84">
        <v>-5175.45</v>
      </c>
      <c r="K84">
        <v>6554.93</v>
      </c>
    </row>
    <row r="85" spans="1:11" s="1" customFormat="1" x14ac:dyDescent="0.3">
      <c r="A85" s="6" t="s">
        <v>35</v>
      </c>
      <c r="B85">
        <v>-25.77</v>
      </c>
      <c r="C85">
        <v>-19.39</v>
      </c>
      <c r="D85">
        <v>-37.08</v>
      </c>
      <c r="E85">
        <v>916.56</v>
      </c>
      <c r="F85">
        <v>-828.06</v>
      </c>
      <c r="G85">
        <v>669.33</v>
      </c>
      <c r="H85">
        <v>-433.14</v>
      </c>
      <c r="I85">
        <v>787.02</v>
      </c>
      <c r="J85">
        <v>-816.39</v>
      </c>
      <c r="K85">
        <v>608.02</v>
      </c>
    </row>
    <row r="86" spans="1:11" x14ac:dyDescent="0.3">
      <c r="A86" s="6"/>
    </row>
    <row r="87" spans="1:11" x14ac:dyDescent="0.3">
      <c r="A87" s="6"/>
    </row>
    <row r="88" spans="1:11" x14ac:dyDescent="0.3">
      <c r="A88" s="6"/>
    </row>
    <row r="89" spans="1:11" x14ac:dyDescent="0.3">
      <c r="A89" s="6"/>
    </row>
    <row r="90" spans="1:11" s="1" customFormat="1" x14ac:dyDescent="0.3">
      <c r="A90" s="1" t="s">
        <v>77</v>
      </c>
      <c r="B90">
        <v>7.98</v>
      </c>
      <c r="C90">
        <v>4.74</v>
      </c>
      <c r="D90">
        <v>9.64</v>
      </c>
      <c r="E90">
        <v>5.55</v>
      </c>
      <c r="F90">
        <v>17.010000000000002</v>
      </c>
      <c r="G90">
        <v>37.020000000000003</v>
      </c>
      <c r="H90">
        <v>38.32</v>
      </c>
      <c r="I90">
        <v>106.76</v>
      </c>
      <c r="J90">
        <v>101.86</v>
      </c>
      <c r="K90">
        <v>150.43</v>
      </c>
    </row>
    <row r="92" spans="1:11" s="1" customFormat="1" x14ac:dyDescent="0.3">
      <c r="A92" s="1" t="s">
        <v>76</v>
      </c>
    </row>
    <row r="93" spans="1:11" x14ac:dyDescent="0.3">
      <c r="A93" s="4" t="s">
        <v>89</v>
      </c>
      <c r="B93" s="24">
        <v>1928.47</v>
      </c>
      <c r="C93" s="24">
        <v>1928.47</v>
      </c>
      <c r="D93" s="24">
        <v>1928.47</v>
      </c>
      <c r="E93" s="24">
        <v>1928.47</v>
      </c>
      <c r="F93" s="24">
        <v>1928.47</v>
      </c>
      <c r="G93" s="24">
        <v>1928.47</v>
      </c>
      <c r="H93" s="24">
        <v>1928.47</v>
      </c>
      <c r="I93" s="24">
        <v>1928.47</v>
      </c>
      <c r="J93" s="24">
        <v>1928.47</v>
      </c>
      <c r="K93" s="24">
        <v>1928.47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Adani Power DCF</vt:lpstr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Shivansh Chandra</cp:lastModifiedBy>
  <cp:lastPrinted>2026-06-23T10:33:55Z</cp:lastPrinted>
  <dcterms:created xsi:type="dcterms:W3CDTF">2012-08-17T09:55:37Z</dcterms:created>
  <dcterms:modified xsi:type="dcterms:W3CDTF">2026-06-24T14:44:10Z</dcterms:modified>
</cp:coreProperties>
</file>