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FP&amp;A &amp; Equity Research\DCF\"/>
    </mc:Choice>
  </mc:AlternateContent>
  <xr:revisionPtr revIDLastSave="0" documentId="13_ncr:1_{757EDFAB-B6FF-4269-A1D5-0CA5378664A4}" xr6:coauthVersionLast="47" xr6:coauthVersionMax="47" xr10:uidLastSave="{00000000-0000-0000-0000-000000000000}"/>
  <bookViews>
    <workbookView xWindow="-108" yWindow="-108" windowWidth="23256" windowHeight="13176" xr2:uid="{DAB627B8-FC04-4825-915C-76C95AD8F9EF}"/>
  </bookViews>
  <sheets>
    <sheet name="TITAN DCF" sheetId="1" r:id="rId1"/>
    <sheet name="Data Sheet" sheetId="2" r:id="rId2"/>
  </sheets>
  <definedNames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2" i="1" l="1"/>
  <c r="K22" i="1"/>
  <c r="J22" i="1"/>
  <c r="I22" i="1"/>
  <c r="H22" i="1"/>
  <c r="G22" i="1"/>
  <c r="F52" i="1"/>
  <c r="E52" i="1"/>
  <c r="D52" i="1"/>
  <c r="G52" i="1"/>
  <c r="C52" i="1"/>
  <c r="I33" i="1"/>
  <c r="I27" i="1"/>
  <c r="F51" i="1"/>
  <c r="E51" i="1"/>
  <c r="D51" i="1"/>
  <c r="L19" i="1"/>
  <c r="K19" i="1"/>
  <c r="J19" i="1"/>
  <c r="I19" i="1"/>
  <c r="H19" i="1"/>
  <c r="G19" i="1"/>
  <c r="L14" i="1"/>
  <c r="K14" i="1"/>
  <c r="J14" i="1"/>
  <c r="I14" i="1"/>
  <c r="H14" i="1"/>
  <c r="G14" i="1"/>
  <c r="G11" i="1"/>
  <c r="D33" i="1"/>
  <c r="AA22" i="2"/>
  <c r="G43" i="1"/>
  <c r="G41" i="1"/>
  <c r="G36" i="1"/>
  <c r="G35" i="1"/>
  <c r="D36" i="1"/>
  <c r="AJ22" i="2"/>
  <c r="AC22" i="2"/>
  <c r="AD22" i="2"/>
  <c r="AE22" i="2"/>
  <c r="AF22" i="2"/>
  <c r="AG22" i="2"/>
  <c r="AH22" i="2"/>
  <c r="AB22" i="2"/>
  <c r="D31" i="1"/>
  <c r="D37" i="1"/>
  <c r="F16" i="1"/>
  <c r="E16" i="1"/>
  <c r="D16" i="1"/>
  <c r="C47" i="1"/>
  <c r="D47" i="1"/>
  <c r="E47" i="1"/>
  <c r="F47" i="1"/>
  <c r="D48" i="1"/>
  <c r="E48" i="1"/>
  <c r="F48" i="1"/>
  <c r="D49" i="1"/>
  <c r="E49" i="1"/>
  <c r="F49" i="1"/>
  <c r="D50" i="1"/>
  <c r="E50" i="1"/>
  <c r="F50" i="1"/>
  <c r="C49" i="1"/>
  <c r="F20" i="1"/>
  <c r="E20" i="1"/>
  <c r="D20" i="1"/>
  <c r="C20" i="1"/>
  <c r="K73" i="2"/>
  <c r="C48" i="1"/>
  <c r="C16" i="1"/>
  <c r="F14" i="1"/>
  <c r="E14" i="1"/>
  <c r="D14" i="1"/>
  <c r="C14" i="1"/>
  <c r="F13" i="1"/>
  <c r="E13" i="1"/>
  <c r="D13" i="1"/>
  <c r="C13" i="1"/>
  <c r="F12" i="1"/>
  <c r="E12" i="1"/>
  <c r="D12" i="1"/>
  <c r="C12" i="1"/>
  <c r="B6" i="2"/>
  <c r="E1" i="2"/>
  <c r="H10" i="1"/>
  <c r="D46" i="1"/>
  <c r="D9" i="1"/>
  <c r="I43" i="1" l="1"/>
  <c r="L39" i="1"/>
  <c r="K39" i="1" s="1"/>
  <c r="J39" i="1" s="1"/>
  <c r="H11" i="1"/>
  <c r="I11" i="1" s="1"/>
  <c r="G37" i="1"/>
  <c r="D38" i="1"/>
  <c r="D32" i="1"/>
  <c r="G12" i="1"/>
  <c r="F11" i="1"/>
  <c r="E11" i="1"/>
  <c r="D11" i="1"/>
  <c r="F18" i="1"/>
  <c r="E18" i="1"/>
  <c r="D18" i="1"/>
  <c r="C18" i="1"/>
  <c r="J11" i="1"/>
  <c r="K11" i="1" s="1"/>
  <c r="L11" i="1" s="1"/>
  <c r="G13" i="1"/>
  <c r="H12" i="1"/>
  <c r="G20" i="1"/>
  <c r="G15" i="1"/>
  <c r="G16" i="1" s="1"/>
  <c r="I41" i="1"/>
  <c r="C50" i="1"/>
  <c r="C51" i="1" s="1"/>
  <c r="F15" i="1"/>
  <c r="F17" i="1" s="1"/>
  <c r="F19" i="1" s="1"/>
  <c r="E15" i="1"/>
  <c r="E17" i="1" s="1"/>
  <c r="E19" i="1" s="1"/>
  <c r="D15" i="1"/>
  <c r="D17" i="1" s="1"/>
  <c r="D19" i="1" s="1"/>
  <c r="C15" i="1"/>
  <c r="C17" i="1" s="1"/>
  <c r="C19" i="1" s="1"/>
  <c r="I10" i="1"/>
  <c r="J10" i="1"/>
  <c r="K10" i="1" s="1"/>
  <c r="L10" i="1" s="1"/>
  <c r="E9" i="1"/>
  <c r="F9" i="1" s="1"/>
  <c r="G9" i="1" s="1"/>
  <c r="H9" i="1" s="1"/>
  <c r="I9" i="1" s="1"/>
  <c r="J9" i="1" s="1"/>
  <c r="K9" i="1" s="1"/>
  <c r="L9" i="1" s="1"/>
  <c r="E46" i="1"/>
  <c r="F46" i="1" s="1"/>
  <c r="G46" i="1" s="1"/>
  <c r="H46" i="1" s="1"/>
  <c r="I46" i="1" s="1"/>
  <c r="J46" i="1" s="1"/>
  <c r="K46" i="1" s="1"/>
  <c r="L46" i="1" s="1"/>
  <c r="I40" i="1" l="1"/>
  <c r="D43" i="1"/>
  <c r="I12" i="1"/>
  <c r="G18" i="1"/>
  <c r="H15" i="1"/>
  <c r="H16" i="1" s="1"/>
  <c r="H20" i="1"/>
  <c r="H18" i="1"/>
  <c r="H13" i="1"/>
  <c r="C21" i="1"/>
  <c r="J12" i="1" l="1"/>
  <c r="I13" i="1"/>
  <c r="I20" i="1"/>
  <c r="I15" i="1"/>
  <c r="I16" i="1" s="1"/>
  <c r="I18" i="1"/>
  <c r="G17" i="1"/>
  <c r="D21" i="1"/>
  <c r="D22" i="1" s="1"/>
  <c r="J18" i="1" l="1"/>
  <c r="J13" i="1"/>
  <c r="J15" i="1"/>
  <c r="J16" i="1" s="1"/>
  <c r="J20" i="1"/>
  <c r="K12" i="1"/>
  <c r="I17" i="1"/>
  <c r="H17" i="1"/>
  <c r="E21" i="1"/>
  <c r="E22" i="1" s="1"/>
  <c r="C22" i="1"/>
  <c r="J17" i="1" l="1"/>
  <c r="K13" i="1"/>
  <c r="K18" i="1"/>
  <c r="K15" i="1"/>
  <c r="K16" i="1" s="1"/>
  <c r="K20" i="1"/>
  <c r="L12" i="1"/>
  <c r="F21" i="1"/>
  <c r="F22" i="1" s="1"/>
  <c r="L18" i="1" l="1"/>
  <c r="L15" i="1"/>
  <c r="L16" i="1" s="1"/>
  <c r="L20" i="1"/>
  <c r="L13" i="1"/>
  <c r="K17" i="1"/>
  <c r="G50" i="1"/>
  <c r="G51" i="1" s="1"/>
  <c r="H52" i="1"/>
  <c r="I52" i="1" l="1"/>
  <c r="H50" i="1"/>
  <c r="L17" i="1"/>
  <c r="G21" i="1"/>
  <c r="G24" i="1" s="1"/>
  <c r="I50" i="1" l="1"/>
  <c r="J52" i="1"/>
  <c r="H51" i="1"/>
  <c r="H21" i="1" s="1"/>
  <c r="H24" i="1" s="1"/>
  <c r="J50" i="1" l="1"/>
  <c r="K52" i="1"/>
  <c r="I51" i="1"/>
  <c r="I21" i="1" s="1"/>
  <c r="I24" i="1" s="1"/>
  <c r="K50" i="1" l="1"/>
  <c r="L52" i="1"/>
  <c r="L50" i="1" s="1"/>
  <c r="J51" i="1"/>
  <c r="J21" i="1" s="1"/>
  <c r="J24" i="1" s="1"/>
  <c r="K51" i="1" l="1"/>
  <c r="K21" i="1" s="1"/>
  <c r="K24" i="1" s="1"/>
  <c r="L51" i="1"/>
  <c r="L21" i="1" s="1"/>
  <c r="G30" i="1" s="1"/>
  <c r="G31" i="1" s="1"/>
  <c r="L24" i="1" l="1"/>
  <c r="G26" i="1" s="1"/>
  <c r="G34" i="1" l="1"/>
  <c r="G40" i="1" l="1"/>
  <c r="I30" i="1" s="1"/>
  <c r="G42" i="1" l="1"/>
  <c r="I39" i="1" s="1"/>
  <c r="I36" i="1" l="1"/>
  <c r="G44" i="1"/>
  <c r="N39" i="1" l="1"/>
  <c r="O39" i="1" s="1"/>
  <c r="P39" i="1" s="1"/>
</calcChain>
</file>

<file path=xl/sharedStrings.xml><?xml version="1.0" encoding="utf-8"?>
<sst xmlns="http://schemas.openxmlformats.org/spreadsheetml/2006/main" count="215" uniqueCount="168">
  <si>
    <t>Ticker</t>
  </si>
  <si>
    <t>Period</t>
  </si>
  <si>
    <t>Year</t>
  </si>
  <si>
    <t>Growth</t>
  </si>
  <si>
    <t>Revenue</t>
  </si>
  <si>
    <t>EBITDA</t>
  </si>
  <si>
    <t>Less: Depreciation &amp; Ammortisation</t>
  </si>
  <si>
    <t>EBIT</t>
  </si>
  <si>
    <t>Less: Tax</t>
  </si>
  <si>
    <t>EBIT(1-Tax)</t>
  </si>
  <si>
    <t>Add: Depreciation &amp; Ammortisation</t>
  </si>
  <si>
    <t>NOPAT</t>
  </si>
  <si>
    <t>Less: Capex</t>
  </si>
  <si>
    <t>Less: Net Change in Working Capital</t>
  </si>
  <si>
    <t>Free Cash Flow to the Firm</t>
  </si>
  <si>
    <t>Discount Rate (r)</t>
  </si>
  <si>
    <t>PV of Free Cash Flows</t>
  </si>
  <si>
    <t>WACC</t>
  </si>
  <si>
    <t>Sum of PV of  FCFF</t>
  </si>
  <si>
    <t>Market Cap. In Cr.</t>
  </si>
  <si>
    <t>WACC =  (% Equity x Cost of Equity) + (% Debt x Cost of Debt x (1 -Tax rate))</t>
  </si>
  <si>
    <t>Cost of Equity = Risk Free Rate + (Beta x (Expected Market Return - Risk Free Rate))</t>
  </si>
  <si>
    <t>Terminal Value</t>
  </si>
  <si>
    <t>Terminal Growth Rate</t>
  </si>
  <si>
    <t>Cost of Debt</t>
  </si>
  <si>
    <t>Debt</t>
  </si>
  <si>
    <t>PV of Terminal Value</t>
  </si>
  <si>
    <t>% Debt</t>
  </si>
  <si>
    <t>Current Market Price</t>
  </si>
  <si>
    <t>Enterprise Value 1 + 2</t>
  </si>
  <si>
    <t>Tax Rate</t>
  </si>
  <si>
    <t xml:space="preserve">Enterprise Value </t>
  </si>
  <si>
    <t>Add: Cash</t>
  </si>
  <si>
    <t xml:space="preserve">Implied Share Price </t>
  </si>
  <si>
    <t>Cost of Equity</t>
  </si>
  <si>
    <t>Add: Other Non Operating Assets</t>
  </si>
  <si>
    <t>Equity</t>
  </si>
  <si>
    <t>Less: Debt</t>
  </si>
  <si>
    <t>% Equity</t>
  </si>
  <si>
    <t>Less: Minority Interest</t>
  </si>
  <si>
    <t>Risk Free Rate</t>
  </si>
  <si>
    <t>Beta</t>
  </si>
  <si>
    <t>Equity Value (DCF)</t>
  </si>
  <si>
    <t>Market Return</t>
  </si>
  <si>
    <t>No of shares</t>
  </si>
  <si>
    <t xml:space="preserve">  </t>
  </si>
  <si>
    <t>Value Per Share</t>
  </si>
  <si>
    <t>CMP</t>
  </si>
  <si>
    <t>OV/UV By</t>
  </si>
  <si>
    <t>Change in Working Capital Calculation</t>
  </si>
  <si>
    <t>Debtors/Receivables</t>
  </si>
  <si>
    <t>Payables</t>
  </si>
  <si>
    <t>(Others) +</t>
  </si>
  <si>
    <t>Working Capital</t>
  </si>
  <si>
    <t>Change in Working Capital</t>
  </si>
  <si>
    <t>Working Capital % Sales</t>
  </si>
  <si>
    <t>Working Capital = Debtors + Inventories -  payables</t>
  </si>
  <si>
    <t>TITAN</t>
  </si>
  <si>
    <t>TITAN Company Ltd.</t>
  </si>
  <si>
    <t>COMPANY NAME</t>
  </si>
  <si>
    <t>TITAN COMPANY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</si>
  <si>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</si>
  <si>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</si>
  <si>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</si>
  <si>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</si>
  <si>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</si>
  <si>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</si>
  <si>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</si>
  <si>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</si>
  <si>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</si>
  <si>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</si>
  <si>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</si>
  <si>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</si>
  <si>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</si>
  <si>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</si>
  <si>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</si>
  <si>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</si>
  <si>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</si>
  <si>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</si>
  <si>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</si>
  <si>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</si>
  <si>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</si>
  <si>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</si>
  <si>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</si>
  <si>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</si>
  <si>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</si>
  <si>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</si>
  <si>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</si>
  <si>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</si>
  <si>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</si>
  <si>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</si>
  <si>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</si>
  <si>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</si>
  <si>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</si>
  <si>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</si>
  <si>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</si>
  <si>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</si>
  <si>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</si>
  <si>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</si>
  <si>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</si>
  <si>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</si>
  <si>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</si>
  <si>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</si>
  <si>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</si>
  <si>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</si>
  <si>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</si>
  <si>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</si>
  <si>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</si>
  <si>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</si>
  <si>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</si>
  <si>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</si>
  <si>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</si>
  <si>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</si>
  <si>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Profit from operations</t>
  </si>
  <si>
    <t>Loans Advances</t>
  </si>
  <si>
    <t>Operating borrowings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</si>
  <si>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</si>
  <si>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</si>
  <si>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</si>
  <si>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</si>
  <si>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</si>
  <si>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</si>
  <si>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</si>
  <si>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</si>
  <si>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</si>
  <si>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</si>
  <si>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Acquisition of companies</t>
  </si>
  <si>
    <t>Inter corporate deposits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</si>
  <si>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</si>
  <si>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</si>
  <si>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</si>
  <si>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</si>
  <si>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</si>
  <si>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</si>
  <si>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</si>
  <si>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Free Cash Flow</t>
  </si>
  <si>
    <t>CFO/OP</t>
  </si>
  <si>
    <t>Cash from Operating Activity -</t>
  </si>
  <si>
    <t>Cash from Investing Activity -</t>
  </si>
  <si>
    <t>Cash from Financing Activity -</t>
  </si>
  <si>
    <t>Narration</t>
  </si>
  <si>
    <t>Trailing</t>
  </si>
  <si>
    <t>Best Case</t>
  </si>
  <si>
    <t>Worst Case</t>
  </si>
  <si>
    <t>EPS</t>
  </si>
  <si>
    <t>Price to earning</t>
  </si>
  <si>
    <t>Price</t>
  </si>
  <si>
    <t>Equity Capital</t>
  </si>
  <si>
    <t>Borrowings +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</si>
  <si>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</si>
  <si>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</si>
  <si>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</si>
  <si>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</si>
  <si>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</si>
  <si>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</si>
  <si>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+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</si>
  <si>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</si>
  <si>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</si>
  <si>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</si>
  <si>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</si>
  <si>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</si>
  <si>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</si>
  <si>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</si>
  <si>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</si>
  <si>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>-</t>
  </si>
  <si>
    <t>INR</t>
  </si>
  <si>
    <t>TGR</t>
  </si>
  <si>
    <t>Intrinsic Value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</si>
</sst>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General&quot;A&quot;"/>
    <numFmt numFmtId="165" formatCode="General&quot;F&quot;"/>
    <numFmt numFmtId="166" formatCode="[$-409]mmm\-yy;@"/>
    <numFmt numFmtId="167" formatCode="_(* #,##0.00_);_(* \(#,##0.00\);_(* &quot;-&quot;??_);_(@_)"/>
    <numFmt numFmtId="168" formatCode="_ * #,##0_ ;_ * \-#,##0_ ;_ * &quot;-&quot;??_ ;_ @_ "/>
    <numFmt numFmtId="169" formatCode="0.00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Times New Roman"/>
      <family val="1"/>
    </font>
    <font>
      <sz val="18"/>
      <color theme="8" tint="-0.249977111117893"/>
      <name val="Times New Roman"/>
      <family val="1"/>
    </font>
    <font>
      <b/>
      <sz val="18"/>
      <color theme="1"/>
      <name val="Times New Roman"/>
      <family val="1"/>
    </font>
    <font>
      <b/>
      <sz val="18"/>
      <color rgb="FF115E6E"/>
      <name val="Times New Roman"/>
      <family val="1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8"/>
      <name val="Times New Roman"/>
      <family val="1"/>
    </font>
    <font>
      <b/>
      <sz val="18"/>
      <name val="Times New Roman"/>
      <family val="1"/>
    </font>
    <font>
      <sz val="18"/>
      <color rgb="FF616363"/>
      <name val="Times New Roman"/>
      <family val="1"/>
    </font>
    <font>
      <b/>
      <sz val="18"/>
      <color rgb="FF616363"/>
      <name val="Times New Roman"/>
      <family val="1"/>
    </font>
    <font>
      <sz val="18"/>
      <color theme="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2A3E68"/>
      </patternFill>
    </fill>
    <fill>
      <patternFill patternType="solid">
        <fgColor theme="0"/>
        <bgColor rgb="FFD9E2F3"/>
      </patternFill>
    </fill>
    <fill>
      <patternFill patternType="solid">
        <fgColor rgb="FF00B0AB"/>
        <bgColor indexed="64"/>
      </patternFill>
    </fill>
    <fill>
      <patternFill patternType="solid">
        <fgColor rgb="FF00DAC5"/>
        <bgColor indexed="64"/>
      </patternFill>
    </fill>
    <fill>
      <patternFill patternType="solid">
        <fgColor rgb="FF64C5B6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rgb="FF0275D8"/>
        <bgColor indexed="64"/>
      </patternFill>
    </fill>
    <fill>
      <patternFill patternType="solid">
        <fgColor rgb="FFB6FCFA"/>
        <bgColor indexed="64"/>
      </patternFill>
    </fill>
    <fill>
      <patternFill patternType="solid">
        <fgColor rgb="FF47EFDB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double">
        <color rgb="FF115E6E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2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</cellStyleXfs>
  <cellXfs count="137">
    <xf numFmtId="0" fontId="0" fillId="0" borderId="0" xfId="0"/>
    <xf numFmtId="0" fontId="5" fillId="0" borderId="0" xfId="0" applyFont="1"/>
    <xf numFmtId="0" fontId="6" fillId="3" borderId="0" xfId="0" applyFont="1" applyFill="1"/>
    <xf numFmtId="0" fontId="5" fillId="3" borderId="0" xfId="0" applyFont="1" applyFill="1"/>
    <xf numFmtId="0" fontId="5" fillId="0" borderId="0" xfId="0" applyFont="1" applyAlignment="1">
      <alignment horizontal="left" vertical="center"/>
    </xf>
    <xf numFmtId="0" fontId="5" fillId="0" borderId="16" xfId="0" applyFont="1" applyBorder="1"/>
    <xf numFmtId="0" fontId="5" fillId="0" borderId="0" xfId="0" applyFont="1" applyAlignment="1">
      <alignment horizontal="centerContinuous"/>
    </xf>
    <xf numFmtId="0" fontId="5" fillId="0" borderId="7" xfId="0" applyFont="1" applyBorder="1" applyAlignment="1">
      <alignment horizontal="centerContinuous"/>
    </xf>
    <xf numFmtId="0" fontId="5" fillId="0" borderId="5" xfId="0" applyFont="1" applyBorder="1"/>
    <xf numFmtId="0" fontId="5" fillId="0" borderId="7" xfId="0" applyFont="1" applyBorder="1"/>
    <xf numFmtId="0" fontId="5" fillId="0" borderId="25" xfId="0" applyFont="1" applyBorder="1"/>
    <xf numFmtId="0" fontId="5" fillId="0" borderId="0" xfId="0" applyFont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0" borderId="2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4" borderId="0" xfId="0" applyFont="1" applyFill="1" applyAlignment="1">
      <alignment horizontal="centerContinuous" vertical="center"/>
    </xf>
    <xf numFmtId="0" fontId="5" fillId="3" borderId="0" xfId="0" applyFont="1" applyFill="1" applyAlignment="1">
      <alignment horizontal="centerContinuous"/>
    </xf>
    <xf numFmtId="0" fontId="5" fillId="4" borderId="0" xfId="0" applyFont="1" applyFill="1" applyAlignment="1">
      <alignment horizontal="centerContinuous"/>
    </xf>
    <xf numFmtId="0" fontId="5" fillId="6" borderId="1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left" vertical="center"/>
    </xf>
    <xf numFmtId="164" fontId="5" fillId="6" borderId="3" xfId="0" applyNumberFormat="1" applyFont="1" applyFill="1" applyBorder="1" applyAlignment="1">
      <alignment horizontal="left" vertical="center"/>
    </xf>
    <xf numFmtId="165" fontId="5" fillId="6" borderId="2" xfId="0" applyNumberFormat="1" applyFont="1" applyFill="1" applyBorder="1" applyAlignment="1">
      <alignment horizontal="left" vertical="center"/>
    </xf>
    <xf numFmtId="165" fontId="5" fillId="6" borderId="4" xfId="0" applyNumberFormat="1" applyFont="1" applyFill="1" applyBorder="1" applyAlignment="1">
      <alignment horizontal="left" vertical="center"/>
    </xf>
    <xf numFmtId="0" fontId="6" fillId="3" borderId="28" xfId="0" applyFont="1" applyFill="1" applyBorder="1"/>
    <xf numFmtId="0" fontId="5" fillId="3" borderId="28" xfId="0" applyFont="1" applyFill="1" applyBorder="1"/>
    <xf numFmtId="0" fontId="5" fillId="0" borderId="28" xfId="0" applyFont="1" applyBorder="1"/>
    <xf numFmtId="0" fontId="8" fillId="3" borderId="0" xfId="0" applyFont="1" applyFill="1"/>
    <xf numFmtId="0" fontId="8" fillId="3" borderId="28" xfId="0" applyFont="1" applyFill="1" applyBorder="1"/>
    <xf numFmtId="0" fontId="5" fillId="6" borderId="1" xfId="0" applyFont="1" applyFill="1" applyBorder="1" applyAlignment="1">
      <alignment horizontal="centerContinuous"/>
    </xf>
    <xf numFmtId="0" fontId="5" fillId="6" borderId="2" xfId="0" applyFont="1" applyFill="1" applyBorder="1" applyAlignment="1">
      <alignment horizontal="centerContinuous"/>
    </xf>
    <xf numFmtId="0" fontId="5" fillId="6" borderId="4" xfId="0" applyFont="1" applyFill="1" applyBorder="1" applyAlignment="1">
      <alignment horizontal="centerContinuous"/>
    </xf>
    <xf numFmtId="0" fontId="5" fillId="7" borderId="0" xfId="0" applyFont="1" applyFill="1" applyAlignment="1">
      <alignment horizontal="centerContinuous"/>
    </xf>
    <xf numFmtId="0" fontId="5" fillId="6" borderId="0" xfId="0" applyFont="1" applyFill="1" applyAlignment="1">
      <alignment horizontal="centerContinuous"/>
    </xf>
    <xf numFmtId="0" fontId="5" fillId="6" borderId="1" xfId="0" applyFont="1" applyFill="1" applyBorder="1"/>
    <xf numFmtId="0" fontId="5" fillId="6" borderId="4" xfId="0" applyFont="1" applyFill="1" applyBorder="1"/>
    <xf numFmtId="0" fontId="5" fillId="6" borderId="2" xfId="0" applyFont="1" applyFill="1" applyBorder="1"/>
    <xf numFmtId="0" fontId="5" fillId="6" borderId="3" xfId="0" applyFont="1" applyFill="1" applyBorder="1"/>
    <xf numFmtId="43" fontId="3" fillId="0" borderId="0" xfId="1" applyFont="1" applyBorder="1"/>
    <xf numFmtId="43" fontId="0" fillId="0" borderId="0" xfId="1" applyFont="1" applyBorder="1"/>
    <xf numFmtId="166" fontId="2" fillId="10" borderId="0" xfId="1" applyNumberFormat="1" applyFont="1" applyFill="1" applyBorder="1"/>
    <xf numFmtId="166" fontId="2" fillId="10" borderId="0" xfId="0" applyNumberFormat="1" applyFont="1" applyFill="1" applyAlignment="1">
      <alignment horizontal="center"/>
    </xf>
    <xf numFmtId="166" fontId="10" fillId="0" borderId="0" xfId="1" applyNumberFormat="1" applyFont="1" applyFill="1" applyBorder="1"/>
    <xf numFmtId="43" fontId="1" fillId="0" borderId="0" xfId="1" applyFont="1" applyBorder="1"/>
    <xf numFmtId="167" fontId="0" fillId="0" borderId="0" xfId="1" applyNumberFormat="1" applyFont="1" applyBorder="1"/>
    <xf numFmtId="9" fontId="0" fillId="0" borderId="0" xfId="1" applyNumberFormat="1" applyFont="1" applyBorder="1"/>
    <xf numFmtId="0" fontId="11" fillId="9" borderId="18" xfId="0" applyFont="1" applyFill="1" applyBorder="1" applyAlignment="1">
      <alignment horizontal="right"/>
    </xf>
    <xf numFmtId="169" fontId="5" fillId="0" borderId="0" xfId="0" applyNumberFormat="1" applyFont="1"/>
    <xf numFmtId="9" fontId="5" fillId="0" borderId="7" xfId="0" applyNumberFormat="1" applyFont="1" applyBorder="1"/>
    <xf numFmtId="3" fontId="5" fillId="9" borderId="17" xfId="0" applyNumberFormat="1" applyFont="1" applyFill="1" applyBorder="1" applyAlignment="1">
      <alignment horizontal="right"/>
    </xf>
    <xf numFmtId="168" fontId="11" fillId="9" borderId="18" xfId="0" applyNumberFormat="1" applyFont="1" applyFill="1" applyBorder="1" applyAlignment="1">
      <alignment horizontal="right"/>
    </xf>
    <xf numFmtId="9" fontId="11" fillId="9" borderId="18" xfId="0" applyNumberFormat="1" applyFont="1" applyFill="1" applyBorder="1" applyAlignment="1">
      <alignment horizontal="right"/>
    </xf>
    <xf numFmtId="10" fontId="11" fillId="9" borderId="18" xfId="0" applyNumberFormat="1" applyFont="1" applyFill="1" applyBorder="1" applyAlignment="1">
      <alignment horizontal="right"/>
    </xf>
    <xf numFmtId="9" fontId="1" fillId="0" borderId="0" xfId="1" applyNumberFormat="1" applyFont="1" applyBorder="1"/>
    <xf numFmtId="10" fontId="1" fillId="0" borderId="0" xfId="1" applyNumberFormat="1" applyFont="1" applyBorder="1"/>
    <xf numFmtId="169" fontId="1" fillId="0" borderId="0" xfId="1" applyNumberFormat="1" applyFont="1" applyBorder="1"/>
    <xf numFmtId="10" fontId="5" fillId="0" borderId="7" xfId="0" applyNumberFormat="1" applyFont="1" applyBorder="1"/>
    <xf numFmtId="10" fontId="12" fillId="9" borderId="26" xfId="0" applyNumberFormat="1" applyFont="1" applyFill="1" applyBorder="1" applyAlignment="1">
      <alignment horizontal="right"/>
    </xf>
    <xf numFmtId="0" fontId="13" fillId="8" borderId="5" xfId="0" applyFont="1" applyFill="1" applyBorder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9" fontId="14" fillId="8" borderId="0" xfId="0" applyNumberFormat="1" applyFont="1" applyFill="1" applyAlignment="1">
      <alignment horizontal="left" vertical="center"/>
    </xf>
    <xf numFmtId="9" fontId="14" fillId="8" borderId="7" xfId="0" applyNumberFormat="1" applyFont="1" applyFill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3" fillId="0" borderId="6" xfId="0" applyNumberFormat="1" applyFont="1" applyBorder="1" applyAlignment="1">
      <alignment horizontal="left" vertical="center"/>
    </xf>
    <xf numFmtId="3" fontId="13" fillId="0" borderId="7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3" fontId="13" fillId="0" borderId="9" xfId="0" applyNumberFormat="1" applyFont="1" applyBorder="1" applyAlignment="1">
      <alignment horizontal="left" vertical="center"/>
    </xf>
    <xf numFmtId="3" fontId="13" fillId="0" borderId="10" xfId="0" applyNumberFormat="1" applyFont="1" applyBorder="1" applyAlignment="1">
      <alignment horizontal="left" vertical="center"/>
    </xf>
    <xf numFmtId="3" fontId="13" fillId="0" borderId="11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4" fillId="0" borderId="6" xfId="0" applyNumberFormat="1" applyFont="1" applyBorder="1" applyAlignment="1">
      <alignment horizontal="left" vertical="center"/>
    </xf>
    <xf numFmtId="3" fontId="14" fillId="0" borderId="7" xfId="0" applyNumberFormat="1" applyFont="1" applyBorder="1" applyAlignment="1">
      <alignment horizontal="left" vertical="center"/>
    </xf>
    <xf numFmtId="0" fontId="13" fillId="3" borderId="5" xfId="0" applyFont="1" applyFill="1" applyBorder="1" applyAlignment="1">
      <alignment horizontal="left" vertical="center"/>
    </xf>
    <xf numFmtId="3" fontId="14" fillId="8" borderId="0" xfId="0" applyNumberFormat="1" applyFont="1" applyFill="1" applyAlignment="1">
      <alignment horizontal="left" vertical="center"/>
    </xf>
    <xf numFmtId="3" fontId="14" fillId="8" borderId="6" xfId="0" applyNumberFormat="1" applyFont="1" applyFill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3" fontId="13" fillId="0" borderId="13" xfId="0" applyNumberFormat="1" applyFont="1" applyBorder="1" applyAlignment="1">
      <alignment horizontal="left" vertical="center"/>
    </xf>
    <xf numFmtId="3" fontId="13" fillId="0" borderId="14" xfId="0" applyNumberFormat="1" applyFont="1" applyBorder="1" applyAlignment="1">
      <alignment horizontal="left" vertical="center"/>
    </xf>
    <xf numFmtId="3" fontId="13" fillId="0" borderId="15" xfId="0" applyNumberFormat="1" applyFont="1" applyBorder="1" applyAlignment="1">
      <alignment horizontal="left" vertical="center"/>
    </xf>
    <xf numFmtId="0" fontId="13" fillId="0" borderId="0" xfId="0" applyFont="1"/>
    <xf numFmtId="0" fontId="13" fillId="0" borderId="6" xfId="0" applyFont="1" applyBorder="1"/>
    <xf numFmtId="0" fontId="13" fillId="0" borderId="0" xfId="0" applyFont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4" fillId="0" borderId="5" xfId="0" applyFont="1" applyBorder="1" applyAlignment="1">
      <alignment horizontal="centerContinuous" wrapText="1"/>
    </xf>
    <xf numFmtId="0" fontId="14" fillId="0" borderId="5" xfId="0" applyFont="1" applyBorder="1"/>
    <xf numFmtId="0" fontId="13" fillId="0" borderId="5" xfId="0" applyFont="1" applyBorder="1"/>
    <xf numFmtId="0" fontId="13" fillId="0" borderId="19" xfId="0" applyFont="1" applyBorder="1"/>
    <xf numFmtId="0" fontId="13" fillId="0" borderId="5" xfId="0" applyFont="1" applyBorder="1" applyAlignment="1">
      <alignment wrapText="1"/>
    </xf>
    <xf numFmtId="0" fontId="13" fillId="0" borderId="19" xfId="0" applyFont="1" applyBorder="1" applyAlignment="1">
      <alignment wrapText="1"/>
    </xf>
    <xf numFmtId="168" fontId="13" fillId="0" borderId="0" xfId="0" applyNumberFormat="1" applyFont="1" applyAlignment="1">
      <alignment horizontal="left" vertical="center"/>
    </xf>
    <xf numFmtId="168" fontId="13" fillId="0" borderId="6" xfId="0" applyNumberFormat="1" applyFont="1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7" xfId="0" applyFont="1" applyBorder="1" applyAlignment="1">
      <alignment horizontal="left"/>
    </xf>
    <xf numFmtId="168" fontId="13" fillId="0" borderId="10" xfId="0" applyNumberFormat="1" applyFont="1" applyBorder="1" applyAlignment="1">
      <alignment horizontal="left" vertical="center"/>
    </xf>
    <xf numFmtId="0" fontId="14" fillId="0" borderId="12" xfId="0" applyFont="1" applyBorder="1"/>
    <xf numFmtId="168" fontId="13" fillId="0" borderId="13" xfId="0" applyNumberFormat="1" applyFont="1" applyBorder="1" applyAlignment="1">
      <alignment horizontal="left"/>
    </xf>
    <xf numFmtId="168" fontId="13" fillId="0" borderId="14" xfId="0" applyNumberFormat="1" applyFont="1" applyBorder="1" applyAlignment="1">
      <alignment horizontal="left"/>
    </xf>
    <xf numFmtId="1" fontId="13" fillId="0" borderId="13" xfId="0" applyNumberFormat="1" applyFont="1" applyBorder="1" applyAlignment="1">
      <alignment horizontal="left"/>
    </xf>
    <xf numFmtId="1" fontId="13" fillId="0" borderId="15" xfId="0" applyNumberFormat="1" applyFont="1" applyBorder="1" applyAlignment="1">
      <alignment horizontal="left"/>
    </xf>
    <xf numFmtId="43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1" fontId="13" fillId="0" borderId="7" xfId="0" applyNumberFormat="1" applyFont="1" applyBorder="1" applyAlignment="1">
      <alignment horizontal="left"/>
    </xf>
    <xf numFmtId="9" fontId="13" fillId="0" borderId="0" xfId="0" applyNumberFormat="1" applyFont="1" applyAlignment="1">
      <alignment horizontal="left"/>
    </xf>
    <xf numFmtId="9" fontId="13" fillId="0" borderId="6" xfId="0" applyNumberFormat="1" applyFont="1" applyBorder="1" applyAlignment="1">
      <alignment horizontal="left"/>
    </xf>
    <xf numFmtId="9" fontId="13" fillId="0" borderId="7" xfId="0" applyNumberFormat="1" applyFont="1" applyBorder="1" applyAlignment="1">
      <alignment horizontal="left"/>
    </xf>
    <xf numFmtId="3" fontId="5" fillId="0" borderId="7" xfId="0" applyNumberFormat="1" applyFont="1" applyBorder="1"/>
    <xf numFmtId="3" fontId="5" fillId="0" borderId="20" xfId="0" applyNumberFormat="1" applyFont="1" applyBorder="1"/>
    <xf numFmtId="168" fontId="5" fillId="0" borderId="7" xfId="0" applyNumberFormat="1" applyFont="1" applyBorder="1"/>
    <xf numFmtId="43" fontId="5" fillId="0" borderId="20" xfId="0" applyNumberFormat="1" applyFont="1" applyBorder="1"/>
    <xf numFmtId="43" fontId="5" fillId="0" borderId="7" xfId="0" applyNumberFormat="1" applyFont="1" applyBorder="1"/>
    <xf numFmtId="9" fontId="5" fillId="0" borderId="20" xfId="0" applyNumberFormat="1" applyFont="1" applyBorder="1"/>
    <xf numFmtId="10" fontId="5" fillId="5" borderId="22" xfId="0" applyNumberFormat="1" applyFont="1" applyFill="1" applyBorder="1"/>
    <xf numFmtId="10" fontId="5" fillId="5" borderId="21" xfId="0" applyNumberFormat="1" applyFont="1" applyFill="1" applyBorder="1"/>
    <xf numFmtId="10" fontId="5" fillId="5" borderId="24" xfId="0" applyNumberFormat="1" applyFont="1" applyFill="1" applyBorder="1"/>
    <xf numFmtId="10" fontId="5" fillId="5" borderId="23" xfId="0" applyNumberFormat="1" applyFont="1" applyFill="1" applyBorder="1"/>
    <xf numFmtId="168" fontId="5" fillId="6" borderId="4" xfId="0" applyNumberFormat="1" applyFont="1" applyFill="1" applyBorder="1"/>
    <xf numFmtId="9" fontId="5" fillId="0" borderId="0" xfId="0" applyNumberFormat="1" applyFont="1"/>
    <xf numFmtId="1" fontId="15" fillId="3" borderId="0" xfId="0" applyNumberFormat="1" applyFont="1" applyFill="1"/>
    <xf numFmtId="2" fontId="5" fillId="3" borderId="0" xfId="0" applyNumberFormat="1" applyFont="1" applyFill="1"/>
    <xf numFmtId="168" fontId="13" fillId="0" borderId="0" xfId="0" applyNumberFormat="1" applyFont="1" applyAlignment="1">
      <alignment horizontal="left"/>
    </xf>
    <xf numFmtId="168" fontId="13" fillId="0" borderId="6" xfId="0" applyNumberFormat="1" applyFont="1" applyBorder="1" applyAlignment="1">
      <alignment horizontal="left"/>
    </xf>
    <xf numFmtId="2" fontId="5" fillId="0" borderId="0" xfId="0" applyNumberFormat="1" applyFont="1"/>
    <xf numFmtId="0" fontId="5" fillId="3" borderId="0" xfId="0" applyFont="1" applyFill="1" applyAlignment="1">
      <alignment horizontal="centerContinuous" wrapText="1"/>
    </xf>
    <xf numFmtId="2" fontId="5" fillId="11" borderId="0" xfId="0" applyNumberFormat="1" applyFont="1" applyFill="1"/>
    <xf numFmtId="2" fontId="5" fillId="12" borderId="0" xfId="0" applyNumberFormat="1" applyFont="1" applyFill="1"/>
    <xf numFmtId="4" fontId="5" fillId="6" borderId="0" xfId="0" applyNumberFormat="1" applyFont="1" applyFill="1" applyAlignment="1">
      <alignment horizontal="centerContinuous"/>
    </xf>
    <xf numFmtId="4" fontId="5" fillId="7" borderId="0" xfId="0" applyNumberFormat="1" applyFont="1" applyFill="1" applyAlignment="1">
      <alignment horizontal="centerContinuous"/>
    </xf>
    <xf numFmtId="3" fontId="5" fillId="6" borderId="0" xfId="0" applyNumberFormat="1" applyFont="1" applyFill="1" applyAlignment="1">
      <alignment horizontal="centerContinuous"/>
    </xf>
    <xf numFmtId="3" fontId="5" fillId="7" borderId="0" xfId="0" applyNumberFormat="1" applyFont="1" applyFill="1" applyAlignment="1">
      <alignment horizontal="centerContinuous"/>
    </xf>
    <xf numFmtId="2" fontId="7" fillId="0" borderId="7" xfId="0" applyNumberFormat="1" applyFont="1" applyBorder="1"/>
    <xf numFmtId="43" fontId="9" fillId="0" borderId="0" xfId="3" applyNumberFormat="1" applyBorder="1" applyAlignment="1" applyProtection="1">
      <alignment horizontal="center"/>
    </xf>
    <xf numFmtId="43" fontId="2" fillId="2" borderId="0" xfId="2" applyNumberFormat="1" applyFont="1" applyBorder="1" applyAlignment="1">
      <alignment horizontal="center"/>
    </xf>
  </cellXfs>
  <cellStyles count="4">
    <cellStyle name="Accent6" xfId="2" builtinId="49"/>
    <cellStyle name="Comma" xfId="1" builtinId="3"/>
    <cellStyle name="Hyperlink 2" xfId="3" xr:uid="{7A68A63C-6E2F-4EAB-B09A-4C78BE705964}"/>
    <cellStyle name="Normal" xfId="0" builtinId="0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47EFDB"/>
      <color rgb="FFB6FCFA"/>
      <color rgb="FF616363"/>
      <color rgb="FF00B0AB"/>
      <color rgb="FF00DAC5"/>
      <color rgb="FF64C5B6"/>
      <color rgb="FF33CCCC"/>
      <color rgb="FF115E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305041</xdr:colOff>
      <xdr:row>1</xdr:row>
      <xdr:rowOff>50017</xdr:rowOff>
    </xdr:from>
    <xdr:to>
      <xdr:col>16</xdr:col>
      <xdr:colOff>26737</xdr:colOff>
      <xdr:row>7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DCD8F76-8F32-6DCE-6868-E024C5B130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629" t="17777" r="26629" b="17777"/>
        <a:stretch>
          <a:fillRect/>
        </a:stretch>
      </xdr:blipFill>
      <xdr:spPr>
        <a:xfrm>
          <a:off x="22790725" y="344122"/>
          <a:ext cx="1726959" cy="17146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4A51-0D80-4A82-B198-7B9F15F6D068}">
  <sheetPr>
    <tabColor rgb="FF47EFDB"/>
  </sheetPr>
  <dimension ref="B1:W54"/>
  <sheetViews>
    <sheetView showGridLines="0" tabSelected="1" topLeftCell="A18" zoomScale="57" zoomScaleNormal="86" workbookViewId="0">
      <selection activeCell="I44" sqref="I44"/>
    </sheetView>
  </sheetViews>
  <sheetFormatPr defaultRowHeight="22.8" x14ac:dyDescent="0.4"/>
  <cols>
    <col min="1" max="1" width="8.88671875" style="1"/>
    <col min="2" max="2" width="87.44140625" style="1" bestFit="1" customWidth="1"/>
    <col min="3" max="3" width="16.5546875" style="1" bestFit="1" customWidth="1"/>
    <col min="4" max="4" width="17.33203125" style="1" bestFit="1" customWidth="1"/>
    <col min="5" max="5" width="15" style="1" bestFit="1" customWidth="1"/>
    <col min="6" max="6" width="58.77734375" style="1" bestFit="1" customWidth="1"/>
    <col min="7" max="7" width="17.77734375" style="1" bestFit="1" customWidth="1"/>
    <col min="8" max="10" width="15" style="1" bestFit="1" customWidth="1"/>
    <col min="11" max="12" width="15.77734375" style="1" bestFit="1" customWidth="1"/>
    <col min="13" max="16" width="14.6640625" style="1" bestFit="1" customWidth="1"/>
    <col min="17" max="17" width="13.6640625" style="1" bestFit="1" customWidth="1"/>
    <col min="18" max="19" width="11.88671875" style="1" bestFit="1" customWidth="1"/>
    <col min="20" max="20" width="20.44140625" style="1" bestFit="1" customWidth="1"/>
    <col min="21" max="23" width="11.88671875" style="1" bestFit="1" customWidth="1"/>
    <col min="24" max="16384" width="8.88671875" style="1"/>
  </cols>
  <sheetData>
    <row r="1" spans="2:23" ht="23.4" thickBot="1" x14ac:dyDescent="0.45"/>
    <row r="2" spans="2:23" ht="23.4" thickTop="1" x14ac:dyDescent="0.4">
      <c r="B2" s="31" t="s">
        <v>58</v>
      </c>
      <c r="C2" s="27"/>
      <c r="D2" s="28"/>
      <c r="E2" s="28"/>
      <c r="F2" s="28"/>
      <c r="G2" s="28"/>
      <c r="H2" s="28"/>
      <c r="I2" s="28"/>
      <c r="J2" s="29"/>
      <c r="K2" s="29"/>
      <c r="L2" s="29"/>
      <c r="M2" s="29"/>
      <c r="N2" s="29"/>
      <c r="O2" s="29"/>
      <c r="P2" s="29"/>
    </row>
    <row r="3" spans="2:23" x14ac:dyDescent="0.4">
      <c r="B3" s="2"/>
      <c r="C3" s="2"/>
      <c r="D3" s="3"/>
      <c r="E3" s="3"/>
      <c r="F3" s="3"/>
      <c r="G3" s="3"/>
      <c r="H3" s="3"/>
      <c r="I3" s="3"/>
    </row>
    <row r="4" spans="2:23" x14ac:dyDescent="0.4">
      <c r="B4" s="30" t="s">
        <v>0</v>
      </c>
      <c r="C4" s="30" t="s">
        <v>57</v>
      </c>
      <c r="D4" s="3"/>
      <c r="E4" s="3"/>
      <c r="F4" s="3"/>
      <c r="G4" s="3"/>
      <c r="H4" s="3"/>
      <c r="I4" s="3"/>
    </row>
    <row r="5" spans="2:23" x14ac:dyDescent="0.4">
      <c r="B5" s="2"/>
      <c r="C5" s="2"/>
      <c r="D5" s="3"/>
      <c r="E5" s="3"/>
      <c r="F5" s="3"/>
      <c r="G5" s="3"/>
      <c r="H5" s="3"/>
      <c r="I5" s="3"/>
    </row>
    <row r="6" spans="2:23" x14ac:dyDescent="0.4">
      <c r="B6" s="30" t="s">
        <v>165</v>
      </c>
      <c r="C6" s="30">
        <v>4184</v>
      </c>
      <c r="D6" s="3"/>
      <c r="E6" s="3"/>
      <c r="F6" s="3"/>
      <c r="G6" s="3"/>
      <c r="H6" s="3"/>
      <c r="I6" s="3"/>
    </row>
    <row r="7" spans="2:23" ht="23.4" thickBot="1" x14ac:dyDescent="0.45"/>
    <row r="8" spans="2:23" ht="24" thickTop="1" thickBot="1" x14ac:dyDescent="0.45"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</row>
    <row r="9" spans="2:23" x14ac:dyDescent="0.4">
      <c r="B9" s="22" t="s">
        <v>1</v>
      </c>
      <c r="C9" s="23">
        <v>2023</v>
      </c>
      <c r="D9" s="23">
        <f>C9+1</f>
        <v>2024</v>
      </c>
      <c r="E9" s="23">
        <f t="shared" ref="E9:L10" si="0">D9+1</f>
        <v>2025</v>
      </c>
      <c r="F9" s="24">
        <f t="shared" si="0"/>
        <v>2026</v>
      </c>
      <c r="G9" s="25">
        <f t="shared" si="0"/>
        <v>2027</v>
      </c>
      <c r="H9" s="25">
        <f t="shared" si="0"/>
        <v>2028</v>
      </c>
      <c r="I9" s="25">
        <f t="shared" si="0"/>
        <v>2029</v>
      </c>
      <c r="J9" s="25">
        <f t="shared" si="0"/>
        <v>2030</v>
      </c>
      <c r="K9" s="25">
        <f t="shared" si="0"/>
        <v>2031</v>
      </c>
      <c r="L9" s="26">
        <f t="shared" si="0"/>
        <v>2032</v>
      </c>
    </row>
    <row r="10" spans="2:23" x14ac:dyDescent="0.4">
      <c r="B10" s="65" t="s">
        <v>2</v>
      </c>
      <c r="C10" s="84"/>
      <c r="D10" s="84"/>
      <c r="E10" s="84"/>
      <c r="F10" s="85"/>
      <c r="G10" s="86">
        <v>1</v>
      </c>
      <c r="H10" s="86">
        <f>G10+1</f>
        <v>2</v>
      </c>
      <c r="I10" s="86">
        <f t="shared" si="0"/>
        <v>3</v>
      </c>
      <c r="J10" s="86">
        <f t="shared" si="0"/>
        <v>4</v>
      </c>
      <c r="K10" s="86">
        <f t="shared" si="0"/>
        <v>5</v>
      </c>
      <c r="L10" s="87">
        <f t="shared" si="0"/>
        <v>6</v>
      </c>
    </row>
    <row r="11" spans="2:23" x14ac:dyDescent="0.4">
      <c r="B11" s="61" t="s">
        <v>3</v>
      </c>
      <c r="C11" s="62"/>
      <c r="D11" s="63">
        <f>D12/C12-1</f>
        <v>0.25900184842883545</v>
      </c>
      <c r="E11" s="63">
        <f t="shared" ref="E11:F11" si="1">E12/D12-1</f>
        <v>0.18346253229974163</v>
      </c>
      <c r="F11" s="63">
        <f t="shared" si="1"/>
        <v>0.448723038242689</v>
      </c>
      <c r="G11" s="63">
        <f>30%</f>
        <v>0.3</v>
      </c>
      <c r="H11" s="63">
        <f>G11*(1-0.1)</f>
        <v>0.27</v>
      </c>
      <c r="I11" s="63">
        <f t="shared" ref="I11:L11" si="2">H11*(1-0.1)</f>
        <v>0.24300000000000002</v>
      </c>
      <c r="J11" s="63">
        <f t="shared" si="2"/>
        <v>0.21870000000000003</v>
      </c>
      <c r="K11" s="63">
        <f t="shared" si="2"/>
        <v>0.19683000000000003</v>
      </c>
      <c r="L11" s="64">
        <f t="shared" si="2"/>
        <v>0.17714700000000003</v>
      </c>
      <c r="N11" s="121"/>
    </row>
    <row r="12" spans="2:23" x14ac:dyDescent="0.4">
      <c r="B12" s="65" t="s">
        <v>4</v>
      </c>
      <c r="C12" s="66">
        <f>'Data Sheet'!H17</f>
        <v>40575</v>
      </c>
      <c r="D12" s="66">
        <f>'Data Sheet'!I17</f>
        <v>51084</v>
      </c>
      <c r="E12" s="66">
        <f>'Data Sheet'!J17</f>
        <v>60456</v>
      </c>
      <c r="F12" s="67">
        <f>'Data Sheet'!K17</f>
        <v>87584</v>
      </c>
      <c r="G12" s="66">
        <f>F12*(1+G11)</f>
        <v>113859.2</v>
      </c>
      <c r="H12" s="66">
        <f t="shared" ref="H12:L12" si="3">G12*(1+H11)</f>
        <v>144601.18400000001</v>
      </c>
      <c r="I12" s="66">
        <f t="shared" si="3"/>
        <v>179739.27171200002</v>
      </c>
      <c r="J12" s="66">
        <f t="shared" si="3"/>
        <v>219048.25043541443</v>
      </c>
      <c r="K12" s="66">
        <f t="shared" si="3"/>
        <v>262163.51756861707</v>
      </c>
      <c r="L12" s="68">
        <f t="shared" si="3"/>
        <v>308604.99821534485</v>
      </c>
    </row>
    <row r="13" spans="2:23" x14ac:dyDescent="0.4">
      <c r="B13" s="65" t="s">
        <v>5</v>
      </c>
      <c r="C13" s="66">
        <f>'Data Sheet'!T19+'Data Sheet'!T21</f>
        <v>5323</v>
      </c>
      <c r="D13" s="66">
        <f>'Data Sheet'!U19+'Data Sheet'!U21</f>
        <v>5876</v>
      </c>
      <c r="E13" s="66">
        <f>'Data Sheet'!V19+'Data Sheet'!V21</f>
        <v>6387</v>
      </c>
      <c r="F13" s="67">
        <f>'Data Sheet'!W19+'Data Sheet'!W21</f>
        <v>9181</v>
      </c>
      <c r="G13" s="66">
        <f>G12*10.5%</f>
        <v>11955.215999999999</v>
      </c>
      <c r="H13" s="66">
        <f>H12*10.5%</f>
        <v>15183.124320000001</v>
      </c>
      <c r="I13" s="66">
        <f t="shared" ref="I13:L13" si="4">I12*10.5%</f>
        <v>18872.62352976</v>
      </c>
      <c r="J13" s="66">
        <f t="shared" si="4"/>
        <v>23000.066295718516</v>
      </c>
      <c r="K13" s="66">
        <f t="shared" si="4"/>
        <v>27527.169344704791</v>
      </c>
      <c r="L13" s="68">
        <f t="shared" si="4"/>
        <v>32403.524812611209</v>
      </c>
      <c r="N13" s="50"/>
      <c r="O13" s="50"/>
      <c r="P13" s="50"/>
      <c r="Q13" s="50"/>
      <c r="R13" s="50"/>
      <c r="S13" s="50"/>
      <c r="T13" s="50"/>
      <c r="U13" s="50"/>
      <c r="V13" s="50"/>
      <c r="W13" s="50"/>
    </row>
    <row r="14" spans="2:23" x14ac:dyDescent="0.4">
      <c r="B14" s="69" t="s">
        <v>6</v>
      </c>
      <c r="C14" s="70">
        <f>'Data Sheet'!T21</f>
        <v>441</v>
      </c>
      <c r="D14" s="70">
        <f>'Data Sheet'!U21</f>
        <v>584</v>
      </c>
      <c r="E14" s="70">
        <f>'Data Sheet'!V21</f>
        <v>693</v>
      </c>
      <c r="F14" s="71">
        <f>'Data Sheet'!W21</f>
        <v>826</v>
      </c>
      <c r="G14" s="70">
        <f>G12*1%</f>
        <v>1138.5920000000001</v>
      </c>
      <c r="H14" s="70">
        <f t="shared" ref="H14:L14" si="5">H12*1%</f>
        <v>1446.0118400000001</v>
      </c>
      <c r="I14" s="70">
        <f t="shared" si="5"/>
        <v>1797.3927171200003</v>
      </c>
      <c r="J14" s="70">
        <f t="shared" si="5"/>
        <v>2190.4825043541446</v>
      </c>
      <c r="K14" s="70">
        <f t="shared" si="5"/>
        <v>2621.6351756861709</v>
      </c>
      <c r="L14" s="72">
        <f t="shared" si="5"/>
        <v>3086.0499821534486</v>
      </c>
    </row>
    <row r="15" spans="2:23" x14ac:dyDescent="0.4">
      <c r="B15" s="73" t="s">
        <v>7</v>
      </c>
      <c r="C15" s="74">
        <f>C13-C14</f>
        <v>4882</v>
      </c>
      <c r="D15" s="74">
        <f>D13-D14</f>
        <v>5292</v>
      </c>
      <c r="E15" s="74">
        <f>E13-E14</f>
        <v>5694</v>
      </c>
      <c r="F15" s="75">
        <f>F13-F14</f>
        <v>8355</v>
      </c>
      <c r="G15" s="74">
        <f t="shared" ref="G15:L15" si="6">G12*9.95%</f>
        <v>11328.990399999999</v>
      </c>
      <c r="H15" s="74">
        <f t="shared" si="6"/>
        <v>14387.817808</v>
      </c>
      <c r="I15" s="74">
        <f t="shared" si="6"/>
        <v>17884.057535344</v>
      </c>
      <c r="J15" s="74">
        <f t="shared" si="6"/>
        <v>21795.300918323734</v>
      </c>
      <c r="K15" s="74">
        <f t="shared" si="6"/>
        <v>26085.269998077398</v>
      </c>
      <c r="L15" s="76">
        <f t="shared" si="6"/>
        <v>30706.197322426811</v>
      </c>
    </row>
    <row r="16" spans="2:23" x14ac:dyDescent="0.4">
      <c r="B16" s="69" t="s">
        <v>8</v>
      </c>
      <c r="C16" s="70">
        <f>'Data Sheet'!T24</f>
        <v>1173</v>
      </c>
      <c r="D16" s="70">
        <f>'Data Sheet'!U24</f>
        <v>1127</v>
      </c>
      <c r="E16" s="70">
        <f>'Data Sheet'!V24</f>
        <v>1198</v>
      </c>
      <c r="F16" s="71">
        <f>'Data Sheet'!W24</f>
        <v>1728</v>
      </c>
      <c r="G16" s="70">
        <f>G15*21.01%</f>
        <v>2380.22088304</v>
      </c>
      <c r="H16" s="70">
        <f t="shared" ref="H16:L16" si="7">H15*21.01%</f>
        <v>3022.8805214608001</v>
      </c>
      <c r="I16" s="70">
        <f t="shared" si="7"/>
        <v>3757.4404881757746</v>
      </c>
      <c r="J16" s="70">
        <f t="shared" si="7"/>
        <v>4579.192722939817</v>
      </c>
      <c r="K16" s="70">
        <f t="shared" si="7"/>
        <v>5480.5152265960614</v>
      </c>
      <c r="L16" s="72">
        <f t="shared" si="7"/>
        <v>6451.372057441873</v>
      </c>
    </row>
    <row r="17" spans="2:13" x14ac:dyDescent="0.4">
      <c r="B17" s="77" t="s">
        <v>9</v>
      </c>
      <c r="C17" s="66">
        <f>C15-C16</f>
        <v>3709</v>
      </c>
      <c r="D17" s="66">
        <f t="shared" ref="D17:F17" si="8">D15-D16</f>
        <v>4165</v>
      </c>
      <c r="E17" s="66">
        <f t="shared" si="8"/>
        <v>4496</v>
      </c>
      <c r="F17" s="67">
        <f t="shared" si="8"/>
        <v>6627</v>
      </c>
      <c r="G17" s="66">
        <f>G15-G16</f>
        <v>8948.7695169599992</v>
      </c>
      <c r="H17" s="66">
        <f t="shared" ref="H17:L17" si="9">H15-H16</f>
        <v>11364.9372865392</v>
      </c>
      <c r="I17" s="66">
        <f t="shared" si="9"/>
        <v>14126.617047168225</v>
      </c>
      <c r="J17" s="66">
        <f t="shared" si="9"/>
        <v>17216.108195383917</v>
      </c>
      <c r="K17" s="66">
        <f t="shared" si="9"/>
        <v>20604.754771481337</v>
      </c>
      <c r="L17" s="68">
        <f t="shared" si="9"/>
        <v>24254.825264984938</v>
      </c>
    </row>
    <row r="18" spans="2:13" x14ac:dyDescent="0.4">
      <c r="B18" s="69" t="s">
        <v>10</v>
      </c>
      <c r="C18" s="70">
        <f t="shared" ref="C18:L18" si="10">C14</f>
        <v>441</v>
      </c>
      <c r="D18" s="70">
        <f t="shared" si="10"/>
        <v>584</v>
      </c>
      <c r="E18" s="70">
        <f t="shared" si="10"/>
        <v>693</v>
      </c>
      <c r="F18" s="71">
        <f t="shared" si="10"/>
        <v>826</v>
      </c>
      <c r="G18" s="70">
        <f t="shared" si="10"/>
        <v>1138.5920000000001</v>
      </c>
      <c r="H18" s="70">
        <f t="shared" si="10"/>
        <v>1446.0118400000001</v>
      </c>
      <c r="I18" s="70">
        <f t="shared" si="10"/>
        <v>1797.3927171200003</v>
      </c>
      <c r="J18" s="70">
        <f t="shared" si="10"/>
        <v>2190.4825043541446</v>
      </c>
      <c r="K18" s="70">
        <f t="shared" si="10"/>
        <v>2621.6351756861709</v>
      </c>
      <c r="L18" s="72">
        <f t="shared" si="10"/>
        <v>3086.0499821534486</v>
      </c>
    </row>
    <row r="19" spans="2:13" x14ac:dyDescent="0.4">
      <c r="B19" s="73" t="s">
        <v>11</v>
      </c>
      <c r="C19" s="74">
        <f>C17+C18</f>
        <v>4150</v>
      </c>
      <c r="D19" s="74">
        <f t="shared" ref="D19:F19" si="11">D17+D18</f>
        <v>4749</v>
      </c>
      <c r="E19" s="74">
        <f t="shared" si="11"/>
        <v>5189</v>
      </c>
      <c r="F19" s="75">
        <f t="shared" si="11"/>
        <v>7453</v>
      </c>
      <c r="G19" s="74">
        <f>G17+G18</f>
        <v>10087.36151696</v>
      </c>
      <c r="H19" s="74">
        <f t="shared" ref="H19:L19" si="12">H17+H18</f>
        <v>12810.949126539199</v>
      </c>
      <c r="I19" s="74">
        <f t="shared" si="12"/>
        <v>15924.009764288225</v>
      </c>
      <c r="J19" s="74">
        <f t="shared" si="12"/>
        <v>19406.590699738063</v>
      </c>
      <c r="K19" s="74">
        <f t="shared" si="12"/>
        <v>23226.389947167507</v>
      </c>
      <c r="L19" s="76">
        <f t="shared" si="12"/>
        <v>27340.875247138385</v>
      </c>
    </row>
    <row r="20" spans="2:13" x14ac:dyDescent="0.4">
      <c r="B20" s="65" t="s">
        <v>12</v>
      </c>
      <c r="C20" s="66">
        <f>-'Data Sheet'!V93</f>
        <v>432</v>
      </c>
      <c r="D20" s="66">
        <f>-'Data Sheet'!W93</f>
        <v>691</v>
      </c>
      <c r="E20" s="66">
        <f>-'Data Sheet'!X93</f>
        <v>494</v>
      </c>
      <c r="F20" s="67">
        <f>-'Data Sheet'!Y93</f>
        <v>902</v>
      </c>
      <c r="G20" s="66">
        <f t="shared" ref="G20:L20" si="13">G12*1.05%</f>
        <v>1195.5216</v>
      </c>
      <c r="H20" s="66">
        <f t="shared" si="13"/>
        <v>1518.3124320000002</v>
      </c>
      <c r="I20" s="66">
        <f t="shared" si="13"/>
        <v>1887.2623529760003</v>
      </c>
      <c r="J20" s="66">
        <f t="shared" si="13"/>
        <v>2300.0066295718516</v>
      </c>
      <c r="K20" s="66">
        <f t="shared" si="13"/>
        <v>2752.7169344704794</v>
      </c>
      <c r="L20" s="68">
        <f t="shared" si="13"/>
        <v>3240.3524812611213</v>
      </c>
    </row>
    <row r="21" spans="2:13" x14ac:dyDescent="0.4">
      <c r="B21" s="65" t="s">
        <v>13</v>
      </c>
      <c r="C21" s="66">
        <f>C51</f>
        <v>3164</v>
      </c>
      <c r="D21" s="66">
        <f t="shared" ref="D21:F21" si="14">D51</f>
        <v>2615</v>
      </c>
      <c r="E21" s="66">
        <f t="shared" si="14"/>
        <v>8630</v>
      </c>
      <c r="F21" s="67">
        <f t="shared" si="14"/>
        <v>13506</v>
      </c>
      <c r="G21" s="66">
        <f>G51</f>
        <v>7877.1016368051787</v>
      </c>
      <c r="H21" s="66">
        <f t="shared" ref="H21:L21" si="15">H51</f>
        <v>13141.467441937399</v>
      </c>
      <c r="I21" s="66">
        <f t="shared" si="15"/>
        <v>15020.697286134447</v>
      </c>
      <c r="J21" s="66">
        <f t="shared" si="15"/>
        <v>16803.654053998616</v>
      </c>
      <c r="K21" s="66">
        <f t="shared" si="15"/>
        <v>18430.751876047303</v>
      </c>
      <c r="L21" s="68">
        <f t="shared" si="15"/>
        <v>19852.629091028692</v>
      </c>
    </row>
    <row r="22" spans="2:13" x14ac:dyDescent="0.4">
      <c r="B22" s="73" t="s">
        <v>14</v>
      </c>
      <c r="C22" s="74">
        <f>C19-C20-C21</f>
        <v>554</v>
      </c>
      <c r="D22" s="74">
        <f t="shared" ref="D22:F22" si="16">D19-D20-D21</f>
        <v>1443</v>
      </c>
      <c r="E22" s="74">
        <f t="shared" si="16"/>
        <v>-3935</v>
      </c>
      <c r="F22" s="75">
        <f t="shared" si="16"/>
        <v>-6955</v>
      </c>
      <c r="G22" s="74">
        <f>G19-G20-G21</f>
        <v>1014.738280154821</v>
      </c>
      <c r="H22" s="74">
        <f t="shared" ref="H22:L22" si="17">H19-H20-H21</f>
        <v>-1848.8307473982004</v>
      </c>
      <c r="I22" s="74">
        <f t="shared" si="17"/>
        <v>-983.94987482222314</v>
      </c>
      <c r="J22" s="74">
        <f t="shared" si="17"/>
        <v>302.93001616759284</v>
      </c>
      <c r="K22" s="74">
        <f t="shared" si="17"/>
        <v>2042.9211366497257</v>
      </c>
      <c r="L22" s="76">
        <f t="shared" si="17"/>
        <v>4247.8936748485721</v>
      </c>
    </row>
    <row r="23" spans="2:13" x14ac:dyDescent="0.4">
      <c r="B23" s="61" t="s">
        <v>15</v>
      </c>
      <c r="C23" s="78"/>
      <c r="D23" s="78"/>
      <c r="E23" s="78"/>
      <c r="F23" s="79"/>
      <c r="G23" s="63"/>
      <c r="H23" s="63"/>
      <c r="I23" s="63"/>
      <c r="J23" s="63"/>
      <c r="K23" s="63"/>
      <c r="L23" s="64"/>
    </row>
    <row r="24" spans="2:13" ht="23.4" thickBot="1" x14ac:dyDescent="0.45">
      <c r="B24" s="80" t="s">
        <v>16</v>
      </c>
      <c r="C24" s="81"/>
      <c r="D24" s="81"/>
      <c r="E24" s="81"/>
      <c r="F24" s="82"/>
      <c r="G24" s="81">
        <f t="shared" ref="G24:L24" si="18">G22/(1+$D$43)^G10</f>
        <v>903.14917649817187</v>
      </c>
      <c r="H24" s="81">
        <f t="shared" si="18"/>
        <v>-1464.5629642617889</v>
      </c>
      <c r="I24" s="81">
        <f t="shared" si="18"/>
        <v>-693.72814325718161</v>
      </c>
      <c r="J24" s="81">
        <f t="shared" si="18"/>
        <v>190.09211063633157</v>
      </c>
      <c r="K24" s="81">
        <f t="shared" si="18"/>
        <v>1140.9821041251898</v>
      </c>
      <c r="L24" s="83">
        <f t="shared" si="18"/>
        <v>2111.574044013098</v>
      </c>
      <c r="M24" s="4"/>
    </row>
    <row r="25" spans="2:13" ht="23.4" thickBot="1" x14ac:dyDescent="0.45"/>
    <row r="26" spans="2:13" ht="23.4" thickBot="1" x14ac:dyDescent="0.45">
      <c r="B26" s="32" t="s">
        <v>17</v>
      </c>
      <c r="C26" s="33"/>
      <c r="D26" s="34"/>
      <c r="F26" s="5" t="s">
        <v>18</v>
      </c>
      <c r="G26" s="52">
        <f>SUM(G24:L24)</f>
        <v>2187.5063277538211</v>
      </c>
      <c r="I26" s="35" t="s">
        <v>19</v>
      </c>
      <c r="J26" s="35"/>
      <c r="K26" s="35"/>
      <c r="L26" s="35"/>
    </row>
    <row r="27" spans="2:13" ht="23.4" thickBot="1" x14ac:dyDescent="0.45">
      <c r="B27" s="88" t="s">
        <v>20</v>
      </c>
      <c r="C27" s="6"/>
      <c r="D27" s="7"/>
      <c r="F27"/>
      <c r="G27"/>
      <c r="I27" s="133">
        <f>D37</f>
        <v>372376</v>
      </c>
      <c r="J27" s="35"/>
      <c r="K27" s="35"/>
      <c r="L27" s="35"/>
    </row>
    <row r="28" spans="2:13" ht="45.6" x14ac:dyDescent="0.4">
      <c r="B28" s="88" t="s">
        <v>21</v>
      </c>
      <c r="C28" s="6"/>
      <c r="D28" s="7"/>
      <c r="F28" s="32" t="s">
        <v>22</v>
      </c>
      <c r="G28" s="34"/>
    </row>
    <row r="29" spans="2:13" x14ac:dyDescent="0.4">
      <c r="B29" s="89"/>
      <c r="C29" s="17"/>
      <c r="D29" s="18"/>
      <c r="F29" s="90" t="s">
        <v>23</v>
      </c>
      <c r="G29" s="51">
        <v>7.0000000000000007E-2</v>
      </c>
      <c r="I29" s="36" t="s">
        <v>167</v>
      </c>
      <c r="J29" s="36"/>
      <c r="K29" s="36"/>
      <c r="L29" s="36"/>
    </row>
    <row r="30" spans="2:13" x14ac:dyDescent="0.4">
      <c r="B30" s="89" t="s">
        <v>24</v>
      </c>
      <c r="D30" s="9"/>
      <c r="F30" s="90" t="s">
        <v>22</v>
      </c>
      <c r="G30" s="110">
        <f>L22*(1+$G$29)/(D43-$G$29)</f>
        <v>84869.733439177173</v>
      </c>
      <c r="I30" s="132">
        <f>G40</f>
        <v>35247.173903700248</v>
      </c>
      <c r="J30" s="36"/>
      <c r="K30" s="36"/>
      <c r="L30" s="36"/>
    </row>
    <row r="31" spans="2:13" ht="23.4" thickBot="1" x14ac:dyDescent="0.45">
      <c r="B31" s="90" t="s">
        <v>25</v>
      </c>
      <c r="D31" s="53">
        <f>'Data Sheet'!Y59</f>
        <v>14551</v>
      </c>
      <c r="F31" s="91" t="s">
        <v>26</v>
      </c>
      <c r="G31" s="111">
        <f>G30/(1+D43)^L10</f>
        <v>42187.667575946427</v>
      </c>
    </row>
    <row r="32" spans="2:13" ht="23.4" thickBot="1" x14ac:dyDescent="0.45">
      <c r="B32" s="90" t="s">
        <v>27</v>
      </c>
      <c r="D32" s="54">
        <f>D31/(D31+D37)</f>
        <v>3.7606576951207851E-2</v>
      </c>
      <c r="I32" s="35" t="s">
        <v>28</v>
      </c>
      <c r="J32" s="35"/>
      <c r="K32" s="35"/>
      <c r="L32" s="35"/>
    </row>
    <row r="33" spans="2:16" x14ac:dyDescent="0.4">
      <c r="B33" s="90" t="s">
        <v>24</v>
      </c>
      <c r="D33" s="54">
        <f>'Data Sheet'!AA22</f>
        <v>8.1094082880901655E-2</v>
      </c>
      <c r="F33" s="37" t="s">
        <v>29</v>
      </c>
      <c r="G33" s="38"/>
      <c r="I33" s="131">
        <f>C6</f>
        <v>4184</v>
      </c>
      <c r="J33" s="35"/>
      <c r="K33" s="35"/>
      <c r="L33" s="35"/>
    </row>
    <row r="34" spans="2:16" x14ac:dyDescent="0.4">
      <c r="B34" s="90" t="s">
        <v>30</v>
      </c>
      <c r="D34" s="55">
        <v>0.21149999999999999</v>
      </c>
      <c r="F34" s="90" t="s">
        <v>31</v>
      </c>
      <c r="G34" s="110">
        <f>G31+G26</f>
        <v>44375.173903700248</v>
      </c>
    </row>
    <row r="35" spans="2:16" x14ac:dyDescent="0.4">
      <c r="B35" s="90"/>
      <c r="D35" s="9"/>
      <c r="F35" s="90" t="s">
        <v>32</v>
      </c>
      <c r="G35" s="112">
        <f>'Data Sheet'!K69</f>
        <v>1917</v>
      </c>
      <c r="I35" s="36" t="s">
        <v>33</v>
      </c>
      <c r="J35" s="36"/>
      <c r="K35" s="36"/>
      <c r="L35" s="36"/>
    </row>
    <row r="36" spans="2:16" x14ac:dyDescent="0.4">
      <c r="B36" s="89" t="s">
        <v>34</v>
      </c>
      <c r="D36" s="59">
        <f>D39+D40*(D41-D39)</f>
        <v>0.125885</v>
      </c>
      <c r="F36" s="92" t="s">
        <v>35</v>
      </c>
      <c r="G36" s="112">
        <f>'Data Sheet'!Y68</f>
        <v>3506</v>
      </c>
      <c r="I36" s="130">
        <f>G42</f>
        <v>396.03566183932861</v>
      </c>
      <c r="J36" s="36"/>
      <c r="K36" s="36"/>
      <c r="L36" s="36"/>
    </row>
    <row r="37" spans="2:16" x14ac:dyDescent="0.4">
      <c r="B37" s="90" t="s">
        <v>36</v>
      </c>
      <c r="D37" s="53">
        <f>(C6*'Data Sheet'!J70)/10000000</f>
        <v>372376</v>
      </c>
      <c r="F37" s="90" t="s">
        <v>37</v>
      </c>
      <c r="G37" s="112">
        <f>D31</f>
        <v>14551</v>
      </c>
    </row>
    <row r="38" spans="2:16" ht="23.4" thickBot="1" x14ac:dyDescent="0.45">
      <c r="B38" s="90" t="s">
        <v>38</v>
      </c>
      <c r="D38" s="54">
        <f>D37/(D31+D37)</f>
        <v>0.96239342304879216</v>
      </c>
      <c r="F38" s="93" t="s">
        <v>39</v>
      </c>
      <c r="G38" s="113">
        <v>0</v>
      </c>
      <c r="J38" s="21" t="s">
        <v>17</v>
      </c>
      <c r="K38" s="20"/>
      <c r="L38" s="20"/>
      <c r="M38" s="20"/>
      <c r="N38" s="20"/>
      <c r="O38" s="6"/>
      <c r="P38" s="6"/>
    </row>
    <row r="39" spans="2:16" ht="23.4" thickBot="1" x14ac:dyDescent="0.45">
      <c r="B39" s="90" t="s">
        <v>40</v>
      </c>
      <c r="D39" s="55">
        <v>7.3099999999999998E-2</v>
      </c>
      <c r="I39" s="122">
        <f>G42</f>
        <v>396.03566183932861</v>
      </c>
      <c r="J39" s="117">
        <f>K39-0.5%</f>
        <v>0.10855556154003208</v>
      </c>
      <c r="K39" s="116">
        <f>L39-0.5%</f>
        <v>0.11355556154003209</v>
      </c>
      <c r="L39" s="116">
        <f>M39-0.5%</f>
        <v>0.11855556154003209</v>
      </c>
      <c r="M39" s="116">
        <v>0.1235555615400321</v>
      </c>
      <c r="N39" s="116">
        <f>M39+0.5%</f>
        <v>0.12855556154003209</v>
      </c>
      <c r="O39" s="116">
        <f t="shared" ref="O39:P39" si="19">N39+0.5%</f>
        <v>0.13355556154003209</v>
      </c>
      <c r="P39" s="116">
        <f t="shared" si="19"/>
        <v>0.1385555615400321</v>
      </c>
    </row>
    <row r="40" spans="2:16" ht="23.4" thickTop="1" x14ac:dyDescent="0.4">
      <c r="B40" s="90" t="s">
        <v>41</v>
      </c>
      <c r="D40" s="49">
        <v>1.1499999999999999</v>
      </c>
      <c r="F40" s="37" t="s">
        <v>42</v>
      </c>
      <c r="G40" s="120">
        <f>G34+G35+G36-G37</f>
        <v>35247.173903700248</v>
      </c>
      <c r="H40" s="19"/>
      <c r="I40" s="119">
        <f>I41-0.5%</f>
        <v>6.0000000000000005E-2</v>
      </c>
      <c r="J40" s="123">
        <f t="dataTable" ref="J40:P44" dt2D="1" dtr="1" r1="D43" r2="G29"/>
        <v>485.82990293008294</v>
      </c>
      <c r="K40" s="123">
        <v>419.03620281447968</v>
      </c>
      <c r="L40" s="123">
        <v>363.92040652588452</v>
      </c>
      <c r="M40" s="128">
        <v>317.71926028394358</v>
      </c>
      <c r="N40" s="123">
        <v>278.4758617902533</v>
      </c>
      <c r="O40" s="126">
        <v>244.76559070377428</v>
      </c>
      <c r="P40" s="126">
        <v>215.52670527209622</v>
      </c>
    </row>
    <row r="41" spans="2:16" x14ac:dyDescent="0.4">
      <c r="B41" s="90" t="s">
        <v>43</v>
      </c>
      <c r="D41" s="55">
        <v>0.11899999999999999</v>
      </c>
      <c r="F41" s="90" t="s">
        <v>44</v>
      </c>
      <c r="G41" s="114">
        <f>'Data Sheet'!Y57</f>
        <v>89</v>
      </c>
      <c r="H41" s="20"/>
      <c r="I41" s="118">
        <f>I42-0.5%</f>
        <v>6.5000000000000002E-2</v>
      </c>
      <c r="J41" s="123">
        <v>553.23359898339777</v>
      </c>
      <c r="K41" s="123">
        <v>472.63445411137423</v>
      </c>
      <c r="L41" s="123">
        <v>407.38074461698142</v>
      </c>
      <c r="M41" s="128">
        <v>353.53378202007127</v>
      </c>
      <c r="N41" s="123">
        <v>308.39455745740941</v>
      </c>
      <c r="O41" s="126">
        <v>270.05166253883419</v>
      </c>
      <c r="P41" s="126">
        <v>237.11359323128647</v>
      </c>
    </row>
    <row r="42" spans="2:16" x14ac:dyDescent="0.4">
      <c r="B42" s="90" t="s">
        <v>45</v>
      </c>
      <c r="D42" s="9"/>
      <c r="F42" s="89" t="s">
        <v>46</v>
      </c>
      <c r="G42" s="134">
        <f>G40/G41</f>
        <v>396.03566183932861</v>
      </c>
      <c r="H42" s="127" t="s">
        <v>166</v>
      </c>
      <c r="I42" s="118">
        <v>7.0000000000000007E-2</v>
      </c>
      <c r="J42" s="128">
        <v>638.11951896524499</v>
      </c>
      <c r="K42" s="128">
        <v>538.53842467850086</v>
      </c>
      <c r="L42" s="128">
        <v>459.79172331703649</v>
      </c>
      <c r="M42" s="129">
        <v>396.03566183932861</v>
      </c>
      <c r="N42" s="128">
        <v>343.42270727038596</v>
      </c>
      <c r="O42" s="128">
        <v>299.31631173555149</v>
      </c>
      <c r="P42" s="128">
        <v>261.84929763574581</v>
      </c>
    </row>
    <row r="43" spans="2:16" ht="23.4" thickBot="1" x14ac:dyDescent="0.45">
      <c r="B43" s="91" t="s">
        <v>17</v>
      </c>
      <c r="C43" s="10"/>
      <c r="D43" s="60">
        <f>(D36*D38)+(D33*D32)*(1-D34)</f>
        <v>0.1235555615400321</v>
      </c>
      <c r="F43" s="90" t="s">
        <v>47</v>
      </c>
      <c r="G43" s="9">
        <f>C6</f>
        <v>4184</v>
      </c>
      <c r="H43" s="20"/>
      <c r="I43" s="118">
        <f>I42+0.5%</f>
        <v>7.5000000000000011E-2</v>
      </c>
      <c r="J43" s="123">
        <v>748.30256290687998</v>
      </c>
      <c r="K43" s="123">
        <v>621.535641442729</v>
      </c>
      <c r="L43" s="123">
        <v>524.23583322856359</v>
      </c>
      <c r="M43" s="128">
        <v>447.29078813977759</v>
      </c>
      <c r="N43" s="123">
        <v>384.99138225119088</v>
      </c>
      <c r="O43" s="126">
        <v>333.5787183488228</v>
      </c>
      <c r="P43" s="126">
        <v>290.47698313597095</v>
      </c>
    </row>
    <row r="44" spans="2:16" ht="23.4" thickBot="1" x14ac:dyDescent="0.45">
      <c r="F44" s="91" t="s">
        <v>48</v>
      </c>
      <c r="G44" s="115">
        <f>G42/G43-1</f>
        <v>-0.90534520510532301</v>
      </c>
      <c r="H44" s="20"/>
      <c r="I44" s="118">
        <v>0.117336</v>
      </c>
      <c r="J44" s="123">
        <v>-3348.3149161683959</v>
      </c>
      <c r="K44" s="123">
        <v>-7475.103647941407</v>
      </c>
      <c r="L44" s="123">
        <v>22249.161985853287</v>
      </c>
      <c r="M44" s="129">
        <v>4184.2807750539287</v>
      </c>
      <c r="N44" s="123">
        <v>2221.9453129537278</v>
      </c>
      <c r="O44" s="126">
        <v>1470.3474870802772</v>
      </c>
      <c r="P44" s="126">
        <v>1073.6042443307172</v>
      </c>
    </row>
    <row r="45" spans="2:16" ht="23.4" thickBot="1" x14ac:dyDescent="0.45"/>
    <row r="46" spans="2:16" x14ac:dyDescent="0.4">
      <c r="B46" s="37" t="s">
        <v>49</v>
      </c>
      <c r="C46" s="39">
        <v>2023</v>
      </c>
      <c r="D46" s="39">
        <f>C46+1</f>
        <v>2024</v>
      </c>
      <c r="E46" s="39">
        <f>D46+1</f>
        <v>2025</v>
      </c>
      <c r="F46" s="40">
        <f>E46+1</f>
        <v>2026</v>
      </c>
      <c r="G46" s="39">
        <f t="shared" ref="G46:L46" si="20">F46+1</f>
        <v>2027</v>
      </c>
      <c r="H46" s="39">
        <f>G46+1</f>
        <v>2028</v>
      </c>
      <c r="I46" s="39">
        <f>H46+1</f>
        <v>2029</v>
      </c>
      <c r="J46" s="39">
        <f t="shared" si="20"/>
        <v>2030</v>
      </c>
      <c r="K46" s="39">
        <f t="shared" si="20"/>
        <v>2031</v>
      </c>
      <c r="L46" s="38">
        <f t="shared" si="20"/>
        <v>2032</v>
      </c>
    </row>
    <row r="47" spans="2:16" x14ac:dyDescent="0.4">
      <c r="B47" s="90" t="s">
        <v>50</v>
      </c>
      <c r="C47" s="94">
        <f>'Data Sheet'!V71</f>
        <v>674</v>
      </c>
      <c r="D47" s="94">
        <f>'Data Sheet'!W71</f>
        <v>1018</v>
      </c>
      <c r="E47" s="94">
        <f>'Data Sheet'!X71</f>
        <v>1068</v>
      </c>
      <c r="F47" s="95">
        <f>'Data Sheet'!Y71</f>
        <v>916</v>
      </c>
      <c r="G47" s="96" t="s">
        <v>164</v>
      </c>
      <c r="H47" s="96" t="s">
        <v>164</v>
      </c>
      <c r="I47" s="96" t="s">
        <v>164</v>
      </c>
      <c r="J47" s="96" t="s">
        <v>164</v>
      </c>
      <c r="K47" s="96" t="s">
        <v>164</v>
      </c>
      <c r="L47" s="97" t="s">
        <v>164</v>
      </c>
    </row>
    <row r="48" spans="2:16" x14ac:dyDescent="0.4">
      <c r="B48" s="90" t="s">
        <v>51</v>
      </c>
      <c r="C48" s="94">
        <f>'Data Sheet'!V62</f>
        <v>1214</v>
      </c>
      <c r="D48" s="94">
        <f>'Data Sheet'!W62</f>
        <v>1410</v>
      </c>
      <c r="E48" s="94">
        <f>'Data Sheet'!X62</f>
        <v>1963</v>
      </c>
      <c r="F48" s="95">
        <f>'Data Sheet'!Y62</f>
        <v>2864</v>
      </c>
      <c r="G48" s="96" t="s">
        <v>164</v>
      </c>
      <c r="H48" s="96" t="s">
        <v>164</v>
      </c>
      <c r="I48" s="96" t="s">
        <v>164</v>
      </c>
      <c r="J48" s="96" t="s">
        <v>164</v>
      </c>
      <c r="K48" s="96" t="s">
        <v>164</v>
      </c>
      <c r="L48" s="97" t="s">
        <v>164</v>
      </c>
    </row>
    <row r="49" spans="2:12" x14ac:dyDescent="0.4">
      <c r="B49" s="90" t="s">
        <v>52</v>
      </c>
      <c r="C49" s="94">
        <f>'Data Sheet'!V70</f>
        <v>16584</v>
      </c>
      <c r="D49" s="94">
        <f>'Data Sheet'!W70</f>
        <v>19051</v>
      </c>
      <c r="E49" s="94">
        <f>'Data Sheet'!X70</f>
        <v>28184</v>
      </c>
      <c r="F49" s="98">
        <f>'Data Sheet'!Y70</f>
        <v>42743</v>
      </c>
      <c r="G49" s="96" t="s">
        <v>164</v>
      </c>
      <c r="H49" s="96" t="s">
        <v>164</v>
      </c>
      <c r="I49" s="96" t="s">
        <v>164</v>
      </c>
      <c r="J49" s="96" t="s">
        <v>164</v>
      </c>
      <c r="K49" s="96" t="s">
        <v>164</v>
      </c>
      <c r="L49" s="97" t="s">
        <v>164</v>
      </c>
    </row>
    <row r="50" spans="2:12" ht="23.4" thickBot="1" x14ac:dyDescent="0.45">
      <c r="B50" s="99" t="s">
        <v>53</v>
      </c>
      <c r="C50" s="100">
        <f>C47+C49-C48</f>
        <v>16044</v>
      </c>
      <c r="D50" s="100">
        <f t="shared" ref="D50:F50" si="21">D47+D49-D48</f>
        <v>18659</v>
      </c>
      <c r="E50" s="100">
        <f t="shared" si="21"/>
        <v>27289</v>
      </c>
      <c r="F50" s="101">
        <f t="shared" si="21"/>
        <v>40795</v>
      </c>
      <c r="G50" s="102">
        <f t="shared" ref="G50:L50" si="22">G12*G52</f>
        <v>48672.101636805179</v>
      </c>
      <c r="H50" s="102">
        <f t="shared" si="22"/>
        <v>61813.569078742577</v>
      </c>
      <c r="I50" s="102">
        <f t="shared" si="22"/>
        <v>76834.266364877025</v>
      </c>
      <c r="J50" s="102">
        <f t="shared" si="22"/>
        <v>93637.920418875641</v>
      </c>
      <c r="K50" s="102">
        <f t="shared" si="22"/>
        <v>112068.67229492294</v>
      </c>
      <c r="L50" s="103">
        <f t="shared" si="22"/>
        <v>131921.30138595164</v>
      </c>
    </row>
    <row r="51" spans="2:12" x14ac:dyDescent="0.4">
      <c r="B51" s="90" t="s">
        <v>54</v>
      </c>
      <c r="C51" s="104">
        <f>C50-'Data Sheet'!K73</f>
        <v>3164</v>
      </c>
      <c r="D51" s="124">
        <f>D50-C50</f>
        <v>2615</v>
      </c>
      <c r="E51" s="124">
        <f>E50-D50</f>
        <v>8630</v>
      </c>
      <c r="F51" s="125">
        <f>F50-E50</f>
        <v>13506</v>
      </c>
      <c r="G51" s="105">
        <f>G50-F50</f>
        <v>7877.1016368051787</v>
      </c>
      <c r="H51" s="105">
        <f t="shared" ref="H51:L51" si="23">H50-G50</f>
        <v>13141.467441937399</v>
      </c>
      <c r="I51" s="105">
        <f t="shared" si="23"/>
        <v>15020.697286134447</v>
      </c>
      <c r="J51" s="105">
        <f t="shared" si="23"/>
        <v>16803.654053998616</v>
      </c>
      <c r="K51" s="105">
        <f t="shared" si="23"/>
        <v>18430.751876047303</v>
      </c>
      <c r="L51" s="106">
        <f t="shared" si="23"/>
        <v>19852.629091028692</v>
      </c>
    </row>
    <row r="52" spans="2:12" x14ac:dyDescent="0.4">
      <c r="B52" s="90" t="s">
        <v>55</v>
      </c>
      <c r="C52" s="107">
        <f>C50/C12</f>
        <v>0.3954158964879852</v>
      </c>
      <c r="D52" s="107">
        <f t="shared" ref="D52:F52" si="24">D50/D12</f>
        <v>0.36526113851695247</v>
      </c>
      <c r="E52" s="107">
        <f t="shared" si="24"/>
        <v>0.45138613206298794</v>
      </c>
      <c r="F52" s="108">
        <f t="shared" si="24"/>
        <v>0.46578142126415784</v>
      </c>
      <c r="G52" s="107">
        <f>AVERAGE($D$52:$F$52)</f>
        <v>0.42747623061469936</v>
      </c>
      <c r="H52" s="107">
        <f>G52</f>
        <v>0.42747623061469936</v>
      </c>
      <c r="I52" s="107">
        <f t="shared" ref="I52:L52" si="25">H52</f>
        <v>0.42747623061469936</v>
      </c>
      <c r="J52" s="107">
        <f t="shared" si="25"/>
        <v>0.42747623061469936</v>
      </c>
      <c r="K52" s="107">
        <f t="shared" si="25"/>
        <v>0.42747623061469936</v>
      </c>
      <c r="L52" s="109">
        <f t="shared" si="25"/>
        <v>0.42747623061469936</v>
      </c>
    </row>
    <row r="53" spans="2:12" x14ac:dyDescent="0.4">
      <c r="B53" s="8"/>
      <c r="C53" s="11"/>
      <c r="D53" s="11"/>
      <c r="E53" s="11"/>
      <c r="F53" s="13"/>
      <c r="G53" s="11"/>
      <c r="H53" s="11"/>
      <c r="I53" s="11"/>
      <c r="J53" s="11"/>
      <c r="K53" s="11"/>
      <c r="L53" s="12"/>
    </row>
    <row r="54" spans="2:12" ht="23.4" thickBot="1" x14ac:dyDescent="0.45">
      <c r="B54" s="91" t="s">
        <v>56</v>
      </c>
      <c r="C54" s="14"/>
      <c r="D54" s="14"/>
      <c r="E54" s="14"/>
      <c r="F54" s="15"/>
      <c r="G54" s="14"/>
      <c r="H54" s="14"/>
      <c r="I54" s="14"/>
      <c r="J54" s="14"/>
      <c r="K54" s="14"/>
      <c r="L54" s="1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DFE6-4523-4621-845A-97782A041F0B}">
  <sheetPr>
    <tabColor rgb="FFFFC000"/>
  </sheetPr>
  <dimension ref="A1:AJ112"/>
  <sheetViews>
    <sheetView showGridLines="0" zoomScale="108" zoomScaleNormal="120" zoomScalePageLayoutView="120" workbookViewId="0">
      <pane xSplit="1" ySplit="1" topLeftCell="B46" activePane="bottomRight" state="frozen"/>
      <selection activeCell="C4" sqref="C4"/>
      <selection pane="topRight" activeCell="C4" sqref="C4"/>
      <selection pane="bottomLeft" activeCell="C4" sqref="C4"/>
      <selection pane="bottomRight" activeCell="J70" sqref="J70"/>
    </sheetView>
  </sheetViews>
  <sheetFormatPr defaultColWidth="8.77734375" defaultRowHeight="14.4" x14ac:dyDescent="0.3"/>
  <cols>
    <col min="1" max="1" width="26.33203125" style="42" bestFit="1" customWidth="1"/>
    <col min="2" max="2" width="20.109375" style="42" bestFit="1" customWidth="1"/>
    <col min="3" max="10" width="10" style="42" bestFit="1" customWidth="1"/>
    <col min="11" max="11" width="9.88671875" style="42" bestFit="1" customWidth="1"/>
    <col min="12" max="12" width="8.77734375" style="42"/>
    <col min="13" max="13" width="27.6640625" style="42" bestFit="1" customWidth="1"/>
    <col min="14" max="22" width="9.88671875" style="42" bestFit="1" customWidth="1"/>
    <col min="23" max="24" width="10.5546875" style="42" bestFit="1" customWidth="1"/>
    <col min="25" max="26" width="11.44140625" style="42" bestFit="1" customWidth="1"/>
    <col min="27" max="16384" width="8.77734375" style="42"/>
  </cols>
  <sheetData>
    <row r="1" spans="1:26" s="41" customFormat="1" x14ac:dyDescent="0.3">
      <c r="A1" s="41" t="s">
        <v>59</v>
      </c>
      <c r="B1" s="41" t="s">
        <v>60</v>
      </c>
      <c r="E1" s="135" t="str">
        <f>IF(B2&lt;&gt;B3, "A NEW VERSION OF THE WORKSHEET IS AVAILABLE", "")</f>
        <v/>
      </c>
      <c r="F1" s="135"/>
      <c r="G1" s="135"/>
      <c r="H1" s="135"/>
      <c r="I1" s="135"/>
      <c r="J1" s="135"/>
      <c r="K1" s="135"/>
    </row>
    <row r="2" spans="1:26" x14ac:dyDescent="0.3">
      <c r="A2" s="41" t="s">
        <v>61</v>
      </c>
      <c r="B2" s="42">
        <v>2.1</v>
      </c>
      <c r="E2" s="136" t="s">
        <v>62</v>
      </c>
      <c r="F2" s="136"/>
      <c r="G2" s="136"/>
      <c r="H2" s="136"/>
      <c r="I2" s="136"/>
      <c r="J2" s="136"/>
      <c r="K2" s="136"/>
    </row>
    <row r="3" spans="1:26" x14ac:dyDescent="0.3">
      <c r="A3" s="41" t="s">
        <v>63</v>
      </c>
      <c r="B3" s="42">
        <v>2.1</v>
      </c>
    </row>
    <row r="4" spans="1:26" x14ac:dyDescent="0.3">
      <c r="A4" s="41"/>
    </row>
    <row r="5" spans="1:26" x14ac:dyDescent="0.3">
      <c r="A5" s="41" t="s">
        <v>64</v>
      </c>
    </row>
    <row r="6" spans="1:26" x14ac:dyDescent="0.3">
      <c r="A6" s="42" t="s">
        <v>65</v>
      </c>
      <c r="B6" s="42">
        <f>IF(B9&gt;0, B9/B8, 0)</f>
        <v>88.778616156787763</v>
      </c>
    </row>
    <row r="7" spans="1:26" x14ac:dyDescent="0.3">
      <c r="A7" s="42" t="s">
        <v>66</v>
      </c>
      <c r="B7">
        <v>1</v>
      </c>
    </row>
    <row r="8" spans="1:26" x14ac:dyDescent="0.3">
      <c r="A8" s="42" t="s">
        <v>67</v>
      </c>
      <c r="B8">
        <v>4184</v>
      </c>
    </row>
    <row r="9" spans="1:26" x14ac:dyDescent="0.3">
      <c r="A9" s="42" t="s">
        <v>68</v>
      </c>
      <c r="B9">
        <v>371449.73</v>
      </c>
    </row>
    <row r="15" spans="1:26" x14ac:dyDescent="0.3">
      <c r="A15" s="41" t="s">
        <v>69</v>
      </c>
    </row>
    <row r="16" spans="1:26" s="45" customFormat="1" x14ac:dyDescent="0.3">
      <c r="A16" s="43" t="s">
        <v>70</v>
      </c>
      <c r="B16" s="44">
        <v>42825</v>
      </c>
      <c r="C16" s="44">
        <v>43190</v>
      </c>
      <c r="D16" s="44">
        <v>43555</v>
      </c>
      <c r="E16" s="44">
        <v>43921</v>
      </c>
      <c r="F16" s="44">
        <v>44286</v>
      </c>
      <c r="G16" s="44">
        <v>44651</v>
      </c>
      <c r="H16" s="44">
        <v>45016</v>
      </c>
      <c r="I16" s="44">
        <v>45382</v>
      </c>
      <c r="J16" s="44">
        <v>45747</v>
      </c>
      <c r="K16" s="44">
        <v>46112</v>
      </c>
      <c r="M16" s="45" t="s">
        <v>140</v>
      </c>
      <c r="N16" s="45">
        <v>42825</v>
      </c>
      <c r="O16" s="45">
        <v>43190</v>
      </c>
      <c r="P16" s="45">
        <v>43555</v>
      </c>
      <c r="Q16" s="45">
        <v>43921</v>
      </c>
      <c r="R16" s="45">
        <v>44286</v>
      </c>
      <c r="S16" s="45">
        <v>44651</v>
      </c>
      <c r="T16" s="45">
        <v>45016</v>
      </c>
      <c r="U16" s="45">
        <v>45382</v>
      </c>
      <c r="V16" s="45">
        <v>45747</v>
      </c>
      <c r="W16" s="45">
        <v>46112</v>
      </c>
      <c r="X16" s="45" t="s">
        <v>141</v>
      </c>
      <c r="Y16" s="45" t="s">
        <v>142</v>
      </c>
      <c r="Z16" s="45" t="s">
        <v>143</v>
      </c>
    </row>
    <row r="17" spans="1:36" s="46" customFormat="1" x14ac:dyDescent="0.3">
      <c r="A17" s="46" t="s">
        <v>71</v>
      </c>
      <c r="B17">
        <v>13260.83</v>
      </c>
      <c r="C17">
        <v>16119.77</v>
      </c>
      <c r="D17">
        <v>19778.52</v>
      </c>
      <c r="E17">
        <v>21052</v>
      </c>
      <c r="F17">
        <v>21644</v>
      </c>
      <c r="G17">
        <v>28799</v>
      </c>
      <c r="H17">
        <v>40575</v>
      </c>
      <c r="I17">
        <v>51084</v>
      </c>
      <c r="J17">
        <v>60456</v>
      </c>
      <c r="K17">
        <v>87584</v>
      </c>
      <c r="M17" s="46" t="s">
        <v>71</v>
      </c>
      <c r="N17" s="46">
        <v>13260.83</v>
      </c>
      <c r="O17" s="46">
        <v>16119.77</v>
      </c>
      <c r="P17" s="46">
        <v>19778.52</v>
      </c>
      <c r="Q17" s="46">
        <v>21052</v>
      </c>
      <c r="R17" s="46">
        <v>21644</v>
      </c>
      <c r="S17" s="46">
        <v>28799</v>
      </c>
      <c r="T17" s="46">
        <v>40575</v>
      </c>
      <c r="U17" s="46">
        <v>51084</v>
      </c>
      <c r="V17" s="46">
        <v>60456</v>
      </c>
      <c r="W17" s="46">
        <v>87584</v>
      </c>
      <c r="X17" s="46">
        <v>87584</v>
      </c>
      <c r="Y17" s="46">
        <v>126884.95858144766</v>
      </c>
      <c r="Z17" s="46">
        <v>108023.85512295051</v>
      </c>
    </row>
    <row r="18" spans="1:36" s="46" customFormat="1" x14ac:dyDescent="0.3">
      <c r="A18" s="42" t="s">
        <v>72</v>
      </c>
      <c r="B18">
        <v>9821.14</v>
      </c>
      <c r="C18">
        <v>12664.83</v>
      </c>
      <c r="D18">
        <v>15170.66</v>
      </c>
      <c r="E18">
        <v>16033</v>
      </c>
      <c r="F18">
        <v>16292</v>
      </c>
      <c r="G18">
        <v>26436</v>
      </c>
      <c r="H18">
        <v>32589</v>
      </c>
      <c r="I18">
        <v>42103</v>
      </c>
      <c r="J18">
        <v>55271</v>
      </c>
      <c r="K18">
        <v>80243</v>
      </c>
      <c r="M18" s="46" t="s">
        <v>87</v>
      </c>
      <c r="N18" s="46">
        <v>12096.93</v>
      </c>
      <c r="O18" s="46">
        <v>14475.569999999998</v>
      </c>
      <c r="P18" s="46">
        <v>17784.73</v>
      </c>
      <c r="Q18" s="46">
        <v>18589</v>
      </c>
      <c r="R18" s="46">
        <v>19919</v>
      </c>
      <c r="S18" s="46">
        <v>25455</v>
      </c>
      <c r="T18" s="46">
        <v>35693</v>
      </c>
      <c r="U18" s="46">
        <v>45792</v>
      </c>
      <c r="V18" s="46">
        <v>54762</v>
      </c>
      <c r="W18" s="46">
        <v>79229</v>
      </c>
      <c r="X18" s="46">
        <v>79228</v>
      </c>
      <c r="Y18" s="46">
        <v>114560.5678303389</v>
      </c>
      <c r="Z18" s="46">
        <v>97717.779430959112</v>
      </c>
    </row>
    <row r="19" spans="1:36" s="46" customFormat="1" x14ac:dyDescent="0.3">
      <c r="A19" s="42" t="s">
        <v>73</v>
      </c>
      <c r="B19">
        <v>313.70999999999998</v>
      </c>
      <c r="C19">
        <v>978.61</v>
      </c>
      <c r="D19">
        <v>776.41</v>
      </c>
      <c r="E19">
        <v>878</v>
      </c>
      <c r="F19">
        <v>-122</v>
      </c>
      <c r="G19">
        <v>4795</v>
      </c>
      <c r="H19">
        <v>2234</v>
      </c>
      <c r="I19">
        <v>2671</v>
      </c>
      <c r="J19">
        <v>7815</v>
      </c>
      <c r="K19">
        <v>9936</v>
      </c>
      <c r="M19" s="46" t="s">
        <v>88</v>
      </c>
      <c r="N19" s="46">
        <v>1163.8999999999996</v>
      </c>
      <c r="O19" s="46">
        <v>1644.2000000000025</v>
      </c>
      <c r="P19" s="46">
        <v>1993.7900000000009</v>
      </c>
      <c r="Q19" s="46">
        <v>2463</v>
      </c>
      <c r="R19" s="46">
        <v>1725</v>
      </c>
      <c r="S19" s="46">
        <v>3344</v>
      </c>
      <c r="T19" s="46">
        <v>4882</v>
      </c>
      <c r="U19" s="46">
        <v>5292</v>
      </c>
      <c r="V19" s="46">
        <v>5694</v>
      </c>
      <c r="W19" s="46">
        <v>8355</v>
      </c>
      <c r="X19" s="46">
        <v>8356</v>
      </c>
      <c r="Y19" s="46">
        <v>12324.390751108753</v>
      </c>
      <c r="Z19" s="46">
        <v>10306.075691991397</v>
      </c>
    </row>
    <row r="20" spans="1:36" s="46" customFormat="1" x14ac:dyDescent="0.3">
      <c r="A20" s="42" t="s">
        <v>74</v>
      </c>
      <c r="B20">
        <v>43.84</v>
      </c>
      <c r="C20">
        <v>45.32</v>
      </c>
      <c r="D20">
        <v>48.51</v>
      </c>
      <c r="E20">
        <v>52</v>
      </c>
      <c r="F20">
        <v>37</v>
      </c>
      <c r="G20">
        <v>45</v>
      </c>
      <c r="H20">
        <v>59</v>
      </c>
      <c r="I20">
        <v>71</v>
      </c>
      <c r="J20">
        <v>78</v>
      </c>
      <c r="M20" s="46" t="s">
        <v>79</v>
      </c>
      <c r="N20" s="46">
        <v>-42.38</v>
      </c>
      <c r="O20" s="46">
        <v>69.930000000000007</v>
      </c>
      <c r="P20" s="46">
        <v>178.48</v>
      </c>
      <c r="Q20" s="46">
        <v>153</v>
      </c>
      <c r="R20" s="46">
        <v>180</v>
      </c>
      <c r="S20" s="46">
        <v>177</v>
      </c>
      <c r="T20" s="46">
        <v>306</v>
      </c>
      <c r="U20" s="46">
        <v>534</v>
      </c>
      <c r="V20" s="46">
        <v>487</v>
      </c>
      <c r="W20" s="46">
        <v>452</v>
      </c>
      <c r="X20" s="46">
        <v>452</v>
      </c>
      <c r="Y20" s="46">
        <v>0</v>
      </c>
      <c r="Z20" s="46">
        <v>0</v>
      </c>
    </row>
    <row r="21" spans="1:36" s="46" customFormat="1" x14ac:dyDescent="0.3">
      <c r="A21" s="42" t="s">
        <v>75</v>
      </c>
      <c r="B21">
        <v>160.41999999999999</v>
      </c>
      <c r="C21">
        <v>124.83</v>
      </c>
      <c r="D21">
        <v>193.28</v>
      </c>
      <c r="E21">
        <v>215</v>
      </c>
      <c r="F21">
        <v>141</v>
      </c>
      <c r="G21">
        <v>183</v>
      </c>
      <c r="H21">
        <v>225</v>
      </c>
      <c r="I21">
        <v>286</v>
      </c>
      <c r="J21">
        <v>326</v>
      </c>
      <c r="M21" s="46" t="s">
        <v>80</v>
      </c>
      <c r="N21" s="46">
        <v>110.53</v>
      </c>
      <c r="O21" s="46">
        <v>131.43</v>
      </c>
      <c r="P21" s="46">
        <v>162.84</v>
      </c>
      <c r="Q21" s="46">
        <v>348</v>
      </c>
      <c r="R21" s="46">
        <v>375</v>
      </c>
      <c r="S21" s="46">
        <v>399</v>
      </c>
      <c r="T21" s="46">
        <v>441</v>
      </c>
      <c r="U21" s="46">
        <v>584</v>
      </c>
      <c r="V21" s="46">
        <v>693</v>
      </c>
      <c r="W21" s="46">
        <v>826</v>
      </c>
      <c r="X21" s="46">
        <v>826</v>
      </c>
      <c r="Y21" s="46">
        <v>826</v>
      </c>
      <c r="Z21" s="46">
        <v>826</v>
      </c>
    </row>
    <row r="22" spans="1:36" s="46" customFormat="1" x14ac:dyDescent="0.3">
      <c r="A22" s="42" t="s">
        <v>76</v>
      </c>
      <c r="B22">
        <v>894.32</v>
      </c>
      <c r="C22">
        <v>906.26</v>
      </c>
      <c r="D22">
        <v>1024.44</v>
      </c>
      <c r="E22">
        <v>1204</v>
      </c>
      <c r="F22">
        <v>1069</v>
      </c>
      <c r="G22">
        <v>1356</v>
      </c>
      <c r="H22">
        <v>1656</v>
      </c>
      <c r="I22">
        <v>1875</v>
      </c>
      <c r="J22">
        <v>2164</v>
      </c>
      <c r="K22">
        <v>2681</v>
      </c>
      <c r="M22" s="46" t="s">
        <v>81</v>
      </c>
      <c r="N22" s="46">
        <v>37.74</v>
      </c>
      <c r="O22" s="46">
        <v>52.92</v>
      </c>
      <c r="P22" s="46">
        <v>52.54</v>
      </c>
      <c r="Q22" s="46">
        <v>166</v>
      </c>
      <c r="R22" s="46">
        <v>203</v>
      </c>
      <c r="S22" s="46">
        <v>218</v>
      </c>
      <c r="T22" s="46">
        <v>300</v>
      </c>
      <c r="U22" s="46">
        <v>619</v>
      </c>
      <c r="V22" s="46">
        <v>953</v>
      </c>
      <c r="W22" s="46">
        <v>1180</v>
      </c>
      <c r="X22" s="46">
        <v>1180</v>
      </c>
      <c r="Y22" s="46">
        <v>1180</v>
      </c>
      <c r="Z22" s="46">
        <v>1180</v>
      </c>
      <c r="AA22" s="46">
        <f>W22/Y59</f>
        <v>8.1094082880901655E-2</v>
      </c>
      <c r="AB22" s="56">
        <f>T22/T19</f>
        <v>6.1450225317492828E-2</v>
      </c>
      <c r="AC22" s="56">
        <f t="shared" ref="AC22:AH22" si="0">U22/U19</f>
        <v>0.11696900982615269</v>
      </c>
      <c r="AD22" s="56">
        <f t="shared" si="0"/>
        <v>0.16736916051984546</v>
      </c>
      <c r="AE22" s="56">
        <f t="shared" si="0"/>
        <v>0.14123279473369241</v>
      </c>
      <c r="AF22" s="56">
        <f t="shared" si="0"/>
        <v>0.14121589277166108</v>
      </c>
      <c r="AG22" s="56">
        <f t="shared" si="0"/>
        <v>9.5745097979292995E-2</v>
      </c>
      <c r="AH22" s="57">
        <f t="shared" si="0"/>
        <v>0.11449556895035708</v>
      </c>
      <c r="AJ22" s="58">
        <f>MEDIAN(AB22:AH22)</f>
        <v>0.11696900982615269</v>
      </c>
    </row>
    <row r="23" spans="1:36" s="46" customFormat="1" x14ac:dyDescent="0.3">
      <c r="A23" s="42" t="s">
        <v>77</v>
      </c>
      <c r="B23">
        <v>1211.1600000000001</v>
      </c>
      <c r="C23">
        <v>1277.81</v>
      </c>
      <c r="D23">
        <v>1454.32</v>
      </c>
      <c r="E23">
        <v>1470</v>
      </c>
      <c r="F23">
        <v>1029</v>
      </c>
      <c r="G23">
        <v>1697</v>
      </c>
      <c r="H23">
        <v>2715</v>
      </c>
      <c r="I23">
        <v>3249</v>
      </c>
      <c r="J23">
        <v>3488</v>
      </c>
      <c r="K23">
        <v>1535</v>
      </c>
      <c r="M23" s="46" t="s">
        <v>82</v>
      </c>
      <c r="N23" s="46">
        <v>973.25</v>
      </c>
      <c r="O23" s="46">
        <v>1529.78</v>
      </c>
      <c r="P23" s="46">
        <v>1956.89</v>
      </c>
      <c r="Q23" s="46">
        <v>2102</v>
      </c>
      <c r="R23" s="46">
        <v>1327</v>
      </c>
      <c r="S23" s="46">
        <v>2904</v>
      </c>
      <c r="T23" s="46">
        <v>4447</v>
      </c>
      <c r="U23" s="46">
        <v>4623</v>
      </c>
      <c r="V23" s="46">
        <v>4535</v>
      </c>
      <c r="W23" s="46">
        <v>6801</v>
      </c>
      <c r="X23" s="46">
        <v>6802</v>
      </c>
      <c r="Y23" s="46">
        <v>10318.390751108753</v>
      </c>
      <c r="Z23" s="46">
        <v>8300.0756919913965</v>
      </c>
    </row>
    <row r="24" spans="1:36" s="46" customFormat="1" x14ac:dyDescent="0.3">
      <c r="A24" s="42" t="s">
        <v>78</v>
      </c>
      <c r="B24">
        <v>279.76</v>
      </c>
      <c r="C24">
        <v>435.13</v>
      </c>
      <c r="D24">
        <v>669.93</v>
      </c>
      <c r="E24">
        <v>493</v>
      </c>
      <c r="F24">
        <v>1229</v>
      </c>
      <c r="G24">
        <v>533</v>
      </c>
      <c r="H24">
        <v>683</v>
      </c>
      <c r="I24">
        <v>879</v>
      </c>
      <c r="J24">
        <v>1250</v>
      </c>
      <c r="K24">
        <v>4706</v>
      </c>
      <c r="M24" s="46" t="s">
        <v>83</v>
      </c>
      <c r="N24" s="46">
        <v>275.97000000000003</v>
      </c>
      <c r="O24" s="46">
        <v>427.87</v>
      </c>
      <c r="P24" s="46">
        <v>568.24</v>
      </c>
      <c r="Q24" s="46">
        <v>609</v>
      </c>
      <c r="R24" s="46">
        <v>353</v>
      </c>
      <c r="S24" s="46">
        <v>706</v>
      </c>
      <c r="T24" s="46">
        <v>1173</v>
      </c>
      <c r="U24" s="46">
        <v>1127</v>
      </c>
      <c r="V24" s="46">
        <v>1198</v>
      </c>
      <c r="W24" s="46">
        <v>1728</v>
      </c>
      <c r="X24" s="46">
        <v>1728</v>
      </c>
      <c r="Y24" s="46">
        <v>0.25404292855042637</v>
      </c>
      <c r="Z24" s="46">
        <v>0.25404292855042637</v>
      </c>
    </row>
    <row r="25" spans="1:36" s="46" customFormat="1" x14ac:dyDescent="0.3">
      <c r="A25" s="46" t="s">
        <v>79</v>
      </c>
      <c r="B25">
        <v>-42.38</v>
      </c>
      <c r="C25">
        <v>69.930000000000007</v>
      </c>
      <c r="D25">
        <v>178.48</v>
      </c>
      <c r="E25">
        <v>153</v>
      </c>
      <c r="F25">
        <v>180</v>
      </c>
      <c r="G25">
        <v>177</v>
      </c>
      <c r="H25">
        <v>306</v>
      </c>
      <c r="I25">
        <v>534</v>
      </c>
      <c r="J25">
        <v>487</v>
      </c>
      <c r="K25">
        <v>452</v>
      </c>
      <c r="M25" s="46" t="s">
        <v>84</v>
      </c>
      <c r="N25" s="46">
        <v>711.47</v>
      </c>
      <c r="O25" s="46">
        <v>1130.0899999999999</v>
      </c>
      <c r="P25" s="46">
        <v>1404.15</v>
      </c>
      <c r="Q25" s="46">
        <v>1501</v>
      </c>
      <c r="R25" s="46">
        <v>973</v>
      </c>
      <c r="S25" s="46">
        <v>2173</v>
      </c>
      <c r="T25" s="46">
        <v>3250</v>
      </c>
      <c r="U25" s="46">
        <v>3496</v>
      </c>
      <c r="V25" s="46">
        <v>3337</v>
      </c>
      <c r="W25" s="46">
        <v>5073</v>
      </c>
      <c r="X25" s="46">
        <v>5074</v>
      </c>
      <c r="Y25" s="46">
        <v>7697.0765467694509</v>
      </c>
      <c r="Z25" s="46">
        <v>6191.5001560076953</v>
      </c>
    </row>
    <row r="26" spans="1:36" s="46" customFormat="1" x14ac:dyDescent="0.3">
      <c r="A26" s="46" t="s">
        <v>80</v>
      </c>
      <c r="B26">
        <v>110.53</v>
      </c>
      <c r="C26">
        <v>131.43</v>
      </c>
      <c r="D26">
        <v>162.84</v>
      </c>
      <c r="E26">
        <v>348</v>
      </c>
      <c r="F26">
        <v>375</v>
      </c>
      <c r="G26">
        <v>399</v>
      </c>
      <c r="H26">
        <v>441</v>
      </c>
      <c r="I26">
        <v>584</v>
      </c>
      <c r="J26">
        <v>693</v>
      </c>
      <c r="K26">
        <v>826</v>
      </c>
      <c r="M26" s="46" t="s">
        <v>144</v>
      </c>
      <c r="N26" s="46">
        <v>8.0138544717278677</v>
      </c>
      <c r="O26" s="46">
        <v>12.729105654426672</v>
      </c>
      <c r="P26" s="46">
        <v>15.816062176165804</v>
      </c>
      <c r="Q26" s="46">
        <v>16.90696102725839</v>
      </c>
      <c r="R26" s="46">
        <v>10.959675602613201</v>
      </c>
      <c r="S26" s="46">
        <v>24.476233385897725</v>
      </c>
      <c r="T26" s="46">
        <v>36.607343996395585</v>
      </c>
      <c r="U26" s="46">
        <v>39.37823834196891</v>
      </c>
      <c r="V26" s="46">
        <v>37.58729443568371</v>
      </c>
      <c r="W26" s="46">
        <v>57.141248028835321</v>
      </c>
      <c r="X26" s="46">
        <v>57.153402695971806</v>
      </c>
      <c r="Y26" s="46">
        <v>86.699668005367457</v>
      </c>
      <c r="Z26" s="46">
        <v>69.74089509430037</v>
      </c>
    </row>
    <row r="27" spans="1:36" s="46" customFormat="1" x14ac:dyDescent="0.3">
      <c r="A27" s="46" t="s">
        <v>81</v>
      </c>
      <c r="B27">
        <v>37.74</v>
      </c>
      <c r="C27">
        <v>52.92</v>
      </c>
      <c r="D27">
        <v>52.54</v>
      </c>
      <c r="E27">
        <v>166</v>
      </c>
      <c r="F27">
        <v>203</v>
      </c>
      <c r="G27">
        <v>218</v>
      </c>
      <c r="H27">
        <v>300</v>
      </c>
      <c r="I27">
        <v>619</v>
      </c>
      <c r="J27">
        <v>953</v>
      </c>
      <c r="K27">
        <v>1180</v>
      </c>
      <c r="M27" s="46" t="s">
        <v>145</v>
      </c>
      <c r="N27" s="46">
        <v>57.74374885799822</v>
      </c>
      <c r="O27" s="46">
        <v>74.027196064030306</v>
      </c>
      <c r="P27" s="46">
        <v>72.195593775593764</v>
      </c>
      <c r="Q27" s="46">
        <v>55.225773484343776</v>
      </c>
      <c r="R27" s="46">
        <v>142.16205447070914</v>
      </c>
      <c r="S27" s="46">
        <v>103.61684169351128</v>
      </c>
      <c r="T27" s="46">
        <v>68.699329846153844</v>
      </c>
      <c r="U27" s="46">
        <v>96.545710526315801</v>
      </c>
      <c r="V27" s="46">
        <v>81.499614324243339</v>
      </c>
      <c r="W27" s="46">
        <v>69.151447269860043</v>
      </c>
      <c r="X27" s="46">
        <v>73.206489948758374</v>
      </c>
      <c r="Y27" s="46">
        <v>80.100815517294393</v>
      </c>
      <c r="Z27" s="46">
        <v>73.206489948758374</v>
      </c>
    </row>
    <row r="28" spans="1:36" s="46" customFormat="1" x14ac:dyDescent="0.3">
      <c r="A28" s="46" t="s">
        <v>82</v>
      </c>
      <c r="B28">
        <v>973.25</v>
      </c>
      <c r="C28">
        <v>1529.78</v>
      </c>
      <c r="D28">
        <v>1956.89</v>
      </c>
      <c r="E28">
        <v>2102</v>
      </c>
      <c r="F28">
        <v>1327</v>
      </c>
      <c r="G28">
        <v>2904</v>
      </c>
      <c r="H28">
        <v>4447</v>
      </c>
      <c r="I28">
        <v>4623</v>
      </c>
      <c r="J28">
        <v>4535</v>
      </c>
      <c r="K28">
        <v>6801</v>
      </c>
      <c r="M28" s="46" t="s">
        <v>146</v>
      </c>
      <c r="N28" s="46">
        <v>462.75</v>
      </c>
      <c r="O28" s="46">
        <v>942.3</v>
      </c>
      <c r="P28" s="46">
        <v>1141.8499999999999</v>
      </c>
      <c r="Q28" s="46">
        <v>933.7</v>
      </c>
      <c r="R28" s="46">
        <v>1558.05</v>
      </c>
      <c r="S28" s="46">
        <v>2536.15</v>
      </c>
      <c r="T28" s="46">
        <v>2514.9</v>
      </c>
      <c r="U28" s="46">
        <v>3801.8</v>
      </c>
      <c r="V28" s="46">
        <v>3063.35</v>
      </c>
      <c r="W28" s="46">
        <v>3951.4</v>
      </c>
      <c r="X28" s="46">
        <v>4184</v>
      </c>
      <c r="Y28" s="46">
        <v>6944.7141123086094</v>
      </c>
      <c r="Z28" s="46">
        <v>5105.4861357383124</v>
      </c>
    </row>
    <row r="29" spans="1:36" s="46" customFormat="1" x14ac:dyDescent="0.3">
      <c r="A29" s="46" t="s">
        <v>83</v>
      </c>
      <c r="B29">
        <v>275.97000000000003</v>
      </c>
      <c r="C29">
        <v>427.87</v>
      </c>
      <c r="D29">
        <v>568.24</v>
      </c>
      <c r="E29">
        <v>609</v>
      </c>
      <c r="F29">
        <v>353</v>
      </c>
      <c r="G29">
        <v>706</v>
      </c>
      <c r="H29">
        <v>1173</v>
      </c>
      <c r="I29">
        <v>1127</v>
      </c>
      <c r="J29">
        <v>1198</v>
      </c>
      <c r="K29">
        <v>1728</v>
      </c>
    </row>
    <row r="30" spans="1:36" s="46" customFormat="1" x14ac:dyDescent="0.3">
      <c r="A30" s="46" t="s">
        <v>84</v>
      </c>
      <c r="B30">
        <v>711.47</v>
      </c>
      <c r="C30">
        <v>1130.0899999999999</v>
      </c>
      <c r="D30">
        <v>1404.15</v>
      </c>
      <c r="E30">
        <v>1501</v>
      </c>
      <c r="F30">
        <v>973</v>
      </c>
      <c r="G30">
        <v>2173</v>
      </c>
      <c r="H30">
        <v>3250</v>
      </c>
      <c r="I30">
        <v>3496</v>
      </c>
      <c r="J30">
        <v>3337</v>
      </c>
      <c r="K30">
        <v>5073</v>
      </c>
    </row>
    <row r="31" spans="1:36" s="46" customFormat="1" x14ac:dyDescent="0.3">
      <c r="A31" s="46" t="s">
        <v>85</v>
      </c>
      <c r="B31">
        <v>230.83</v>
      </c>
      <c r="C31">
        <v>332.92</v>
      </c>
      <c r="D31">
        <v>443.9</v>
      </c>
      <c r="E31">
        <v>356</v>
      </c>
      <c r="F31">
        <v>356</v>
      </c>
      <c r="G31">
        <v>667.5</v>
      </c>
      <c r="H31">
        <v>890</v>
      </c>
      <c r="I31">
        <v>979</v>
      </c>
      <c r="J31">
        <v>979</v>
      </c>
      <c r="K31">
        <v>1335</v>
      </c>
    </row>
    <row r="32" spans="1:36" s="46" customFormat="1" x14ac:dyDescent="0.3"/>
    <row r="33" spans="1:11" x14ac:dyDescent="0.3">
      <c r="A33" s="46"/>
    </row>
    <row r="34" spans="1:11" x14ac:dyDescent="0.3">
      <c r="A34" s="46"/>
    </row>
    <row r="35" spans="1:11" x14ac:dyDescent="0.3">
      <c r="A35" s="46"/>
    </row>
    <row r="36" spans="1:11" x14ac:dyDescent="0.3">
      <c r="A36" s="46"/>
    </row>
    <row r="37" spans="1:11" x14ac:dyDescent="0.3">
      <c r="A37" s="46"/>
    </row>
    <row r="38" spans="1:11" x14ac:dyDescent="0.3">
      <c r="A38" s="46"/>
    </row>
    <row r="39" spans="1:11" x14ac:dyDescent="0.3">
      <c r="A39" s="46"/>
    </row>
    <row r="40" spans="1:11" x14ac:dyDescent="0.3">
      <c r="A40" s="41" t="s">
        <v>86</v>
      </c>
    </row>
    <row r="41" spans="1:11" s="45" customFormat="1" x14ac:dyDescent="0.3">
      <c r="A41" s="43" t="s">
        <v>70</v>
      </c>
      <c r="B41" s="44">
        <v>45291</v>
      </c>
      <c r="C41" s="44">
        <v>45382</v>
      </c>
      <c r="D41" s="44">
        <v>45473</v>
      </c>
      <c r="E41" s="44">
        <v>45565</v>
      </c>
      <c r="F41" s="44">
        <v>45657</v>
      </c>
      <c r="G41" s="44">
        <v>45747</v>
      </c>
      <c r="H41" s="44">
        <v>45838</v>
      </c>
      <c r="I41" s="44">
        <v>45930</v>
      </c>
      <c r="J41" s="44">
        <v>46022</v>
      </c>
      <c r="K41" s="44">
        <v>46112</v>
      </c>
    </row>
    <row r="42" spans="1:11" s="46" customFormat="1" x14ac:dyDescent="0.3">
      <c r="A42" s="46" t="s">
        <v>71</v>
      </c>
      <c r="B42">
        <v>14164</v>
      </c>
      <c r="C42">
        <v>12494</v>
      </c>
      <c r="D42">
        <v>13266</v>
      </c>
      <c r="E42">
        <v>14534</v>
      </c>
      <c r="F42">
        <v>17740</v>
      </c>
      <c r="G42">
        <v>14916</v>
      </c>
      <c r="H42">
        <v>16523</v>
      </c>
      <c r="I42">
        <v>18725</v>
      </c>
      <c r="J42">
        <v>25416</v>
      </c>
      <c r="K42">
        <v>26920</v>
      </c>
    </row>
    <row r="43" spans="1:11" s="46" customFormat="1" x14ac:dyDescent="0.3">
      <c r="A43" s="46" t="s">
        <v>87</v>
      </c>
      <c r="B43">
        <v>12599</v>
      </c>
      <c r="C43">
        <v>11303</v>
      </c>
      <c r="D43">
        <v>12019</v>
      </c>
      <c r="E43">
        <v>13298</v>
      </c>
      <c r="F43">
        <v>16066</v>
      </c>
      <c r="G43">
        <v>13379</v>
      </c>
      <c r="H43">
        <v>14693</v>
      </c>
      <c r="I43">
        <v>16850</v>
      </c>
      <c r="J43">
        <v>22703</v>
      </c>
      <c r="K43">
        <v>24982</v>
      </c>
    </row>
    <row r="44" spans="1:11" s="46" customFormat="1" x14ac:dyDescent="0.3">
      <c r="A44" s="46" t="s">
        <v>79</v>
      </c>
      <c r="B44">
        <v>136</v>
      </c>
      <c r="C44">
        <v>159</v>
      </c>
      <c r="D44">
        <v>120</v>
      </c>
      <c r="E44">
        <v>123</v>
      </c>
      <c r="F44">
        <v>128</v>
      </c>
      <c r="G44">
        <v>116</v>
      </c>
      <c r="H44">
        <v>105</v>
      </c>
      <c r="I44">
        <v>113</v>
      </c>
      <c r="J44">
        <v>-1</v>
      </c>
      <c r="K44">
        <v>235</v>
      </c>
    </row>
    <row r="45" spans="1:11" s="46" customFormat="1" x14ac:dyDescent="0.3">
      <c r="A45" s="46" t="s">
        <v>80</v>
      </c>
      <c r="B45">
        <v>154</v>
      </c>
      <c r="C45">
        <v>158</v>
      </c>
      <c r="D45">
        <v>164</v>
      </c>
      <c r="E45">
        <v>171</v>
      </c>
      <c r="F45">
        <v>175</v>
      </c>
      <c r="G45">
        <v>183</v>
      </c>
      <c r="H45">
        <v>184</v>
      </c>
      <c r="I45">
        <v>189</v>
      </c>
      <c r="J45">
        <v>207</v>
      </c>
      <c r="K45">
        <v>246</v>
      </c>
    </row>
    <row r="46" spans="1:11" s="46" customFormat="1" x14ac:dyDescent="0.3">
      <c r="A46" s="46" t="s">
        <v>81</v>
      </c>
      <c r="B46">
        <v>169</v>
      </c>
      <c r="C46">
        <v>201</v>
      </c>
      <c r="D46">
        <v>230</v>
      </c>
      <c r="E46">
        <v>240</v>
      </c>
      <c r="F46">
        <v>231</v>
      </c>
      <c r="G46">
        <v>252</v>
      </c>
      <c r="H46">
        <v>271</v>
      </c>
      <c r="I46">
        <v>277</v>
      </c>
      <c r="J46">
        <v>282</v>
      </c>
      <c r="K46">
        <v>350</v>
      </c>
    </row>
    <row r="47" spans="1:11" s="46" customFormat="1" x14ac:dyDescent="0.3">
      <c r="A47" s="46" t="s">
        <v>82</v>
      </c>
      <c r="B47">
        <v>1378</v>
      </c>
      <c r="C47">
        <v>991</v>
      </c>
      <c r="D47">
        <v>973</v>
      </c>
      <c r="E47">
        <v>948</v>
      </c>
      <c r="F47">
        <v>1396</v>
      </c>
      <c r="G47">
        <v>1218</v>
      </c>
      <c r="H47">
        <v>1480</v>
      </c>
      <c r="I47">
        <v>1522</v>
      </c>
      <c r="J47">
        <v>2223</v>
      </c>
      <c r="K47">
        <v>1577</v>
      </c>
    </row>
    <row r="48" spans="1:11" s="46" customFormat="1" x14ac:dyDescent="0.3">
      <c r="A48" s="46" t="s">
        <v>83</v>
      </c>
      <c r="B48">
        <v>325</v>
      </c>
      <c r="C48">
        <v>220</v>
      </c>
      <c r="D48">
        <v>258</v>
      </c>
      <c r="E48">
        <v>244</v>
      </c>
      <c r="F48">
        <v>349</v>
      </c>
      <c r="G48">
        <v>347</v>
      </c>
      <c r="H48">
        <v>389</v>
      </c>
      <c r="I48">
        <v>402</v>
      </c>
      <c r="J48">
        <v>539</v>
      </c>
      <c r="K48">
        <v>398</v>
      </c>
    </row>
    <row r="49" spans="1:25" s="46" customFormat="1" x14ac:dyDescent="0.3">
      <c r="A49" s="46" t="s">
        <v>84</v>
      </c>
      <c r="B49">
        <v>1053</v>
      </c>
      <c r="C49">
        <v>771</v>
      </c>
      <c r="D49">
        <v>715</v>
      </c>
      <c r="E49">
        <v>704</v>
      </c>
      <c r="F49">
        <v>1047</v>
      </c>
      <c r="G49">
        <v>871</v>
      </c>
      <c r="H49">
        <v>1091</v>
      </c>
      <c r="I49">
        <v>1120</v>
      </c>
      <c r="J49">
        <v>1684</v>
      </c>
      <c r="K49">
        <v>1179</v>
      </c>
    </row>
    <row r="50" spans="1:25" x14ac:dyDescent="0.3">
      <c r="A50" s="46" t="s">
        <v>88</v>
      </c>
      <c r="B50">
        <v>1565</v>
      </c>
      <c r="C50">
        <v>1191</v>
      </c>
      <c r="D50">
        <v>1247</v>
      </c>
      <c r="E50">
        <v>1236</v>
      </c>
      <c r="F50">
        <v>1674</v>
      </c>
      <c r="G50">
        <v>1537</v>
      </c>
      <c r="H50">
        <v>1830</v>
      </c>
      <c r="I50">
        <v>1875</v>
      </c>
      <c r="J50">
        <v>2713</v>
      </c>
      <c r="K50">
        <v>1938</v>
      </c>
    </row>
    <row r="51" spans="1:25" x14ac:dyDescent="0.3">
      <c r="A51" s="46"/>
    </row>
    <row r="52" spans="1:25" x14ac:dyDescent="0.3">
      <c r="A52" s="46"/>
    </row>
    <row r="53" spans="1:25" x14ac:dyDescent="0.3">
      <c r="A53" s="46"/>
    </row>
    <row r="54" spans="1:25" x14ac:dyDescent="0.3">
      <c r="A54" s="46"/>
    </row>
    <row r="55" spans="1:25" x14ac:dyDescent="0.3">
      <c r="A55" s="41" t="s">
        <v>89</v>
      </c>
    </row>
    <row r="56" spans="1:25" s="45" customFormat="1" x14ac:dyDescent="0.3">
      <c r="A56" s="43" t="s">
        <v>70</v>
      </c>
      <c r="B56" s="44">
        <v>42825</v>
      </c>
      <c r="C56" s="44">
        <v>43190</v>
      </c>
      <c r="D56" s="44">
        <v>43555</v>
      </c>
      <c r="E56" s="44">
        <v>43921</v>
      </c>
      <c r="F56" s="44">
        <v>44286</v>
      </c>
      <c r="G56" s="44">
        <v>44651</v>
      </c>
      <c r="H56" s="44">
        <v>45016</v>
      </c>
      <c r="I56" s="44">
        <v>45382</v>
      </c>
      <c r="J56" s="44">
        <v>45747</v>
      </c>
      <c r="K56" s="44">
        <v>46112</v>
      </c>
      <c r="N56" s="45">
        <v>42064</v>
      </c>
      <c r="O56" s="45">
        <v>42430</v>
      </c>
      <c r="P56" s="45">
        <v>42795</v>
      </c>
      <c r="Q56" s="45">
        <v>43160</v>
      </c>
      <c r="R56" s="45">
        <v>43525</v>
      </c>
      <c r="S56" s="45">
        <v>43891</v>
      </c>
      <c r="T56" s="45">
        <v>44256</v>
      </c>
      <c r="U56" s="45">
        <v>44621</v>
      </c>
      <c r="V56" s="45">
        <v>44986</v>
      </c>
      <c r="W56" s="45">
        <v>45352</v>
      </c>
      <c r="X56" s="45">
        <v>45717</v>
      </c>
      <c r="Y56" s="45">
        <v>46082</v>
      </c>
    </row>
    <row r="57" spans="1:25" x14ac:dyDescent="0.3">
      <c r="A57" s="46" t="s">
        <v>90</v>
      </c>
      <c r="B57">
        <v>88.78</v>
      </c>
      <c r="C57">
        <v>88.78</v>
      </c>
      <c r="D57">
        <v>88.78</v>
      </c>
      <c r="E57">
        <v>89</v>
      </c>
      <c r="F57">
        <v>89</v>
      </c>
      <c r="G57">
        <v>89</v>
      </c>
      <c r="H57">
        <v>89</v>
      </c>
      <c r="I57">
        <v>89</v>
      </c>
      <c r="J57">
        <v>89</v>
      </c>
      <c r="K57">
        <v>89</v>
      </c>
      <c r="M57" s="42" t="s">
        <v>147</v>
      </c>
      <c r="N57" s="42">
        <v>89</v>
      </c>
      <c r="O57" s="42">
        <v>89</v>
      </c>
      <c r="P57" s="42">
        <v>89</v>
      </c>
      <c r="Q57" s="42">
        <v>89</v>
      </c>
      <c r="R57" s="42">
        <v>89</v>
      </c>
      <c r="S57" s="42">
        <v>89</v>
      </c>
      <c r="T57" s="42">
        <v>89</v>
      </c>
      <c r="U57" s="42">
        <v>89</v>
      </c>
      <c r="V57" s="42">
        <v>89</v>
      </c>
      <c r="W57" s="42">
        <v>89</v>
      </c>
      <c r="X57" s="42">
        <v>89</v>
      </c>
      <c r="Y57" s="42">
        <v>89</v>
      </c>
    </row>
    <row r="58" spans="1:25" x14ac:dyDescent="0.3">
      <c r="A58" s="46" t="s">
        <v>91</v>
      </c>
      <c r="B58">
        <v>4143.6000000000004</v>
      </c>
      <c r="C58">
        <v>5001.1000000000004</v>
      </c>
      <c r="D58">
        <v>5981.37</v>
      </c>
      <c r="E58">
        <v>6580</v>
      </c>
      <c r="F58">
        <v>7408</v>
      </c>
      <c r="G58">
        <v>9214</v>
      </c>
      <c r="H58">
        <v>11762</v>
      </c>
      <c r="I58">
        <v>9304</v>
      </c>
      <c r="J58">
        <v>11535</v>
      </c>
      <c r="K58">
        <v>15614</v>
      </c>
      <c r="M58" s="42" t="s">
        <v>91</v>
      </c>
      <c r="N58" s="42">
        <v>2995</v>
      </c>
      <c r="O58" s="42">
        <v>3418</v>
      </c>
      <c r="P58" s="42">
        <v>4144</v>
      </c>
      <c r="Q58" s="42">
        <v>5001</v>
      </c>
      <c r="R58" s="42">
        <v>5981</v>
      </c>
      <c r="S58" s="42">
        <v>6580</v>
      </c>
      <c r="T58" s="42">
        <v>7408</v>
      </c>
      <c r="U58" s="42">
        <v>9214</v>
      </c>
      <c r="V58" s="42">
        <v>11762</v>
      </c>
      <c r="W58" s="42">
        <v>9304</v>
      </c>
      <c r="X58" s="42">
        <v>11535</v>
      </c>
      <c r="Y58" s="42">
        <v>15614</v>
      </c>
    </row>
    <row r="59" spans="1:25" x14ac:dyDescent="0.3">
      <c r="A59" s="46" t="s">
        <v>92</v>
      </c>
      <c r="B59">
        <v>1882.43</v>
      </c>
      <c r="C59">
        <v>1691.01</v>
      </c>
      <c r="D59">
        <v>2392.98</v>
      </c>
      <c r="E59">
        <v>3562</v>
      </c>
      <c r="F59">
        <v>5638</v>
      </c>
      <c r="G59">
        <v>7275</v>
      </c>
      <c r="H59">
        <v>9367</v>
      </c>
      <c r="I59">
        <v>15528</v>
      </c>
      <c r="J59">
        <v>20777</v>
      </c>
      <c r="K59">
        <v>14551</v>
      </c>
      <c r="M59" s="42" t="s">
        <v>148</v>
      </c>
      <c r="N59" s="42">
        <v>100</v>
      </c>
      <c r="O59" s="42">
        <v>113</v>
      </c>
      <c r="P59" s="42">
        <v>1882</v>
      </c>
      <c r="Q59" s="42">
        <v>1691</v>
      </c>
      <c r="R59" s="42">
        <v>2393</v>
      </c>
      <c r="S59" s="42">
        <v>3562</v>
      </c>
      <c r="T59" s="42">
        <v>5638</v>
      </c>
      <c r="U59" s="42">
        <v>7275</v>
      </c>
      <c r="V59" s="42">
        <v>9367</v>
      </c>
      <c r="W59" s="42">
        <v>15528</v>
      </c>
      <c r="X59" s="42">
        <v>20777</v>
      </c>
      <c r="Y59" s="42">
        <v>14551</v>
      </c>
    </row>
    <row r="60" spans="1:25" x14ac:dyDescent="0.3">
      <c r="A60" s="46" t="s">
        <v>93</v>
      </c>
      <c r="B60">
        <v>2292.7600000000002</v>
      </c>
      <c r="C60">
        <v>2740.15</v>
      </c>
      <c r="D60">
        <v>3246.71</v>
      </c>
      <c r="E60">
        <v>3313</v>
      </c>
      <c r="F60">
        <v>3309</v>
      </c>
      <c r="G60">
        <v>4610</v>
      </c>
      <c r="H60">
        <v>5802</v>
      </c>
      <c r="I60">
        <v>6626</v>
      </c>
      <c r="J60">
        <v>8244</v>
      </c>
      <c r="K60">
        <v>30307</v>
      </c>
      <c r="M60" s="42" t="s">
        <v>149</v>
      </c>
      <c r="N60" s="42">
        <v>2684</v>
      </c>
      <c r="O60" s="42">
        <v>2723</v>
      </c>
      <c r="P60" s="42">
        <v>2293</v>
      </c>
      <c r="Q60" s="42">
        <v>2740</v>
      </c>
      <c r="R60" s="42">
        <v>3247</v>
      </c>
      <c r="S60" s="42">
        <v>3313</v>
      </c>
      <c r="T60" s="42">
        <v>3309</v>
      </c>
      <c r="U60" s="42">
        <v>4610</v>
      </c>
      <c r="V60" s="42">
        <v>5802</v>
      </c>
      <c r="W60" s="42">
        <v>6626</v>
      </c>
      <c r="X60" s="42">
        <v>8244</v>
      </c>
      <c r="Y60" s="42">
        <v>30307</v>
      </c>
    </row>
    <row r="61" spans="1:25" s="41" customFormat="1" x14ac:dyDescent="0.3">
      <c r="A61" s="41" t="s">
        <v>94</v>
      </c>
      <c r="B61">
        <v>8407.57</v>
      </c>
      <c r="C61">
        <v>9521.0400000000009</v>
      </c>
      <c r="D61">
        <v>11709.84</v>
      </c>
      <c r="E61">
        <v>13544</v>
      </c>
      <c r="F61">
        <v>16444</v>
      </c>
      <c r="G61">
        <v>21188</v>
      </c>
      <c r="H61">
        <v>27020</v>
      </c>
      <c r="I61">
        <v>31547</v>
      </c>
      <c r="J61">
        <v>40645</v>
      </c>
      <c r="K61">
        <v>60561</v>
      </c>
      <c r="M61" s="41" t="s">
        <v>150</v>
      </c>
      <c r="N61" s="41">
        <v>0</v>
      </c>
      <c r="O61" s="41">
        <v>0</v>
      </c>
      <c r="P61" s="41">
        <v>26</v>
      </c>
      <c r="Q61" s="41">
        <v>-2</v>
      </c>
      <c r="R61" s="41">
        <v>14</v>
      </c>
      <c r="S61" s="41">
        <v>4</v>
      </c>
      <c r="T61" s="41">
        <v>5</v>
      </c>
      <c r="U61" s="41">
        <v>30</v>
      </c>
      <c r="V61" s="41">
        <v>53</v>
      </c>
      <c r="W61" s="41">
        <v>0</v>
      </c>
      <c r="X61" s="41">
        <v>0</v>
      </c>
      <c r="Y61" s="41">
        <v>0</v>
      </c>
    </row>
    <row r="62" spans="1:25" x14ac:dyDescent="0.3">
      <c r="A62" s="46" t="s">
        <v>95</v>
      </c>
      <c r="B62">
        <v>1188.72</v>
      </c>
      <c r="C62">
        <v>1473.81</v>
      </c>
      <c r="D62">
        <v>1566.63</v>
      </c>
      <c r="E62">
        <v>2633</v>
      </c>
      <c r="F62">
        <v>2523</v>
      </c>
      <c r="G62">
        <v>2544</v>
      </c>
      <c r="H62">
        <v>2998</v>
      </c>
      <c r="I62">
        <v>3709</v>
      </c>
      <c r="J62">
        <v>4062</v>
      </c>
      <c r="K62">
        <v>6906</v>
      </c>
      <c r="M62" s="42" t="s">
        <v>151</v>
      </c>
      <c r="N62" s="42">
        <v>1940</v>
      </c>
      <c r="O62" s="42">
        <v>1655</v>
      </c>
      <c r="P62" s="42">
        <v>783</v>
      </c>
      <c r="Q62" s="42">
        <v>878</v>
      </c>
      <c r="R62" s="42">
        <v>906</v>
      </c>
      <c r="S62" s="42">
        <v>596</v>
      </c>
      <c r="T62" s="42">
        <v>789</v>
      </c>
      <c r="U62" s="42">
        <v>1294</v>
      </c>
      <c r="V62" s="42">
        <v>1214</v>
      </c>
      <c r="W62" s="42">
        <v>1410</v>
      </c>
      <c r="X62" s="42">
        <v>1963</v>
      </c>
      <c r="Y62" s="42">
        <v>2864</v>
      </c>
    </row>
    <row r="63" spans="1:25" x14ac:dyDescent="0.3">
      <c r="A63" s="46" t="s">
        <v>96</v>
      </c>
      <c r="B63">
        <v>152.07</v>
      </c>
      <c r="C63">
        <v>43.37</v>
      </c>
      <c r="D63">
        <v>31.77</v>
      </c>
      <c r="E63">
        <v>18</v>
      </c>
      <c r="F63">
        <v>32</v>
      </c>
      <c r="G63">
        <v>85</v>
      </c>
      <c r="H63">
        <v>144</v>
      </c>
      <c r="I63">
        <v>97</v>
      </c>
      <c r="J63">
        <v>105</v>
      </c>
      <c r="K63">
        <v>135</v>
      </c>
      <c r="M63" s="42" t="s">
        <v>152</v>
      </c>
      <c r="N63" s="42">
        <v>160</v>
      </c>
      <c r="O63" s="42">
        <v>710</v>
      </c>
      <c r="P63" s="42">
        <v>943</v>
      </c>
      <c r="Q63" s="42">
        <v>233</v>
      </c>
      <c r="R63" s="42">
        <v>290</v>
      </c>
      <c r="S63" s="42">
        <v>386</v>
      </c>
      <c r="T63" s="42">
        <v>479</v>
      </c>
      <c r="U63" s="42">
        <v>532</v>
      </c>
      <c r="V63" s="42">
        <v>718</v>
      </c>
      <c r="W63" s="42">
        <v>1085</v>
      </c>
      <c r="X63" s="42">
        <v>2140</v>
      </c>
    </row>
    <row r="64" spans="1:25" x14ac:dyDescent="0.3">
      <c r="A64" s="46" t="s">
        <v>97</v>
      </c>
      <c r="B64">
        <v>430.73</v>
      </c>
      <c r="C64">
        <v>35.99</v>
      </c>
      <c r="D64">
        <v>108.42</v>
      </c>
      <c r="E64">
        <v>158</v>
      </c>
      <c r="F64">
        <v>2824</v>
      </c>
      <c r="G64">
        <v>294</v>
      </c>
      <c r="H64">
        <v>2515</v>
      </c>
      <c r="I64">
        <v>2345</v>
      </c>
      <c r="J64">
        <v>1988</v>
      </c>
      <c r="K64">
        <v>3506</v>
      </c>
      <c r="M64" s="42" t="s">
        <v>153</v>
      </c>
      <c r="N64" s="42">
        <v>585</v>
      </c>
      <c r="O64" s="42">
        <v>358</v>
      </c>
      <c r="P64" s="42">
        <v>541</v>
      </c>
      <c r="Q64" s="42">
        <v>1631</v>
      </c>
      <c r="R64" s="42">
        <v>2037</v>
      </c>
      <c r="S64" s="42">
        <v>2327</v>
      </c>
      <c r="T64" s="42">
        <v>2036</v>
      </c>
      <c r="U64" s="42">
        <v>2754</v>
      </c>
      <c r="V64" s="42">
        <v>3817</v>
      </c>
      <c r="W64" s="42">
        <v>4131</v>
      </c>
      <c r="X64" s="42">
        <v>4141</v>
      </c>
      <c r="Y64" s="42">
        <v>27443</v>
      </c>
    </row>
    <row r="65" spans="1:25" x14ac:dyDescent="0.3">
      <c r="A65" s="46" t="s">
        <v>98</v>
      </c>
      <c r="B65">
        <v>6636.05</v>
      </c>
      <c r="C65">
        <v>7967.87</v>
      </c>
      <c r="D65">
        <v>10003.02</v>
      </c>
      <c r="E65">
        <v>10735</v>
      </c>
      <c r="F65">
        <v>11065</v>
      </c>
      <c r="G65">
        <v>18265</v>
      </c>
      <c r="H65">
        <v>21363</v>
      </c>
      <c r="I65">
        <v>25396</v>
      </c>
      <c r="J65">
        <v>34490</v>
      </c>
      <c r="K65">
        <v>50014</v>
      </c>
      <c r="M65" s="42" t="s">
        <v>154</v>
      </c>
      <c r="N65" s="42">
        <v>5868</v>
      </c>
      <c r="O65" s="42">
        <v>6342</v>
      </c>
      <c r="P65" s="42">
        <v>8408</v>
      </c>
      <c r="Q65" s="42">
        <v>9521</v>
      </c>
      <c r="R65" s="42">
        <v>11710</v>
      </c>
      <c r="S65" s="42">
        <v>13544</v>
      </c>
      <c r="T65" s="42">
        <v>16444</v>
      </c>
      <c r="U65" s="42">
        <v>21188</v>
      </c>
      <c r="V65" s="42">
        <v>27020</v>
      </c>
      <c r="W65" s="42">
        <v>31547</v>
      </c>
      <c r="X65" s="42">
        <v>40645</v>
      </c>
      <c r="Y65" s="42">
        <v>60561</v>
      </c>
    </row>
    <row r="66" spans="1:25" s="41" customFormat="1" x14ac:dyDescent="0.3">
      <c r="A66" s="41" t="s">
        <v>94</v>
      </c>
      <c r="B66">
        <v>8407.57</v>
      </c>
      <c r="C66">
        <v>9521.0400000000009</v>
      </c>
      <c r="D66">
        <v>11709.84</v>
      </c>
      <c r="E66">
        <v>13544</v>
      </c>
      <c r="F66">
        <v>16444</v>
      </c>
      <c r="G66">
        <v>21188</v>
      </c>
      <c r="H66">
        <v>27020</v>
      </c>
      <c r="I66">
        <v>31547</v>
      </c>
      <c r="J66">
        <v>40645</v>
      </c>
      <c r="K66">
        <v>60561</v>
      </c>
      <c r="M66" s="41" t="s">
        <v>155</v>
      </c>
      <c r="N66" s="41">
        <v>699</v>
      </c>
      <c r="O66" s="41">
        <v>771</v>
      </c>
      <c r="P66" s="41">
        <v>1189</v>
      </c>
      <c r="Q66" s="41">
        <v>1474</v>
      </c>
      <c r="R66" s="41">
        <v>1567</v>
      </c>
      <c r="S66" s="41">
        <v>2633</v>
      </c>
      <c r="T66" s="41">
        <v>2523</v>
      </c>
      <c r="U66" s="41">
        <v>2544</v>
      </c>
      <c r="V66" s="41">
        <v>2998</v>
      </c>
      <c r="W66" s="41">
        <v>3709</v>
      </c>
      <c r="X66" s="41">
        <v>4062</v>
      </c>
      <c r="Y66" s="41">
        <v>6906</v>
      </c>
    </row>
    <row r="67" spans="1:25" s="46" customFormat="1" x14ac:dyDescent="0.3">
      <c r="A67" s="46" t="s">
        <v>99</v>
      </c>
      <c r="B67">
        <v>207.6</v>
      </c>
      <c r="C67">
        <v>295.69</v>
      </c>
      <c r="D67">
        <v>420.45</v>
      </c>
      <c r="E67">
        <v>312</v>
      </c>
      <c r="F67">
        <v>366</v>
      </c>
      <c r="G67">
        <v>565</v>
      </c>
      <c r="H67">
        <v>674</v>
      </c>
      <c r="I67">
        <v>1018</v>
      </c>
      <c r="J67">
        <v>1068</v>
      </c>
      <c r="K67">
        <v>916</v>
      </c>
      <c r="M67" s="46" t="s">
        <v>156</v>
      </c>
      <c r="N67" s="46">
        <v>55</v>
      </c>
      <c r="O67" s="46">
        <v>107</v>
      </c>
      <c r="P67" s="46">
        <v>152</v>
      </c>
      <c r="Q67" s="46">
        <v>43</v>
      </c>
      <c r="R67" s="46">
        <v>32</v>
      </c>
      <c r="S67" s="46">
        <v>18</v>
      </c>
      <c r="T67" s="46">
        <v>32</v>
      </c>
      <c r="U67" s="46">
        <v>85</v>
      </c>
      <c r="V67" s="46">
        <v>144</v>
      </c>
      <c r="W67" s="46">
        <v>97</v>
      </c>
      <c r="X67" s="46">
        <v>105</v>
      </c>
      <c r="Y67" s="46">
        <v>135</v>
      </c>
    </row>
    <row r="68" spans="1:25" x14ac:dyDescent="0.3">
      <c r="A68" s="46" t="s">
        <v>100</v>
      </c>
      <c r="B68">
        <v>4925.74</v>
      </c>
      <c r="C68">
        <v>5924.84</v>
      </c>
      <c r="D68">
        <v>7038.82</v>
      </c>
      <c r="E68">
        <v>8103</v>
      </c>
      <c r="F68">
        <v>8408</v>
      </c>
      <c r="G68">
        <v>13609</v>
      </c>
      <c r="H68">
        <v>16584</v>
      </c>
      <c r="I68">
        <v>19051</v>
      </c>
      <c r="J68">
        <v>28184</v>
      </c>
      <c r="K68">
        <v>42743</v>
      </c>
      <c r="M68" s="42" t="s">
        <v>97</v>
      </c>
      <c r="N68" s="42">
        <v>3</v>
      </c>
      <c r="O68" s="42">
        <v>30</v>
      </c>
      <c r="P68" s="42">
        <v>431</v>
      </c>
      <c r="Q68" s="42">
        <v>36</v>
      </c>
      <c r="R68" s="42">
        <v>108</v>
      </c>
      <c r="S68" s="42">
        <v>158</v>
      </c>
      <c r="T68" s="42">
        <v>2824</v>
      </c>
      <c r="U68" s="42">
        <v>294</v>
      </c>
      <c r="V68" s="42">
        <v>2515</v>
      </c>
      <c r="W68" s="42">
        <v>2345</v>
      </c>
      <c r="X68" s="42">
        <v>1988</v>
      </c>
      <c r="Y68" s="42">
        <v>3506</v>
      </c>
    </row>
    <row r="69" spans="1:25" x14ac:dyDescent="0.3">
      <c r="A69" s="42" t="s">
        <v>101</v>
      </c>
      <c r="B69">
        <v>778.93</v>
      </c>
      <c r="C69">
        <v>617.91</v>
      </c>
      <c r="D69">
        <v>1066.48</v>
      </c>
      <c r="E69">
        <v>381</v>
      </c>
      <c r="F69">
        <v>560</v>
      </c>
      <c r="G69">
        <v>1573</v>
      </c>
      <c r="H69">
        <v>1343</v>
      </c>
      <c r="I69">
        <v>1526</v>
      </c>
      <c r="J69">
        <v>1584</v>
      </c>
      <c r="K69">
        <v>1917</v>
      </c>
      <c r="M69" s="42" t="s">
        <v>157</v>
      </c>
      <c r="N69" s="42">
        <v>5111</v>
      </c>
      <c r="O69" s="42">
        <v>5434</v>
      </c>
      <c r="P69" s="42">
        <v>6636</v>
      </c>
      <c r="Q69" s="42">
        <v>7968</v>
      </c>
      <c r="R69" s="42">
        <v>10003</v>
      </c>
      <c r="S69" s="42">
        <v>10735</v>
      </c>
      <c r="T69" s="42">
        <v>11065</v>
      </c>
      <c r="U69" s="42">
        <v>18265</v>
      </c>
      <c r="V69" s="42">
        <v>21363</v>
      </c>
      <c r="W69" s="42">
        <v>25396</v>
      </c>
      <c r="X69" s="42">
        <v>34490</v>
      </c>
      <c r="Y69" s="42">
        <v>50014</v>
      </c>
    </row>
    <row r="70" spans="1:25" x14ac:dyDescent="0.3">
      <c r="A70" s="42" t="s">
        <v>102</v>
      </c>
      <c r="B70">
        <v>887786160</v>
      </c>
      <c r="C70">
        <v>887786160</v>
      </c>
      <c r="D70">
        <v>887786160</v>
      </c>
      <c r="E70">
        <v>887786160</v>
      </c>
      <c r="F70">
        <v>887786160</v>
      </c>
      <c r="G70">
        <v>887786160</v>
      </c>
      <c r="H70">
        <v>890000000</v>
      </c>
      <c r="I70">
        <v>890000000</v>
      </c>
      <c r="J70">
        <v>890000000</v>
      </c>
      <c r="M70" s="42" t="s">
        <v>158</v>
      </c>
      <c r="N70" s="42">
        <v>4049</v>
      </c>
      <c r="O70" s="42">
        <v>4447</v>
      </c>
      <c r="P70" s="42">
        <v>4926</v>
      </c>
      <c r="Q70" s="42">
        <v>5925</v>
      </c>
      <c r="R70" s="42">
        <v>7039</v>
      </c>
      <c r="S70" s="42">
        <v>8103</v>
      </c>
      <c r="T70" s="42">
        <v>8408</v>
      </c>
      <c r="U70" s="42">
        <v>13609</v>
      </c>
      <c r="V70" s="42">
        <v>16584</v>
      </c>
      <c r="W70" s="42">
        <v>19051</v>
      </c>
      <c r="X70" s="42">
        <v>28184</v>
      </c>
      <c r="Y70" s="42">
        <v>42743</v>
      </c>
    </row>
    <row r="71" spans="1:25" x14ac:dyDescent="0.3">
      <c r="A71" s="42" t="s">
        <v>103</v>
      </c>
      <c r="M71" s="42" t="s">
        <v>159</v>
      </c>
      <c r="N71" s="42">
        <v>190</v>
      </c>
      <c r="O71" s="42">
        <v>192</v>
      </c>
      <c r="P71" s="42">
        <v>208</v>
      </c>
      <c r="Q71" s="42">
        <v>296</v>
      </c>
      <c r="R71" s="42">
        <v>420</v>
      </c>
      <c r="S71" s="42">
        <v>312</v>
      </c>
      <c r="T71" s="42">
        <v>366</v>
      </c>
      <c r="U71" s="42">
        <v>565</v>
      </c>
      <c r="V71" s="42">
        <v>674</v>
      </c>
      <c r="W71" s="42">
        <v>1018</v>
      </c>
      <c r="X71" s="42">
        <v>1068</v>
      </c>
      <c r="Y71" s="42">
        <v>916</v>
      </c>
    </row>
    <row r="72" spans="1:25" x14ac:dyDescent="0.3">
      <c r="A72" s="42" t="s">
        <v>104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M72" s="42" t="s">
        <v>160</v>
      </c>
      <c r="N72" s="42">
        <v>214</v>
      </c>
      <c r="O72" s="42">
        <v>116</v>
      </c>
      <c r="P72" s="42">
        <v>779</v>
      </c>
      <c r="Q72" s="42">
        <v>618</v>
      </c>
      <c r="R72" s="42">
        <v>1066</v>
      </c>
      <c r="S72" s="42">
        <v>381</v>
      </c>
      <c r="T72" s="42">
        <v>560</v>
      </c>
      <c r="U72" s="42">
        <v>1573</v>
      </c>
      <c r="V72" s="42">
        <v>1343</v>
      </c>
      <c r="W72" s="42">
        <v>1526</v>
      </c>
      <c r="X72" s="42">
        <v>1584</v>
      </c>
      <c r="Y72" s="42">
        <v>1917</v>
      </c>
    </row>
    <row r="73" spans="1:25" x14ac:dyDescent="0.3">
      <c r="K73" s="46">
        <f>U71+U70-U62</f>
        <v>12880</v>
      </c>
      <c r="M73" s="42" t="s">
        <v>161</v>
      </c>
      <c r="N73" s="42">
        <v>47</v>
      </c>
      <c r="O73" s="42">
        <v>87</v>
      </c>
      <c r="P73" s="42">
        <v>122</v>
      </c>
      <c r="Q73" s="42">
        <v>141</v>
      </c>
      <c r="R73" s="42">
        <v>25</v>
      </c>
      <c r="S73" s="42">
        <v>142</v>
      </c>
      <c r="T73" s="42">
        <v>109</v>
      </c>
      <c r="U73" s="42">
        <v>29</v>
      </c>
      <c r="V73" s="42">
        <v>167</v>
      </c>
      <c r="W73" s="42">
        <v>151</v>
      </c>
      <c r="X73" s="42">
        <v>324</v>
      </c>
      <c r="Y73" s="42">
        <v>1099</v>
      </c>
    </row>
    <row r="74" spans="1:25" x14ac:dyDescent="0.3">
      <c r="A74" s="46"/>
      <c r="M74" s="42" t="s">
        <v>162</v>
      </c>
      <c r="N74" s="42">
        <v>611</v>
      </c>
      <c r="O74" s="42">
        <v>591</v>
      </c>
      <c r="P74" s="42">
        <v>602</v>
      </c>
      <c r="Q74" s="42">
        <v>988</v>
      </c>
      <c r="R74" s="42">
        <v>1452</v>
      </c>
      <c r="S74" s="42">
        <v>1797</v>
      </c>
      <c r="T74" s="42">
        <v>1622</v>
      </c>
      <c r="U74" s="42">
        <v>2489</v>
      </c>
      <c r="V74" s="42">
        <v>2595</v>
      </c>
      <c r="W74" s="42">
        <v>3650</v>
      </c>
      <c r="X74" s="42">
        <v>3330</v>
      </c>
      <c r="Y74" s="42">
        <v>3339</v>
      </c>
    </row>
    <row r="75" spans="1:25" x14ac:dyDescent="0.3">
      <c r="A75" s="46"/>
      <c r="M75" s="42" t="s">
        <v>163</v>
      </c>
      <c r="N75" s="42">
        <v>5868</v>
      </c>
      <c r="O75" s="42">
        <v>6342</v>
      </c>
      <c r="P75" s="42">
        <v>8408</v>
      </c>
      <c r="Q75" s="42">
        <v>9521</v>
      </c>
      <c r="R75" s="42">
        <v>11710</v>
      </c>
      <c r="S75" s="42">
        <v>13544</v>
      </c>
      <c r="T75" s="42">
        <v>16444</v>
      </c>
      <c r="U75" s="42">
        <v>21188</v>
      </c>
      <c r="V75" s="42">
        <v>27020</v>
      </c>
      <c r="W75" s="42">
        <v>31547</v>
      </c>
      <c r="X75" s="42">
        <v>40645</v>
      </c>
      <c r="Y75" s="42">
        <v>60561</v>
      </c>
    </row>
    <row r="76" spans="1:25" x14ac:dyDescent="0.3">
      <c r="A76" s="46"/>
    </row>
    <row r="77" spans="1:25" x14ac:dyDescent="0.3">
      <c r="A77" s="46"/>
    </row>
    <row r="78" spans="1:25" x14ac:dyDescent="0.3">
      <c r="A78" s="46"/>
    </row>
    <row r="79" spans="1:25" x14ac:dyDescent="0.3">
      <c r="A79" s="46"/>
    </row>
    <row r="80" spans="1:25" x14ac:dyDescent="0.3">
      <c r="A80" s="41" t="s">
        <v>105</v>
      </c>
    </row>
    <row r="81" spans="1:25" s="45" customFormat="1" x14ac:dyDescent="0.3">
      <c r="A81" s="43" t="s">
        <v>70</v>
      </c>
      <c r="B81" s="44">
        <v>42825</v>
      </c>
      <c r="C81" s="44">
        <v>43190</v>
      </c>
      <c r="D81" s="44">
        <v>43555</v>
      </c>
      <c r="E81" s="44">
        <v>43921</v>
      </c>
      <c r="F81" s="44">
        <v>44286</v>
      </c>
      <c r="G81" s="44">
        <v>44651</v>
      </c>
      <c r="H81" s="44">
        <v>45016</v>
      </c>
      <c r="I81" s="44">
        <v>45382</v>
      </c>
      <c r="J81" s="44">
        <v>45747</v>
      </c>
      <c r="K81" s="44">
        <v>46112</v>
      </c>
      <c r="N81" s="45">
        <v>42064</v>
      </c>
      <c r="O81" s="45">
        <v>42430</v>
      </c>
      <c r="P81" s="45">
        <v>42795</v>
      </c>
      <c r="Q81" s="45">
        <v>43160</v>
      </c>
      <c r="R81" s="45">
        <v>43525</v>
      </c>
      <c r="S81" s="45">
        <v>43891</v>
      </c>
      <c r="T81" s="45">
        <v>44256</v>
      </c>
      <c r="U81" s="45">
        <v>44621</v>
      </c>
      <c r="V81" s="45">
        <v>44986</v>
      </c>
      <c r="W81" s="45">
        <v>45352</v>
      </c>
      <c r="X81" s="45">
        <v>45717</v>
      </c>
      <c r="Y81" s="45">
        <v>46082</v>
      </c>
    </row>
    <row r="82" spans="1:25" s="41" customFormat="1" x14ac:dyDescent="0.3">
      <c r="A82" s="46" t="s">
        <v>106</v>
      </c>
      <c r="B82">
        <v>1712.3</v>
      </c>
      <c r="C82">
        <v>-51.12</v>
      </c>
      <c r="D82">
        <v>1242.92</v>
      </c>
      <c r="E82">
        <v>-348</v>
      </c>
      <c r="F82">
        <v>4139</v>
      </c>
      <c r="G82">
        <v>-724</v>
      </c>
      <c r="H82">
        <v>1370</v>
      </c>
      <c r="I82">
        <v>1695</v>
      </c>
      <c r="J82">
        <v>-541</v>
      </c>
      <c r="K82">
        <v>5590</v>
      </c>
      <c r="M82" s="41" t="s">
        <v>137</v>
      </c>
      <c r="N82" s="41">
        <v>503</v>
      </c>
      <c r="O82" s="41">
        <v>576</v>
      </c>
      <c r="P82" s="41">
        <v>1712</v>
      </c>
      <c r="Q82" s="41">
        <v>-51</v>
      </c>
      <c r="R82" s="41">
        <v>1243</v>
      </c>
      <c r="S82" s="41">
        <v>-348</v>
      </c>
      <c r="T82" s="41">
        <v>4139</v>
      </c>
      <c r="U82" s="41">
        <v>-724</v>
      </c>
      <c r="V82" s="41">
        <v>1370</v>
      </c>
      <c r="W82" s="41">
        <v>1695</v>
      </c>
      <c r="X82" s="41">
        <v>-541</v>
      </c>
      <c r="Y82" s="41">
        <v>5590</v>
      </c>
    </row>
    <row r="83" spans="1:25" s="46" customFormat="1" x14ac:dyDescent="0.3">
      <c r="A83" s="46" t="s">
        <v>107</v>
      </c>
      <c r="B83">
        <v>-953.15</v>
      </c>
      <c r="C83">
        <v>97.62</v>
      </c>
      <c r="D83">
        <v>-796.61</v>
      </c>
      <c r="E83">
        <v>235</v>
      </c>
      <c r="F83">
        <v>-2799</v>
      </c>
      <c r="G83">
        <v>1165</v>
      </c>
      <c r="H83">
        <v>-1814</v>
      </c>
      <c r="I83">
        <v>-189</v>
      </c>
      <c r="J83">
        <v>546</v>
      </c>
      <c r="K83">
        <v>-2934</v>
      </c>
      <c r="M83" s="46" t="s">
        <v>113</v>
      </c>
      <c r="N83" s="46">
        <v>1163</v>
      </c>
      <c r="O83" s="46">
        <v>942</v>
      </c>
      <c r="P83" s="46">
        <v>1073</v>
      </c>
      <c r="Q83" s="46">
        <v>1642</v>
      </c>
      <c r="R83" s="46">
        <v>2183</v>
      </c>
      <c r="S83" s="46">
        <v>2481</v>
      </c>
      <c r="T83" s="46">
        <v>1789</v>
      </c>
      <c r="U83" s="46">
        <v>3298</v>
      </c>
      <c r="V83" s="46">
        <v>4937</v>
      </c>
      <c r="W83" s="46">
        <v>5404</v>
      </c>
      <c r="X83" s="46">
        <v>5774</v>
      </c>
      <c r="Y83" s="46">
        <v>8447</v>
      </c>
    </row>
    <row r="84" spans="1:25" s="46" customFormat="1" x14ac:dyDescent="0.3">
      <c r="A84" s="46" t="s">
        <v>108</v>
      </c>
      <c r="B84">
        <v>-165.6</v>
      </c>
      <c r="C84">
        <v>-252.45</v>
      </c>
      <c r="D84">
        <v>-488.83</v>
      </c>
      <c r="E84">
        <v>-242</v>
      </c>
      <c r="F84">
        <v>-1234</v>
      </c>
      <c r="G84">
        <v>-403</v>
      </c>
      <c r="H84">
        <v>457</v>
      </c>
      <c r="I84">
        <v>-1329</v>
      </c>
      <c r="J84">
        <v>-7</v>
      </c>
      <c r="K84">
        <v>-2159</v>
      </c>
      <c r="M84" s="46" t="s">
        <v>99</v>
      </c>
      <c r="N84" s="46">
        <v>-39</v>
      </c>
      <c r="O84" s="46">
        <v>0</v>
      </c>
      <c r="P84" s="46">
        <v>-12</v>
      </c>
      <c r="Q84" s="46">
        <v>-90</v>
      </c>
      <c r="R84" s="46">
        <v>-139</v>
      </c>
      <c r="S84" s="46">
        <v>109</v>
      </c>
      <c r="T84" s="46">
        <v>-59</v>
      </c>
      <c r="U84" s="46">
        <v>-207</v>
      </c>
      <c r="V84" s="46">
        <v>-112</v>
      </c>
      <c r="W84" s="46">
        <v>-348</v>
      </c>
      <c r="X84" s="46">
        <v>-95</v>
      </c>
      <c r="Y84" s="46">
        <v>210</v>
      </c>
    </row>
    <row r="85" spans="1:25" s="41" customFormat="1" x14ac:dyDescent="0.3">
      <c r="A85" s="46" t="s">
        <v>109</v>
      </c>
      <c r="B85">
        <v>593.54999999999995</v>
      </c>
      <c r="C85">
        <v>-205.95</v>
      </c>
      <c r="D85">
        <v>-42.52</v>
      </c>
      <c r="E85">
        <v>-355</v>
      </c>
      <c r="F85">
        <v>106</v>
      </c>
      <c r="G85">
        <v>38</v>
      </c>
      <c r="H85">
        <v>13</v>
      </c>
      <c r="I85">
        <v>177</v>
      </c>
      <c r="J85">
        <v>-2</v>
      </c>
      <c r="K85">
        <v>497</v>
      </c>
      <c r="M85" s="41" t="s">
        <v>100</v>
      </c>
      <c r="N85" s="41">
        <v>-180</v>
      </c>
      <c r="O85" s="41">
        <v>-398</v>
      </c>
      <c r="P85" s="41">
        <v>-448</v>
      </c>
      <c r="Q85" s="41">
        <v>-996</v>
      </c>
      <c r="R85" s="41">
        <v>-1120</v>
      </c>
      <c r="S85" s="41">
        <v>-1057</v>
      </c>
      <c r="T85" s="41">
        <v>-316</v>
      </c>
      <c r="U85" s="41">
        <v>-5199</v>
      </c>
      <c r="V85" s="41">
        <v>-2977</v>
      </c>
      <c r="W85" s="41">
        <v>-2462</v>
      </c>
      <c r="X85" s="41">
        <v>-9072</v>
      </c>
      <c r="Y85" s="41">
        <v>-11592</v>
      </c>
    </row>
    <row r="86" spans="1:25" x14ac:dyDescent="0.3">
      <c r="A86" s="46"/>
      <c r="M86" s="42" t="s">
        <v>51</v>
      </c>
      <c r="N86" s="42">
        <v>1079</v>
      </c>
      <c r="O86" s="42">
        <v>-245</v>
      </c>
      <c r="P86" s="42">
        <v>238</v>
      </c>
      <c r="Q86" s="42">
        <v>95</v>
      </c>
      <c r="R86" s="42">
        <v>32</v>
      </c>
      <c r="S86" s="42">
        <v>-310</v>
      </c>
      <c r="T86" s="42">
        <v>195</v>
      </c>
      <c r="U86" s="42">
        <v>504</v>
      </c>
      <c r="V86" s="42">
        <v>-89</v>
      </c>
      <c r="W86" s="42">
        <v>196</v>
      </c>
      <c r="X86" s="42">
        <v>564</v>
      </c>
      <c r="Y86" s="42">
        <v>472</v>
      </c>
    </row>
    <row r="87" spans="1:25" x14ac:dyDescent="0.3">
      <c r="A87" s="46"/>
      <c r="M87" s="42" t="s">
        <v>114</v>
      </c>
      <c r="N87" s="42">
        <v>-71</v>
      </c>
      <c r="O87" s="42">
        <v>-66</v>
      </c>
      <c r="P87" s="42">
        <v>0</v>
      </c>
      <c r="Q87" s="42">
        <v>3</v>
      </c>
      <c r="R87" s="42">
        <v>-24</v>
      </c>
      <c r="S87" s="42">
        <v>-20</v>
      </c>
      <c r="T87" s="42">
        <v>-8</v>
      </c>
      <c r="U87" s="42">
        <v>-3</v>
      </c>
      <c r="V87" s="42">
        <v>-18</v>
      </c>
      <c r="W87" s="42">
        <v>-21</v>
      </c>
      <c r="X87" s="42">
        <v>4</v>
      </c>
      <c r="Y87" s="42">
        <v>7296</v>
      </c>
    </row>
    <row r="88" spans="1:25" x14ac:dyDescent="0.3">
      <c r="A88" s="46"/>
      <c r="M88" s="42" t="s">
        <v>115</v>
      </c>
      <c r="N88" s="42">
        <v>0</v>
      </c>
      <c r="O88" s="42">
        <v>0</v>
      </c>
      <c r="P88" s="42">
        <v>763</v>
      </c>
      <c r="Q88" s="42">
        <v>-270</v>
      </c>
      <c r="R88" s="42">
        <v>741</v>
      </c>
      <c r="S88" s="42">
        <v>-768</v>
      </c>
      <c r="T88" s="42">
        <v>2625</v>
      </c>
      <c r="U88" s="42">
        <v>1188</v>
      </c>
      <c r="V88" s="42">
        <v>-99</v>
      </c>
      <c r="W88" s="42">
        <v>42</v>
      </c>
      <c r="X88" s="42">
        <v>2468</v>
      </c>
      <c r="Y88" s="42">
        <v>0</v>
      </c>
    </row>
    <row r="89" spans="1:25" x14ac:dyDescent="0.3">
      <c r="A89" s="46"/>
      <c r="M89" s="42" t="s">
        <v>116</v>
      </c>
      <c r="N89" s="42">
        <v>-1204</v>
      </c>
      <c r="O89" s="42">
        <v>545</v>
      </c>
      <c r="P89" s="42">
        <v>375</v>
      </c>
      <c r="Q89" s="42">
        <v>22</v>
      </c>
      <c r="R89" s="42">
        <v>206</v>
      </c>
      <c r="S89" s="42">
        <v>-226</v>
      </c>
      <c r="T89" s="42">
        <v>184</v>
      </c>
      <c r="U89" s="42">
        <v>497</v>
      </c>
      <c r="V89" s="42">
        <v>882</v>
      </c>
      <c r="W89" s="42">
        <v>57</v>
      </c>
      <c r="X89" s="42">
        <v>905</v>
      </c>
      <c r="Y89" s="42">
        <v>2494</v>
      </c>
    </row>
    <row r="90" spans="1:25" s="41" customFormat="1" x14ac:dyDescent="0.3">
      <c r="A90" s="41" t="s">
        <v>110</v>
      </c>
      <c r="B90">
        <v>462.75</v>
      </c>
      <c r="C90">
        <v>942.3</v>
      </c>
      <c r="D90">
        <v>1141.8499999999999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  <c r="M90" s="41" t="s">
        <v>117</v>
      </c>
      <c r="N90" s="41">
        <v>-415</v>
      </c>
      <c r="O90" s="41">
        <v>-163</v>
      </c>
      <c r="P90" s="41">
        <v>916</v>
      </c>
      <c r="Q90" s="41">
        <v>-1237</v>
      </c>
      <c r="R90" s="41">
        <v>-304</v>
      </c>
      <c r="S90" s="41">
        <v>-2272</v>
      </c>
      <c r="T90" s="41">
        <v>2621</v>
      </c>
      <c r="U90" s="41">
        <v>-3220</v>
      </c>
      <c r="V90" s="41">
        <v>-2413</v>
      </c>
      <c r="W90" s="41">
        <v>-2536</v>
      </c>
      <c r="X90" s="41">
        <v>-5226</v>
      </c>
      <c r="Y90" s="41">
        <v>-1120</v>
      </c>
    </row>
    <row r="91" spans="1:25" x14ac:dyDescent="0.3">
      <c r="M91" s="42" t="s">
        <v>118</v>
      </c>
      <c r="N91" s="42">
        <v>-245</v>
      </c>
      <c r="O91" s="42">
        <v>-202</v>
      </c>
      <c r="P91" s="42">
        <v>-277</v>
      </c>
      <c r="Q91" s="42">
        <v>-456</v>
      </c>
      <c r="R91" s="42">
        <v>-636</v>
      </c>
      <c r="S91" s="42">
        <v>-557</v>
      </c>
      <c r="T91" s="42">
        <v>-271</v>
      </c>
      <c r="U91" s="42">
        <v>-802</v>
      </c>
      <c r="V91" s="42">
        <v>-1154</v>
      </c>
      <c r="W91" s="42">
        <v>-1173</v>
      </c>
      <c r="X91" s="42">
        <v>-1089</v>
      </c>
      <c r="Y91" s="42">
        <v>-1737</v>
      </c>
    </row>
    <row r="92" spans="1:25" s="41" customFormat="1" x14ac:dyDescent="0.3">
      <c r="A92" s="41" t="s">
        <v>111</v>
      </c>
      <c r="M92" s="41" t="s">
        <v>138</v>
      </c>
      <c r="N92" s="41">
        <v>-118</v>
      </c>
      <c r="O92" s="41">
        <v>-159</v>
      </c>
      <c r="P92" s="41">
        <v>-953</v>
      </c>
      <c r="Q92" s="41">
        <v>98</v>
      </c>
      <c r="R92" s="41">
        <v>-797</v>
      </c>
      <c r="S92" s="41">
        <v>235</v>
      </c>
      <c r="T92" s="41">
        <v>-2799</v>
      </c>
      <c r="U92" s="41">
        <v>1165</v>
      </c>
      <c r="V92" s="41">
        <v>-1814</v>
      </c>
      <c r="W92" s="41">
        <v>-189</v>
      </c>
      <c r="X92" s="41">
        <v>546</v>
      </c>
      <c r="Y92" s="41">
        <v>-2934</v>
      </c>
    </row>
    <row r="93" spans="1:25" x14ac:dyDescent="0.3">
      <c r="A93" s="42" t="s">
        <v>112</v>
      </c>
      <c r="B93" s="47">
        <v>88.78</v>
      </c>
      <c r="C93" s="47">
        <v>88.78</v>
      </c>
      <c r="D93" s="47">
        <v>88.78</v>
      </c>
      <c r="E93" s="47">
        <v>88.78</v>
      </c>
      <c r="F93" s="47">
        <v>88.78</v>
      </c>
      <c r="G93" s="47">
        <v>88.78</v>
      </c>
      <c r="H93" s="47">
        <v>88.78</v>
      </c>
      <c r="I93" s="47">
        <v>88.78</v>
      </c>
      <c r="J93" s="47">
        <v>88.78</v>
      </c>
      <c r="K93" s="47">
        <v>88.78</v>
      </c>
      <c r="M93" s="42" t="s">
        <v>119</v>
      </c>
      <c r="N93" s="42">
        <v>-209</v>
      </c>
      <c r="O93" s="42">
        <v>-254</v>
      </c>
      <c r="P93" s="42">
        <v>-256</v>
      </c>
      <c r="Q93" s="42">
        <v>-305</v>
      </c>
      <c r="R93" s="42">
        <v>-265</v>
      </c>
      <c r="S93" s="42">
        <v>-355</v>
      </c>
      <c r="T93" s="42">
        <v>-146</v>
      </c>
      <c r="U93" s="42">
        <v>-224</v>
      </c>
      <c r="V93" s="42">
        <v>-432</v>
      </c>
      <c r="W93" s="42">
        <v>-691</v>
      </c>
      <c r="X93" s="42">
        <v>-494</v>
      </c>
      <c r="Y93" s="42">
        <v>-902</v>
      </c>
    </row>
    <row r="94" spans="1:25" x14ac:dyDescent="0.3">
      <c r="M94" s="42" t="s">
        <v>120</v>
      </c>
      <c r="N94" s="42">
        <v>2</v>
      </c>
      <c r="O94" s="42">
        <v>2</v>
      </c>
      <c r="P94" s="42">
        <v>5</v>
      </c>
      <c r="Q94" s="42">
        <v>6</v>
      </c>
      <c r="R94" s="42">
        <v>1</v>
      </c>
      <c r="S94" s="42">
        <v>10</v>
      </c>
      <c r="T94" s="42">
        <v>7</v>
      </c>
      <c r="U94" s="42">
        <v>8</v>
      </c>
      <c r="V94" s="42">
        <v>12</v>
      </c>
      <c r="W94" s="42">
        <v>20</v>
      </c>
      <c r="X94" s="42">
        <v>24</v>
      </c>
      <c r="Y94" s="42">
        <v>25</v>
      </c>
    </row>
    <row r="95" spans="1:25" x14ac:dyDescent="0.3">
      <c r="M95" s="42" t="s">
        <v>121</v>
      </c>
      <c r="N95" s="42">
        <v>-135</v>
      </c>
      <c r="O95" s="42">
        <v>-1078</v>
      </c>
      <c r="P95" s="42">
        <v>-325</v>
      </c>
      <c r="Q95" s="42">
        <v>0</v>
      </c>
      <c r="R95" s="42">
        <v>-36</v>
      </c>
      <c r="S95" s="42">
        <v>-13</v>
      </c>
      <c r="T95" s="42">
        <v>-2656</v>
      </c>
      <c r="U95" s="42">
        <v>-253</v>
      </c>
      <c r="V95" s="42">
        <v>-2104</v>
      </c>
      <c r="W95" s="42">
        <v>-21893</v>
      </c>
      <c r="X95" s="42">
        <v>-15342</v>
      </c>
      <c r="Y95" s="42">
        <v>-21936</v>
      </c>
    </row>
    <row r="96" spans="1:25" x14ac:dyDescent="0.3">
      <c r="M96" s="42" t="s">
        <v>122</v>
      </c>
      <c r="N96" s="42">
        <v>135</v>
      </c>
      <c r="O96" s="42">
        <v>1083</v>
      </c>
      <c r="P96" s="42">
        <v>0</v>
      </c>
      <c r="Q96" s="42">
        <v>412</v>
      </c>
      <c r="R96" s="42">
        <v>18</v>
      </c>
      <c r="S96" s="42">
        <v>0</v>
      </c>
      <c r="T96" s="42">
        <v>43</v>
      </c>
      <c r="U96" s="42">
        <v>2870</v>
      </c>
      <c r="V96" s="42">
        <v>0</v>
      </c>
      <c r="W96" s="42">
        <v>22213</v>
      </c>
      <c r="X96" s="42">
        <v>15747</v>
      </c>
      <c r="Y96" s="42">
        <v>20797</v>
      </c>
    </row>
    <row r="97" spans="13:25" x14ac:dyDescent="0.3">
      <c r="M97" s="42" t="s">
        <v>123</v>
      </c>
      <c r="N97" s="42">
        <v>77</v>
      </c>
      <c r="O97" s="42">
        <v>58</v>
      </c>
      <c r="P97" s="42">
        <v>41</v>
      </c>
      <c r="Q97" s="42">
        <v>64</v>
      </c>
      <c r="R97" s="42">
        <v>85</v>
      </c>
      <c r="S97" s="42">
        <v>73</v>
      </c>
      <c r="T97" s="42">
        <v>49</v>
      </c>
      <c r="U97" s="42">
        <v>56</v>
      </c>
      <c r="V97" s="42">
        <v>143</v>
      </c>
      <c r="W97" s="42">
        <v>249</v>
      </c>
      <c r="X97" s="42">
        <v>288</v>
      </c>
      <c r="Y97" s="42">
        <v>227</v>
      </c>
    </row>
    <row r="98" spans="13:25" x14ac:dyDescent="0.3">
      <c r="M98" s="42" t="s">
        <v>124</v>
      </c>
      <c r="N98" s="42">
        <v>0</v>
      </c>
      <c r="O98" s="42">
        <v>0</v>
      </c>
      <c r="P98" s="42">
        <v>0</v>
      </c>
      <c r="Q98" s="42">
        <v>0</v>
      </c>
      <c r="R98" s="42">
        <v>0</v>
      </c>
      <c r="S98" s="42">
        <v>-39</v>
      </c>
      <c r="T98" s="42">
        <v>0</v>
      </c>
      <c r="U98" s="42">
        <v>0</v>
      </c>
      <c r="V98" s="42">
        <v>0</v>
      </c>
      <c r="W98" s="42">
        <v>0</v>
      </c>
      <c r="X98" s="42">
        <v>0</v>
      </c>
      <c r="Y98" s="42">
        <v>0</v>
      </c>
    </row>
    <row r="99" spans="13:25" x14ac:dyDescent="0.3">
      <c r="M99" s="42" t="s">
        <v>125</v>
      </c>
      <c r="N99" s="42">
        <v>0</v>
      </c>
      <c r="O99" s="42">
        <v>-18</v>
      </c>
      <c r="P99" s="42">
        <v>0</v>
      </c>
      <c r="Q99" s="42">
        <v>0</v>
      </c>
      <c r="R99" s="42">
        <v>0</v>
      </c>
      <c r="S99" s="42">
        <v>0</v>
      </c>
      <c r="T99" s="42">
        <v>0</v>
      </c>
      <c r="U99" s="42">
        <v>0</v>
      </c>
      <c r="V99" s="42">
        <v>0</v>
      </c>
      <c r="W99" s="42">
        <v>0</v>
      </c>
      <c r="X99" s="42">
        <v>0</v>
      </c>
      <c r="Y99" s="42">
        <v>0</v>
      </c>
    </row>
    <row r="100" spans="13:25" x14ac:dyDescent="0.3">
      <c r="M100" s="42" t="s">
        <v>126</v>
      </c>
      <c r="N100" s="42">
        <v>0</v>
      </c>
      <c r="O100" s="42">
        <v>0</v>
      </c>
      <c r="P100" s="42">
        <v>-385</v>
      </c>
      <c r="Q100" s="42">
        <v>0</v>
      </c>
      <c r="R100" s="42">
        <v>0</v>
      </c>
      <c r="S100" s="42">
        <v>0</v>
      </c>
      <c r="T100" s="42">
        <v>0</v>
      </c>
      <c r="U100" s="42">
        <v>0</v>
      </c>
      <c r="V100" s="42">
        <v>0</v>
      </c>
      <c r="W100" s="42">
        <v>0</v>
      </c>
      <c r="X100" s="42">
        <v>0</v>
      </c>
      <c r="Y100" s="42">
        <v>0</v>
      </c>
    </row>
    <row r="101" spans="13:25" x14ac:dyDescent="0.3">
      <c r="M101" s="42" t="s">
        <v>127</v>
      </c>
      <c r="N101" s="42">
        <v>-48</v>
      </c>
      <c r="O101" s="42">
        <v>38</v>
      </c>
      <c r="P101" s="42">
        <v>5</v>
      </c>
      <c r="Q101" s="42">
        <v>-35</v>
      </c>
      <c r="R101" s="42">
        <v>-115</v>
      </c>
      <c r="S101" s="42">
        <v>200</v>
      </c>
      <c r="T101" s="42">
        <v>-50</v>
      </c>
      <c r="U101" s="42">
        <v>-344</v>
      </c>
      <c r="V101" s="42">
        <v>294</v>
      </c>
      <c r="W101" s="42">
        <v>-143</v>
      </c>
      <c r="X101" s="42">
        <v>243</v>
      </c>
      <c r="Y101" s="42">
        <v>0</v>
      </c>
    </row>
    <row r="102" spans="13:25" x14ac:dyDescent="0.3">
      <c r="M102" s="42" t="s">
        <v>128</v>
      </c>
      <c r="N102" s="42">
        <v>60</v>
      </c>
      <c r="O102" s="42">
        <v>10</v>
      </c>
      <c r="P102" s="42">
        <v>-38</v>
      </c>
      <c r="Q102" s="42">
        <v>-43</v>
      </c>
      <c r="R102" s="42">
        <v>-485</v>
      </c>
      <c r="S102" s="42">
        <v>359</v>
      </c>
      <c r="T102" s="42">
        <v>-46</v>
      </c>
      <c r="U102" s="42">
        <v>-948</v>
      </c>
      <c r="V102" s="42">
        <v>273</v>
      </c>
      <c r="W102" s="42">
        <v>56</v>
      </c>
      <c r="X102" s="42">
        <v>80</v>
      </c>
      <c r="Y102" s="42">
        <v>-1145</v>
      </c>
    </row>
    <row r="103" spans="13:25" x14ac:dyDescent="0.3">
      <c r="M103" s="42" t="s">
        <v>139</v>
      </c>
      <c r="N103" s="42">
        <v>-1005</v>
      </c>
      <c r="O103" s="42">
        <v>-505</v>
      </c>
      <c r="P103" s="42">
        <v>-166</v>
      </c>
      <c r="Q103" s="42">
        <v>-252</v>
      </c>
      <c r="R103" s="42">
        <v>-489</v>
      </c>
      <c r="S103" s="42">
        <v>-242</v>
      </c>
      <c r="T103" s="42">
        <v>-1234</v>
      </c>
      <c r="U103" s="42">
        <v>-403</v>
      </c>
      <c r="V103" s="42">
        <v>457</v>
      </c>
      <c r="W103" s="42">
        <v>-1329</v>
      </c>
      <c r="X103" s="42">
        <v>-7</v>
      </c>
      <c r="Y103" s="42">
        <v>-2159</v>
      </c>
    </row>
    <row r="104" spans="13:25" x14ac:dyDescent="0.3">
      <c r="M104" s="42" t="s">
        <v>129</v>
      </c>
      <c r="N104" s="42">
        <v>0</v>
      </c>
      <c r="O104" s="42">
        <v>0</v>
      </c>
      <c r="P104" s="42">
        <v>0</v>
      </c>
      <c r="Q104" s="42">
        <v>0</v>
      </c>
      <c r="R104" s="42">
        <v>0</v>
      </c>
      <c r="S104" s="42">
        <v>693</v>
      </c>
      <c r="T104" s="42">
        <v>0</v>
      </c>
      <c r="U104" s="42">
        <v>349</v>
      </c>
      <c r="V104" s="42">
        <v>1684</v>
      </c>
      <c r="W104" s="42">
        <v>5629</v>
      </c>
      <c r="X104" s="42">
        <v>2599</v>
      </c>
      <c r="Y104" s="42">
        <v>3314</v>
      </c>
    </row>
    <row r="105" spans="13:25" x14ac:dyDescent="0.3">
      <c r="M105" s="42" t="s">
        <v>130</v>
      </c>
      <c r="N105" s="42">
        <v>0</v>
      </c>
      <c r="O105" s="42">
        <v>0</v>
      </c>
      <c r="P105" s="42">
        <v>0</v>
      </c>
      <c r="Q105" s="42">
        <v>0</v>
      </c>
      <c r="R105" s="42">
        <v>-39</v>
      </c>
      <c r="S105" s="42">
        <v>0</v>
      </c>
      <c r="T105" s="42">
        <v>-562</v>
      </c>
      <c r="U105" s="42">
        <v>-7</v>
      </c>
      <c r="V105" s="42">
        <v>-7</v>
      </c>
      <c r="W105" s="42">
        <v>0</v>
      </c>
      <c r="X105" s="42">
        <v>-378</v>
      </c>
      <c r="Y105" s="42">
        <v>-2632</v>
      </c>
    </row>
    <row r="106" spans="13:25" x14ac:dyDescent="0.3">
      <c r="M106" s="42" t="s">
        <v>131</v>
      </c>
      <c r="N106" s="42">
        <v>-81</v>
      </c>
      <c r="O106" s="42">
        <v>-42</v>
      </c>
      <c r="P106" s="42">
        <v>-38</v>
      </c>
      <c r="Q106" s="42">
        <v>-54</v>
      </c>
      <c r="R106" s="42">
        <v>-53</v>
      </c>
      <c r="S106" s="42">
        <v>-399</v>
      </c>
      <c r="T106" s="42">
        <v>-317</v>
      </c>
      <c r="U106" s="42">
        <v>-218</v>
      </c>
      <c r="V106" s="42">
        <v>-300</v>
      </c>
      <c r="W106" s="42">
        <v>-619</v>
      </c>
      <c r="X106" s="42">
        <v>-538</v>
      </c>
      <c r="Y106" s="42">
        <v>-1000</v>
      </c>
    </row>
    <row r="107" spans="13:25" x14ac:dyDescent="0.3">
      <c r="M107" s="42" t="s">
        <v>132</v>
      </c>
      <c r="N107" s="42">
        <v>-185</v>
      </c>
      <c r="O107" s="42">
        <v>-394</v>
      </c>
      <c r="P107" s="42">
        <v>-4</v>
      </c>
      <c r="Q107" s="42">
        <v>-277</v>
      </c>
      <c r="R107" s="42">
        <v>-397</v>
      </c>
      <c r="S107" s="42">
        <v>-536</v>
      </c>
      <c r="T107" s="42">
        <v>-355</v>
      </c>
      <c r="U107" s="42">
        <v>-355</v>
      </c>
      <c r="V107" s="42">
        <v>-666</v>
      </c>
      <c r="W107" s="42">
        <v>-888</v>
      </c>
      <c r="X107" s="42">
        <v>-976</v>
      </c>
      <c r="Y107" s="42">
        <v>-976</v>
      </c>
    </row>
    <row r="108" spans="13:25" x14ac:dyDescent="0.3">
      <c r="M108" s="42" t="s">
        <v>133</v>
      </c>
      <c r="N108" s="42">
        <v>0</v>
      </c>
      <c r="O108" s="42">
        <v>0</v>
      </c>
      <c r="P108" s="42">
        <v>0</v>
      </c>
      <c r="Q108" s="42">
        <v>0</v>
      </c>
      <c r="R108" s="42">
        <v>0</v>
      </c>
      <c r="S108" s="42">
        <v>0</v>
      </c>
      <c r="T108" s="42">
        <v>0</v>
      </c>
      <c r="U108" s="42">
        <v>-172</v>
      </c>
      <c r="V108" s="42">
        <v>-254</v>
      </c>
      <c r="W108" s="42">
        <v>-318</v>
      </c>
      <c r="X108" s="42">
        <v>-700</v>
      </c>
      <c r="Y108" s="42">
        <v>-865</v>
      </c>
    </row>
    <row r="109" spans="13:25" x14ac:dyDescent="0.3">
      <c r="M109" s="42" t="s">
        <v>134</v>
      </c>
      <c r="N109" s="42">
        <v>-739</v>
      </c>
      <c r="O109" s="42">
        <v>-68</v>
      </c>
      <c r="P109" s="42">
        <v>-124</v>
      </c>
      <c r="Q109" s="42">
        <v>79</v>
      </c>
      <c r="R109" s="42">
        <v>0</v>
      </c>
      <c r="S109" s="42">
        <v>0</v>
      </c>
      <c r="T109" s="42">
        <v>0</v>
      </c>
      <c r="U109" s="42">
        <v>0</v>
      </c>
      <c r="V109" s="42">
        <v>0</v>
      </c>
      <c r="W109" s="42">
        <v>-5133</v>
      </c>
      <c r="X109" s="42">
        <v>-14</v>
      </c>
      <c r="Y109" s="42">
        <v>0</v>
      </c>
    </row>
    <row r="110" spans="13:25" x14ac:dyDescent="0.3">
      <c r="M110" s="42" t="s">
        <v>109</v>
      </c>
      <c r="N110" s="42">
        <v>-620</v>
      </c>
      <c r="O110" s="42">
        <v>-88</v>
      </c>
      <c r="P110" s="42">
        <v>594</v>
      </c>
      <c r="Q110" s="42">
        <v>-206</v>
      </c>
      <c r="R110" s="42">
        <v>-43</v>
      </c>
      <c r="S110" s="42">
        <v>-355</v>
      </c>
      <c r="T110" s="42">
        <v>106</v>
      </c>
      <c r="U110" s="42">
        <v>38</v>
      </c>
      <c r="V110" s="42">
        <v>13</v>
      </c>
      <c r="W110" s="42">
        <v>177</v>
      </c>
      <c r="X110" s="42">
        <v>-2</v>
      </c>
      <c r="Y110" s="42">
        <v>497</v>
      </c>
    </row>
    <row r="111" spans="13:25" x14ac:dyDescent="0.3">
      <c r="M111" s="42" t="s">
        <v>135</v>
      </c>
      <c r="N111" s="42">
        <v>296</v>
      </c>
      <c r="O111" s="42">
        <v>324</v>
      </c>
      <c r="P111" s="42">
        <v>1461</v>
      </c>
      <c r="Q111" s="42">
        <v>-350</v>
      </c>
      <c r="R111" s="42">
        <v>980</v>
      </c>
      <c r="S111" s="42">
        <v>-693</v>
      </c>
      <c r="T111" s="42">
        <v>4000</v>
      </c>
      <c r="U111" s="42">
        <v>-940</v>
      </c>
      <c r="V111" s="42">
        <v>950</v>
      </c>
      <c r="W111" s="42">
        <v>1024</v>
      </c>
      <c r="X111" s="42">
        <v>-1011</v>
      </c>
      <c r="Y111" s="42">
        <v>4713</v>
      </c>
    </row>
    <row r="112" spans="13:25" x14ac:dyDescent="0.3">
      <c r="M112" s="42" t="s">
        <v>136</v>
      </c>
      <c r="N112" s="48">
        <v>0.65</v>
      </c>
      <c r="O112" s="48">
        <v>0.83</v>
      </c>
      <c r="P112" s="48">
        <v>1.71</v>
      </c>
      <c r="Q112" s="48">
        <v>0.25</v>
      </c>
      <c r="R112" s="48">
        <v>0.94</v>
      </c>
      <c r="S112" s="48">
        <v>0.08</v>
      </c>
      <c r="T112" s="48">
        <v>2.56</v>
      </c>
      <c r="U112" s="48">
        <v>0.02</v>
      </c>
      <c r="V112" s="48">
        <v>0.52</v>
      </c>
      <c r="W112" s="48">
        <v>0.54</v>
      </c>
      <c r="X112" s="48">
        <v>0.1</v>
      </c>
      <c r="Y112" s="48">
        <v>0.88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AA8CA372-90B8-453C-AE77-A9299ACC80BA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TITAN DCF</vt:lpstr>
      <vt:lpstr>Data Sheet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Chandra</dc:creator>
  <cp:lastModifiedBy>Shivansh Chandra</cp:lastModifiedBy>
  <dcterms:created xsi:type="dcterms:W3CDTF">2026-06-14T12:53:48Z</dcterms:created>
  <dcterms:modified xsi:type="dcterms:W3CDTF">2026-06-24T11:04:26Z</dcterms:modified>
</cp:coreProperties>
</file>