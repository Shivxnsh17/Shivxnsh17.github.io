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FP&amp;A &amp; Equity Research\Full Financial Model\"/>
    </mc:Choice>
  </mc:AlternateContent>
  <xr:revisionPtr revIDLastSave="0" documentId="13_ncr:1_{AC24D24B-19BB-4740-AA85-A7D88E62C903}" xr6:coauthVersionLast="47" xr6:coauthVersionMax="47" xr10:uidLastSave="{00000000-0000-0000-0000-000000000000}"/>
  <bookViews>
    <workbookView xWindow="-108" yWindow="-108" windowWidth="23256" windowHeight="13176" tabRatio="764" activeTab="1" xr2:uid="{00000000-000D-0000-FFFF-FFFF00000000}"/>
  </bookViews>
  <sheets>
    <sheet name="Data Sheet" sheetId="6" r:id="rId1"/>
    <sheet name="Income Statement" sheetId="2" r:id="rId2"/>
    <sheet name="Balance Sheet" sheetId="3" r:id="rId3"/>
    <sheet name="Cash Flow Statement" sheetId="4" r:id="rId4"/>
    <sheet name="Key Metrics" sheetId="5" r:id="rId5"/>
    <sheet name="DCF" sheetId="9" r:id="rId6"/>
    <sheet name="Sheet2" sheetId="7" state="hidden" r:id="rId7"/>
  </sheets>
  <definedNames>
    <definedName name="UPDATE" localSheetId="0">'Data Sheet'!$E$1</definedName>
    <definedName name="UPDAT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5" l="1"/>
  <c r="E7" i="5"/>
  <c r="C7" i="5"/>
  <c r="D6" i="5"/>
  <c r="E6" i="5"/>
  <c r="C6" i="5"/>
  <c r="D5" i="5"/>
  <c r="E5" i="5"/>
  <c r="C5" i="5"/>
  <c r="D4" i="5"/>
  <c r="E4" i="5"/>
  <c r="C4" i="5"/>
  <c r="E2" i="5"/>
  <c r="F2" i="5"/>
  <c r="G2" i="5"/>
  <c r="H2" i="5"/>
  <c r="I2" i="5"/>
  <c r="J2" i="5"/>
  <c r="K2" i="5"/>
  <c r="L2" i="5"/>
  <c r="D2" i="5"/>
  <c r="D32" i="9"/>
  <c r="K14" i="9"/>
  <c r="K21" i="9"/>
  <c r="K19" i="9"/>
  <c r="I34" i="2"/>
  <c r="J34" i="2"/>
  <c r="K34" i="2"/>
  <c r="H34" i="2"/>
  <c r="D38" i="9"/>
  <c r="D27" i="9"/>
  <c r="D33" i="9" l="1"/>
  <c r="J36" i="2" l="1"/>
  <c r="K36" i="2"/>
  <c r="I36" i="2"/>
  <c r="J37" i="2"/>
  <c r="K37" i="2"/>
  <c r="I37" i="2"/>
  <c r="H36" i="2"/>
  <c r="H37" i="2"/>
  <c r="D30" i="9" l="1"/>
  <c r="D35" i="2"/>
  <c r="E35" i="2"/>
  <c r="F35" i="2"/>
  <c r="G35" i="2"/>
  <c r="C35" i="2"/>
  <c r="D40" i="9"/>
  <c r="D28" i="9" s="1"/>
  <c r="D34" i="9"/>
  <c r="D42" i="9" l="1"/>
  <c r="K15" i="9" s="1"/>
  <c r="D8" i="9"/>
  <c r="E8" i="9"/>
  <c r="F8" i="9"/>
  <c r="G8" i="9"/>
  <c r="C8" i="9"/>
  <c r="L8" i="9" s="1"/>
  <c r="H8" i="9" s="1"/>
  <c r="I8" i="9" s="1"/>
  <c r="J8" i="9" s="1"/>
  <c r="K8" i="9" s="1"/>
  <c r="D9" i="9"/>
  <c r="E9" i="9"/>
  <c r="F9" i="9"/>
  <c r="G9" i="9"/>
  <c r="H9" i="9"/>
  <c r="I9" i="9"/>
  <c r="J9" i="9"/>
  <c r="K9" i="9"/>
  <c r="C9" i="9"/>
  <c r="I10" i="4"/>
  <c r="J10" i="4"/>
  <c r="K10" i="4" s="1"/>
  <c r="H10" i="4"/>
  <c r="L10" i="4"/>
  <c r="C7" i="9"/>
  <c r="D7" i="9"/>
  <c r="E7" i="9"/>
  <c r="F7" i="9"/>
  <c r="G7" i="9"/>
  <c r="B7" i="9"/>
  <c r="C6" i="9"/>
  <c r="D6" i="9"/>
  <c r="E6" i="9"/>
  <c r="F6" i="9"/>
  <c r="G6" i="9"/>
  <c r="H6" i="9"/>
  <c r="I6" i="9"/>
  <c r="J6" i="9"/>
  <c r="K6" i="9"/>
  <c r="B6" i="9"/>
  <c r="C5" i="9"/>
  <c r="D5" i="9"/>
  <c r="E5" i="9"/>
  <c r="F5" i="9"/>
  <c r="G5" i="9"/>
  <c r="H5" i="9"/>
  <c r="I5" i="9"/>
  <c r="J5" i="9"/>
  <c r="K5" i="9"/>
  <c r="B5" i="9"/>
  <c r="D3" i="9"/>
  <c r="E3" i="9" s="1"/>
  <c r="F3" i="9" s="1"/>
  <c r="G3" i="9" s="1"/>
  <c r="H3" i="9" s="1"/>
  <c r="I3" i="9" s="1"/>
  <c r="J3" i="9" s="1"/>
  <c r="K3" i="9" s="1"/>
  <c r="I13" i="4"/>
  <c r="J13" i="4"/>
  <c r="K13" i="4"/>
  <c r="H13" i="4"/>
  <c r="L13" i="4"/>
  <c r="D42" i="4"/>
  <c r="E42" i="4"/>
  <c r="E44" i="4" s="1"/>
  <c r="F42" i="4"/>
  <c r="G42" i="4"/>
  <c r="C42" i="4"/>
  <c r="D16" i="4"/>
  <c r="D29" i="4" s="1"/>
  <c r="E16" i="4"/>
  <c r="E29" i="4" s="1"/>
  <c r="F16" i="4"/>
  <c r="G16" i="4"/>
  <c r="D17" i="4"/>
  <c r="E17" i="4"/>
  <c r="F17" i="4"/>
  <c r="G17" i="4"/>
  <c r="D18" i="4"/>
  <c r="E18" i="4"/>
  <c r="F18" i="4"/>
  <c r="F29" i="4" s="1"/>
  <c r="L29" i="4" s="1"/>
  <c r="H29" i="4" s="1"/>
  <c r="I29" i="4" s="1"/>
  <c r="J29" i="4" s="1"/>
  <c r="K29" i="4" s="1"/>
  <c r="G18" i="4"/>
  <c r="G29" i="4" s="1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C17" i="4"/>
  <c r="C18" i="4"/>
  <c r="C19" i="4"/>
  <c r="C20" i="4"/>
  <c r="C21" i="4"/>
  <c r="C22" i="4"/>
  <c r="C23" i="4"/>
  <c r="C24" i="4"/>
  <c r="C29" i="4" s="1"/>
  <c r="C25" i="4"/>
  <c r="C26" i="4"/>
  <c r="C27" i="4"/>
  <c r="C28" i="4"/>
  <c r="C16" i="4"/>
  <c r="D32" i="4"/>
  <c r="E32" i="4"/>
  <c r="F32" i="4"/>
  <c r="G32" i="4"/>
  <c r="D33" i="4"/>
  <c r="E33" i="4"/>
  <c r="F33" i="4"/>
  <c r="G33" i="4"/>
  <c r="D34" i="4"/>
  <c r="E34" i="4"/>
  <c r="F34" i="4"/>
  <c r="G34" i="4"/>
  <c r="D35" i="4"/>
  <c r="E35" i="4"/>
  <c r="F35" i="4"/>
  <c r="G35" i="4"/>
  <c r="D36" i="4"/>
  <c r="E36" i="4"/>
  <c r="F36" i="4"/>
  <c r="G36" i="4"/>
  <c r="D37" i="4"/>
  <c r="E37" i="4"/>
  <c r="F37" i="4"/>
  <c r="G37" i="4"/>
  <c r="D38" i="4"/>
  <c r="E38" i="4"/>
  <c r="F38" i="4"/>
  <c r="G38" i="4"/>
  <c r="D39" i="4"/>
  <c r="E39" i="4"/>
  <c r="F39" i="4"/>
  <c r="G39" i="4"/>
  <c r="D40" i="4"/>
  <c r="E40" i="4"/>
  <c r="F40" i="4"/>
  <c r="G40" i="4"/>
  <c r="D41" i="4"/>
  <c r="E41" i="4"/>
  <c r="F41" i="4"/>
  <c r="G41" i="4"/>
  <c r="C33" i="4"/>
  <c r="C34" i="4"/>
  <c r="C35" i="4"/>
  <c r="C36" i="4"/>
  <c r="C37" i="4"/>
  <c r="C38" i="4"/>
  <c r="C39" i="4"/>
  <c r="C40" i="4"/>
  <c r="C41" i="4"/>
  <c r="C32" i="4"/>
  <c r="D12" i="4"/>
  <c r="E12" i="4"/>
  <c r="F12" i="4"/>
  <c r="G12" i="4"/>
  <c r="D11" i="4"/>
  <c r="E11" i="4"/>
  <c r="F11" i="4"/>
  <c r="G11" i="4"/>
  <c r="D10" i="4"/>
  <c r="E10" i="4"/>
  <c r="F10" i="4"/>
  <c r="G10" i="4"/>
  <c r="D9" i="4"/>
  <c r="E9" i="4"/>
  <c r="F9" i="4"/>
  <c r="G9" i="4"/>
  <c r="D7" i="4"/>
  <c r="E7" i="4"/>
  <c r="F7" i="4"/>
  <c r="G7" i="4"/>
  <c r="D6" i="4"/>
  <c r="E6" i="4"/>
  <c r="F6" i="4"/>
  <c r="G6" i="4"/>
  <c r="D5" i="4"/>
  <c r="D13" i="4" s="1"/>
  <c r="E5" i="4"/>
  <c r="E13" i="4" s="1"/>
  <c r="F5" i="4"/>
  <c r="F13" i="4" s="1"/>
  <c r="G5" i="4"/>
  <c r="G13" i="4" s="1"/>
  <c r="C6" i="4"/>
  <c r="C7" i="4"/>
  <c r="C8" i="4"/>
  <c r="C9" i="4"/>
  <c r="C10" i="4"/>
  <c r="C11" i="4"/>
  <c r="C12" i="4"/>
  <c r="C5" i="4"/>
  <c r="C13" i="4" s="1"/>
  <c r="D3" i="4"/>
  <c r="E3" i="4" s="1"/>
  <c r="F3" i="4" s="1"/>
  <c r="G3" i="4" s="1"/>
  <c r="H3" i="4" s="1"/>
  <c r="I3" i="4" s="1"/>
  <c r="J3" i="4" s="1"/>
  <c r="K3" i="4" s="1"/>
  <c r="C16" i="3"/>
  <c r="D16" i="3"/>
  <c r="E16" i="3"/>
  <c r="F16" i="3"/>
  <c r="G16" i="3"/>
  <c r="H16" i="3" s="1"/>
  <c r="I16" i="3" s="1"/>
  <c r="J16" i="3" s="1"/>
  <c r="K16" i="3" s="1"/>
  <c r="C17" i="3"/>
  <c r="D17" i="3"/>
  <c r="E17" i="3"/>
  <c r="F17" i="3"/>
  <c r="G17" i="3"/>
  <c r="H17" i="3" s="1"/>
  <c r="I17" i="3" s="1"/>
  <c r="J17" i="3" s="1"/>
  <c r="K17" i="3" s="1"/>
  <c r="C18" i="3"/>
  <c r="D18" i="3"/>
  <c r="E18" i="3"/>
  <c r="F18" i="3"/>
  <c r="G18" i="3"/>
  <c r="D14" i="3"/>
  <c r="E14" i="3"/>
  <c r="F14" i="3"/>
  <c r="G14" i="3"/>
  <c r="C4" i="3"/>
  <c r="C5" i="3"/>
  <c r="C6" i="3"/>
  <c r="C7" i="3"/>
  <c r="C10" i="3"/>
  <c r="C11" i="3"/>
  <c r="C12" i="3"/>
  <c r="D10" i="3"/>
  <c r="E10" i="3"/>
  <c r="F10" i="3"/>
  <c r="G10" i="3"/>
  <c r="H10" i="3" s="1"/>
  <c r="I10" i="3" s="1"/>
  <c r="J10" i="3" s="1"/>
  <c r="K10" i="3" s="1"/>
  <c r="D11" i="3"/>
  <c r="E11" i="3"/>
  <c r="F11" i="3"/>
  <c r="G11" i="3"/>
  <c r="H11" i="3" s="1"/>
  <c r="I11" i="3" s="1"/>
  <c r="J11" i="3" s="1"/>
  <c r="K11" i="3" s="1"/>
  <c r="D12" i="3"/>
  <c r="E12" i="3"/>
  <c r="F12" i="3"/>
  <c r="G12" i="3"/>
  <c r="H12" i="3" s="1"/>
  <c r="I12" i="3" s="1"/>
  <c r="J12" i="3" s="1"/>
  <c r="K12" i="3" s="1"/>
  <c r="D7" i="3"/>
  <c r="E7" i="3"/>
  <c r="F7" i="3"/>
  <c r="G7" i="3"/>
  <c r="H7" i="3" s="1"/>
  <c r="I7" i="3" s="1"/>
  <c r="J7" i="3" s="1"/>
  <c r="K7" i="3" s="1"/>
  <c r="D6" i="3"/>
  <c r="E6" i="3"/>
  <c r="F6" i="3"/>
  <c r="G6" i="3"/>
  <c r="H6" i="3" s="1"/>
  <c r="I6" i="3" s="1"/>
  <c r="J6" i="3" s="1"/>
  <c r="K6" i="3" s="1"/>
  <c r="D5" i="3"/>
  <c r="E5" i="3"/>
  <c r="F5" i="3"/>
  <c r="G5" i="3"/>
  <c r="H5" i="3" s="1"/>
  <c r="D4" i="3"/>
  <c r="E4" i="3"/>
  <c r="F4" i="3"/>
  <c r="G4" i="3"/>
  <c r="H4" i="3" s="1"/>
  <c r="I4" i="3" s="1"/>
  <c r="D3" i="3"/>
  <c r="E3" i="3" s="1"/>
  <c r="F3" i="3" s="1"/>
  <c r="G3" i="3" s="1"/>
  <c r="H3" i="3" s="1"/>
  <c r="I3" i="3" s="1"/>
  <c r="J3" i="3" s="1"/>
  <c r="K3" i="3" s="1"/>
  <c r="D37" i="2"/>
  <c r="E37" i="2"/>
  <c r="F37" i="2"/>
  <c r="G37" i="2"/>
  <c r="C37" i="2"/>
  <c r="H35" i="2"/>
  <c r="I35" i="2" s="1"/>
  <c r="J35" i="2" s="1"/>
  <c r="K35" i="2" s="1"/>
  <c r="I32" i="2"/>
  <c r="J32" i="2"/>
  <c r="K32" i="2"/>
  <c r="H32" i="2"/>
  <c r="I33" i="2"/>
  <c r="J33" i="2"/>
  <c r="K33" i="2"/>
  <c r="H33" i="2"/>
  <c r="H31" i="2"/>
  <c r="H30" i="2" s="1"/>
  <c r="D30" i="2"/>
  <c r="E30" i="2"/>
  <c r="F30" i="2"/>
  <c r="G30" i="2"/>
  <c r="C30" i="2"/>
  <c r="C29" i="2"/>
  <c r="D29" i="2"/>
  <c r="E29" i="2"/>
  <c r="F29" i="2"/>
  <c r="G29" i="2"/>
  <c r="H29" i="2"/>
  <c r="I29" i="2"/>
  <c r="J29" i="2"/>
  <c r="K29" i="2"/>
  <c r="D34" i="2"/>
  <c r="E34" i="2"/>
  <c r="F34" i="2"/>
  <c r="G34" i="2"/>
  <c r="C34" i="2"/>
  <c r="D26" i="2"/>
  <c r="E26" i="2"/>
  <c r="F26" i="2"/>
  <c r="F27" i="2" s="1"/>
  <c r="G26" i="2"/>
  <c r="G27" i="2" s="1"/>
  <c r="H27" i="2" s="1"/>
  <c r="I27" i="2" s="1"/>
  <c r="J27" i="2" s="1"/>
  <c r="K27" i="2" s="1"/>
  <c r="C26" i="2"/>
  <c r="D21" i="2"/>
  <c r="E21" i="2"/>
  <c r="F21" i="2"/>
  <c r="G21" i="2"/>
  <c r="D20" i="2"/>
  <c r="E20" i="2"/>
  <c r="F20" i="2"/>
  <c r="G20" i="2"/>
  <c r="D19" i="2"/>
  <c r="E19" i="2"/>
  <c r="F19" i="2"/>
  <c r="G19" i="2"/>
  <c r="G22" i="2" s="1"/>
  <c r="G23" i="2" s="1"/>
  <c r="H23" i="2" s="1"/>
  <c r="I23" i="2" s="1"/>
  <c r="J23" i="2" s="1"/>
  <c r="K23" i="2" s="1"/>
  <c r="C20" i="2"/>
  <c r="C21" i="2"/>
  <c r="C19" i="2"/>
  <c r="B20" i="2"/>
  <c r="B21" i="2"/>
  <c r="B19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D8" i="2"/>
  <c r="E8" i="2"/>
  <c r="F8" i="2"/>
  <c r="G8" i="2"/>
  <c r="C8" i="2"/>
  <c r="B9" i="2"/>
  <c r="B10" i="2"/>
  <c r="B11" i="2"/>
  <c r="B8" i="2"/>
  <c r="D4" i="2"/>
  <c r="E4" i="2"/>
  <c r="E5" i="2" s="1"/>
  <c r="F4" i="2"/>
  <c r="G4" i="2"/>
  <c r="G5" i="2" s="1"/>
  <c r="C4" i="2"/>
  <c r="D3" i="2"/>
  <c r="E3" i="2" s="1"/>
  <c r="F3" i="2" s="1"/>
  <c r="G3" i="2" s="1"/>
  <c r="H3" i="2" s="1"/>
  <c r="I3" i="2" s="1"/>
  <c r="J3" i="2" s="1"/>
  <c r="K3" i="2" s="1"/>
  <c r="B6" i="6"/>
  <c r="E1" i="6"/>
  <c r="D44" i="4" l="1"/>
  <c r="F44" i="4"/>
  <c r="C44" i="4"/>
  <c r="G44" i="4"/>
  <c r="L42" i="4"/>
  <c r="H42" i="4" s="1"/>
  <c r="D10" i="9"/>
  <c r="G10" i="9"/>
  <c r="F10" i="9"/>
  <c r="E10" i="9"/>
  <c r="C10" i="9"/>
  <c r="K7" i="9"/>
  <c r="K10" i="9" s="1"/>
  <c r="F13" i="3"/>
  <c r="E13" i="3"/>
  <c r="D13" i="3"/>
  <c r="C19" i="3"/>
  <c r="C13" i="3"/>
  <c r="C14" i="3" s="1"/>
  <c r="H8" i="3"/>
  <c r="I5" i="3"/>
  <c r="J5" i="3" s="1"/>
  <c r="K5" i="3" s="1"/>
  <c r="J4" i="3"/>
  <c r="I8" i="3"/>
  <c r="G13" i="3"/>
  <c r="H13" i="3" s="1"/>
  <c r="I13" i="3" s="1"/>
  <c r="C20" i="3"/>
  <c r="C8" i="3"/>
  <c r="G19" i="3"/>
  <c r="D19" i="3"/>
  <c r="D20" i="3" s="1"/>
  <c r="F19" i="3"/>
  <c r="F20" i="3" s="1"/>
  <c r="E19" i="3"/>
  <c r="E20" i="3" s="1"/>
  <c r="I31" i="2"/>
  <c r="H28" i="2"/>
  <c r="C27" i="2"/>
  <c r="C13" i="2"/>
  <c r="G13" i="2"/>
  <c r="G16" i="2" s="1"/>
  <c r="F13" i="2"/>
  <c r="E13" i="2"/>
  <c r="E16" i="2" s="1"/>
  <c r="D22" i="2"/>
  <c r="D23" i="2" s="1"/>
  <c r="F31" i="2"/>
  <c r="D13" i="2"/>
  <c r="D14" i="2" s="1"/>
  <c r="E31" i="2"/>
  <c r="D31" i="2"/>
  <c r="C22" i="2"/>
  <c r="C23" i="2" s="1"/>
  <c r="F22" i="2"/>
  <c r="F23" i="2" s="1"/>
  <c r="C31" i="2"/>
  <c r="E22" i="2"/>
  <c r="E23" i="2" s="1"/>
  <c r="D27" i="2"/>
  <c r="G31" i="2"/>
  <c r="H5" i="2"/>
  <c r="I5" i="2" s="1"/>
  <c r="J5" i="2" s="1"/>
  <c r="K5" i="2" s="1"/>
  <c r="H4" i="2"/>
  <c r="E14" i="2"/>
  <c r="F16" i="2"/>
  <c r="F14" i="2"/>
  <c r="C14" i="2"/>
  <c r="C16" i="2"/>
  <c r="E27" i="2"/>
  <c r="F5" i="2"/>
  <c r="D5" i="2"/>
  <c r="H44" i="4" l="1"/>
  <c r="H18" i="3" s="1"/>
  <c r="H19" i="3" s="1"/>
  <c r="I42" i="4"/>
  <c r="K11" i="9"/>
  <c r="J7" i="9"/>
  <c r="J10" i="9" s="1"/>
  <c r="J11" i="9" s="1"/>
  <c r="H7" i="9"/>
  <c r="H10" i="9" s="1"/>
  <c r="I7" i="9"/>
  <c r="I10" i="9" s="1"/>
  <c r="I11" i="9" s="1"/>
  <c r="H14" i="3"/>
  <c r="K4" i="3"/>
  <c r="K8" i="3" s="1"/>
  <c r="J8" i="3"/>
  <c r="J13" i="3"/>
  <c r="I14" i="3"/>
  <c r="G20" i="3"/>
  <c r="J31" i="2"/>
  <c r="I30" i="2"/>
  <c r="I28" i="2"/>
  <c r="H26" i="2"/>
  <c r="H22" i="2"/>
  <c r="G17" i="2"/>
  <c r="G24" i="2"/>
  <c r="D16" i="2"/>
  <c r="D24" i="2" s="1"/>
  <c r="G14" i="2"/>
  <c r="H14" i="2" s="1"/>
  <c r="I14" i="2" s="1"/>
  <c r="J14" i="2" s="1"/>
  <c r="K14" i="2" s="1"/>
  <c r="G25" i="2"/>
  <c r="G28" i="2"/>
  <c r="H13" i="2"/>
  <c r="H16" i="2"/>
  <c r="I4" i="2"/>
  <c r="E24" i="2"/>
  <c r="E17" i="2"/>
  <c r="C24" i="2"/>
  <c r="C17" i="2"/>
  <c r="F24" i="2"/>
  <c r="F17" i="2"/>
  <c r="H20" i="3" l="1"/>
  <c r="I44" i="4"/>
  <c r="I18" i="3" s="1"/>
  <c r="I19" i="3" s="1"/>
  <c r="I20" i="3" s="1"/>
  <c r="J42" i="4"/>
  <c r="H11" i="9"/>
  <c r="K16" i="9"/>
  <c r="K17" i="9" s="1"/>
  <c r="K13" i="3"/>
  <c r="K14" i="3" s="1"/>
  <c r="J14" i="3"/>
  <c r="J30" i="2"/>
  <c r="K31" i="2"/>
  <c r="K30" i="2" s="1"/>
  <c r="J28" i="2"/>
  <c r="K28" i="2"/>
  <c r="I26" i="2"/>
  <c r="I22" i="2"/>
  <c r="D17" i="2"/>
  <c r="E25" i="2"/>
  <c r="E28" i="2"/>
  <c r="I13" i="2"/>
  <c r="J4" i="2"/>
  <c r="I16" i="2"/>
  <c r="H17" i="2"/>
  <c r="H24" i="2"/>
  <c r="H25" i="2" s="1"/>
  <c r="F25" i="2"/>
  <c r="F28" i="2"/>
  <c r="G32" i="2"/>
  <c r="D25" i="2"/>
  <c r="D28" i="2"/>
  <c r="C25" i="2"/>
  <c r="C28" i="2"/>
  <c r="K42" i="4" l="1"/>
  <c r="K44" i="4" s="1"/>
  <c r="K18" i="3" s="1"/>
  <c r="J44" i="4"/>
  <c r="J18" i="3" s="1"/>
  <c r="J19" i="3" s="1"/>
  <c r="J20" i="3" s="1"/>
  <c r="J26" i="2"/>
  <c r="J22" i="2"/>
  <c r="G33" i="2"/>
  <c r="G36" i="2"/>
  <c r="F32" i="2"/>
  <c r="I17" i="2"/>
  <c r="I24" i="2"/>
  <c r="I25" i="2" s="1"/>
  <c r="J13" i="2"/>
  <c r="K4" i="2"/>
  <c r="J16" i="2"/>
  <c r="E32" i="2"/>
  <c r="D32" i="2"/>
  <c r="C32" i="2"/>
  <c r="K18" i="9" l="1"/>
  <c r="K20" i="9" s="1"/>
  <c r="K23" i="9" s="1"/>
  <c r="K24" i="9" s="1"/>
  <c r="K19" i="3"/>
  <c r="K20" i="3" s="1"/>
  <c r="K26" i="2"/>
  <c r="K22" i="2"/>
  <c r="J24" i="2"/>
  <c r="J25" i="2" s="1"/>
  <c r="J17" i="2"/>
  <c r="K13" i="2"/>
  <c r="K16" i="2"/>
  <c r="F33" i="2"/>
  <c r="F36" i="2"/>
  <c r="D33" i="2"/>
  <c r="D36" i="2"/>
  <c r="E33" i="2"/>
  <c r="E36" i="2"/>
  <c r="C33" i="2"/>
  <c r="C36" i="2"/>
  <c r="K24" i="2" l="1"/>
  <c r="K25" i="2" s="1"/>
  <c r="K17" i="2"/>
</calcChain>
</file>

<file path=xl/sharedStrings.xml><?xml version="1.0" encoding="utf-8"?>
<sst xmlns="http://schemas.openxmlformats.org/spreadsheetml/2006/main" count="246" uniqueCount="171">
  <si>
    <t>Tax Rate</t>
  </si>
  <si>
    <t>Income Statement (₹ Cr)</t>
  </si>
  <si>
    <t>COGS</t>
  </si>
  <si>
    <t>Gross Profit</t>
  </si>
  <si>
    <t>Gross Margin %</t>
  </si>
  <si>
    <t>EBITDA</t>
  </si>
  <si>
    <t>EBITDA Margin %</t>
  </si>
  <si>
    <t>D&amp;A</t>
  </si>
  <si>
    <t>EBIT</t>
  </si>
  <si>
    <t>EBIT Margin %</t>
  </si>
  <si>
    <t>Other Income</t>
  </si>
  <si>
    <t>EBT</t>
  </si>
  <si>
    <t>Net Income</t>
  </si>
  <si>
    <t>Net Margin %</t>
  </si>
  <si>
    <t>Balance Sheet (₹ Cr)</t>
  </si>
  <si>
    <t>Inventory</t>
  </si>
  <si>
    <t>Total Current Assets</t>
  </si>
  <si>
    <t>Change in Inventory</t>
  </si>
  <si>
    <t>Key Metrics &amp; Ratios</t>
  </si>
  <si>
    <t>PROFITABILITY RATIOS</t>
  </si>
  <si>
    <t>ROE (Return on Equity)</t>
  </si>
  <si>
    <t>ROA (Return on Assets)</t>
  </si>
  <si>
    <t>LIQUIDITY RATIOS</t>
  </si>
  <si>
    <t>Current Ratio</t>
  </si>
  <si>
    <t>Quick Ratio</t>
  </si>
  <si>
    <t>LEVERAGE RATIOS</t>
  </si>
  <si>
    <t>Debt-to-Equity</t>
  </si>
  <si>
    <t>Interest Coverage</t>
  </si>
  <si>
    <t>GROWTH METRICS</t>
  </si>
  <si>
    <t>Revenue Growth %</t>
  </si>
  <si>
    <t>EBITDA Growth %</t>
  </si>
  <si>
    <t>Net Income Growth %</t>
  </si>
  <si>
    <t>Sales</t>
  </si>
  <si>
    <t>Interest</t>
  </si>
  <si>
    <t>Tax</t>
  </si>
  <si>
    <t>Total COGS</t>
  </si>
  <si>
    <t>x</t>
  </si>
  <si>
    <t>Sales Growth %</t>
  </si>
  <si>
    <t>Total OpEx</t>
  </si>
  <si>
    <t>D&amp;A as % Sales</t>
  </si>
  <si>
    <t>COGS % of Sales</t>
  </si>
  <si>
    <t>Gross Margin % Sales</t>
  </si>
  <si>
    <t>EBITDA Margin % Sales</t>
  </si>
  <si>
    <t>EBIT Margin % Sales</t>
  </si>
  <si>
    <t>Interest % Sales</t>
  </si>
  <si>
    <t>EBT % Sales</t>
  </si>
  <si>
    <t>Operating Expenses/SG&amp;A</t>
  </si>
  <si>
    <t>COMPANY NAME</t>
  </si>
  <si>
    <t>TATA CONSUMER PRODUCTS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</si>
  <si>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</si>
  <si>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</si>
  <si>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</si>
  <si>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</si>
  <si>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</si>
  <si>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</si>
  <si>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</si>
  <si>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</si>
  <si>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</si>
  <si>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</si>
  <si>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Raw Material Cost</t>
  </si>
  <si>
    <t>Power and Fuel</t>
  </si>
  <si>
    <t>Other Mfr. Exp</t>
  </si>
  <si>
    <t>Employee Cost</t>
  </si>
  <si>
    <t>Selling and admin</t>
  </si>
  <si>
    <t>Other Expenses</t>
  </si>
  <si>
    <t>Depreciation</t>
  </si>
  <si>
    <t>Profit before 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</si>
  <si>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</si>
  <si>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</si>
  <si>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</si>
  <si>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</si>
  <si>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</si>
  <si>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</si>
  <si>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</si>
  <si>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</si>
  <si>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</si>
  <si>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</si>
  <si>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</si>
  <si>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</si>
  <si>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</si>
  <si>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</si>
  <si>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</si>
  <si>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</si>
  <si>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</si>
  <si>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</si>
  <si>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</si>
  <si>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</si>
  <si>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</si>
  <si>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</si>
  <si>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</si>
  <si>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</si>
  <si>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</si>
  <si>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</si>
  <si>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</si>
  <si>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</si>
  <si>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TATA Consumers.</t>
  </si>
  <si>
    <t>OpEx % Sales</t>
  </si>
  <si>
    <t>Total Liabilities</t>
  </si>
  <si>
    <t>Total Assets</t>
  </si>
  <si>
    <t>Tata Consumers</t>
  </si>
  <si>
    <t>Fixed Assets Net Block</t>
  </si>
  <si>
    <t>Total Non Current Assets</t>
  </si>
  <si>
    <t>Profit from operations</t>
  </si>
  <si>
    <t>Payables</t>
  </si>
  <si>
    <t>Other WC items</t>
  </si>
  <si>
    <t>Working capital changes</t>
  </si>
  <si>
    <t>Direct taxes</t>
  </si>
  <si>
    <t>Other operating items</t>
  </si>
  <si>
    <t>Cash from Investing Activity -</t>
  </si>
  <si>
    <t>Fixed assets purchased</t>
  </si>
  <si>
    <t>Fixed assets sold</t>
  </si>
  <si>
    <t>Investments purchased</t>
  </si>
  <si>
    <t>Investments sold</t>
  </si>
  <si>
    <t>Investment income</t>
  </si>
  <si>
    <t>Interest received</t>
  </si>
  <si>
    <t>Dividends received</t>
  </si>
  <si>
    <t>Invest in subsidiaries</t>
  </si>
  <si>
    <t>Investment in group cos</t>
  </si>
  <si>
    <t>Redemp n Canc of Shares</t>
  </si>
  <si>
    <t>Acquisition of companies</t>
  </si>
  <si>
    <t>Inter corporate deposits</t>
  </si>
  <si>
    <t>Other investing items</t>
  </si>
  <si>
    <t>Cash from Financing Activity -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</si>
  <si>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</si>
  <si>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</si>
  <si>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</si>
  <si>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</si>
  <si>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</si>
  <si>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</si>
  <si>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</si>
  <si>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</si>
  <si>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</si>
  <si>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</si>
  <si>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t xml:space="preserve">Cash from Operating Activity </t>
  </si>
  <si>
    <t xml:space="preserve">Operating Activity </t>
  </si>
  <si>
    <t>Operating Activity</t>
  </si>
  <si>
    <t xml:space="preserve">Cash From Investing Activity </t>
  </si>
  <si>
    <t>Financing Activity</t>
  </si>
  <si>
    <t>Cash From Financing Activity</t>
  </si>
  <si>
    <t>Investing Activity</t>
  </si>
  <si>
    <t>+</t>
  </si>
  <si>
    <t>-</t>
  </si>
  <si>
    <t>Capex</t>
  </si>
  <si>
    <t>Change in Working Capital</t>
  </si>
  <si>
    <t>Unlevered Free Cash Flow</t>
  </si>
  <si>
    <t>WACC</t>
  </si>
  <si>
    <t>% Debt</t>
  </si>
  <si>
    <t>Cost of Debt</t>
  </si>
  <si>
    <t>% Equity</t>
  </si>
  <si>
    <t>Cost of Equity</t>
  </si>
  <si>
    <t>Risk Free Rate</t>
  </si>
  <si>
    <t>Beta</t>
  </si>
  <si>
    <t>Market Risk Premium</t>
  </si>
  <si>
    <t>Debt + Equity</t>
  </si>
  <si>
    <t>Tax % EBT</t>
  </si>
  <si>
    <t>Equity Value</t>
  </si>
  <si>
    <t xml:space="preserve">Debt </t>
  </si>
  <si>
    <t>TATA CONS. Return</t>
  </si>
  <si>
    <t xml:space="preserve">Net Income % Sales </t>
  </si>
  <si>
    <t>PV of FCF</t>
  </si>
  <si>
    <t>Terminal Value</t>
  </si>
  <si>
    <t>PV of TV</t>
  </si>
  <si>
    <t>EV</t>
  </si>
  <si>
    <t>Cash</t>
  </si>
  <si>
    <t>Debt</t>
  </si>
  <si>
    <t>Shares</t>
  </si>
  <si>
    <t xml:space="preserve">Current share price </t>
  </si>
  <si>
    <t>Implied Share Price</t>
  </si>
  <si>
    <t xml:space="preserve">Implied Share Price is </t>
  </si>
  <si>
    <t>positive/(negative) than current</t>
  </si>
  <si>
    <t>Terminal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</si>
</sst>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₹&quot;\ #,##0.00;[Red]&quot;₹&quot;\ \-#,##0.00"/>
    <numFmt numFmtId="43" formatCode="_ * #,##0.00_ ;_ * \-#,##0.00_ ;_ * &quot;-&quot;??_ ;_ @_ "/>
    <numFmt numFmtId="164" formatCode="0.0%"/>
    <numFmt numFmtId="165" formatCode="General&quot;A&quot;"/>
    <numFmt numFmtId="166" formatCode="General&quot;E&quot;"/>
    <numFmt numFmtId="167" formatCode="0.0"/>
    <numFmt numFmtId="168" formatCode="[$-409]mmm\-yy;@"/>
    <numFmt numFmtId="169" formatCode="_(* #,##0.00_);_(* \(#,##0.00\);_(* &quot;-&quot;??_);_(@_)"/>
    <numFmt numFmtId="170" formatCode="#,##0.0"/>
    <numFmt numFmtId="171" formatCode="0&quot;E&quot;"/>
    <numFmt numFmtId="172" formatCode="General&quot;X&quot;"/>
  </numFmts>
  <fonts count="1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1"/>
      <name val="Calibri"/>
      <family val="2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0.79989013336588644"/>
        <bgColor rgb="FFF2F2F2"/>
      </patternFill>
    </fill>
    <fill>
      <patternFill patternType="solid">
        <fgColor theme="0" tint="-4.9989318521683403E-2"/>
        <bgColor rgb="FFF0F0F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4" borderId="0" applyNumberFormat="0" applyBorder="0" applyAlignment="0" applyProtection="0"/>
  </cellStyleXfs>
  <cellXfs count="69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horizontal="left" indent="1"/>
    </xf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43" fontId="3" fillId="0" borderId="1" xfId="0" applyNumberFormat="1" applyFont="1" applyBorder="1"/>
    <xf numFmtId="164" fontId="0" fillId="0" borderId="0" xfId="0" applyNumberFormat="1"/>
    <xf numFmtId="167" fontId="0" fillId="0" borderId="0" xfId="0" applyNumberFormat="1"/>
    <xf numFmtId="0" fontId="0" fillId="3" borderId="0" xfId="0" applyFill="1" applyAlignment="1">
      <alignment horizontal="centerContinuous"/>
    </xf>
    <xf numFmtId="0" fontId="5" fillId="0" borderId="0" xfId="0" applyFont="1" applyAlignment="1">
      <alignment horizontal="left"/>
    </xf>
    <xf numFmtId="164" fontId="5" fillId="0" borderId="0" xfId="0" applyNumberFormat="1" applyFont="1"/>
    <xf numFmtId="10" fontId="5" fillId="0" borderId="0" xfId="0" applyNumberFormat="1" applyFont="1"/>
    <xf numFmtId="0" fontId="3" fillId="0" borderId="3" xfId="0" applyFont="1" applyBorder="1" applyAlignment="1">
      <alignment horizontal="left"/>
    </xf>
    <xf numFmtId="43" fontId="3" fillId="0" borderId="0" xfId="2" applyFont="1" applyBorder="1"/>
    <xf numFmtId="43" fontId="0" fillId="0" borderId="0" xfId="2" applyFont="1" applyBorder="1"/>
    <xf numFmtId="168" fontId="7" fillId="5" borderId="0" xfId="2" applyNumberFormat="1" applyFont="1" applyFill="1" applyBorder="1"/>
    <xf numFmtId="168" fontId="7" fillId="5" borderId="0" xfId="0" applyNumberFormat="1" applyFont="1" applyFill="1" applyAlignment="1">
      <alignment horizontal="center"/>
    </xf>
    <xf numFmtId="168" fontId="9" fillId="0" borderId="0" xfId="2" applyNumberFormat="1" applyFont="1" applyFill="1" applyBorder="1"/>
    <xf numFmtId="43" fontId="6" fillId="0" borderId="0" xfId="2" applyFont="1" applyBorder="1"/>
    <xf numFmtId="169" fontId="0" fillId="0" borderId="0" xfId="2" applyNumberFormat="1" applyFont="1" applyBorder="1"/>
    <xf numFmtId="9" fontId="0" fillId="0" borderId="0" xfId="0" applyNumberFormat="1"/>
    <xf numFmtId="167" fontId="10" fillId="0" borderId="0" xfId="0" applyNumberFormat="1" applyFont="1"/>
    <xf numFmtId="43" fontId="10" fillId="0" borderId="0" xfId="0" applyNumberFormat="1" applyFont="1"/>
    <xf numFmtId="10" fontId="11" fillId="0" borderId="0" xfId="0" applyNumberFormat="1" applyFont="1"/>
    <xf numFmtId="164" fontId="11" fillId="0" borderId="0" xfId="0" applyNumberFormat="1" applyFont="1"/>
    <xf numFmtId="9" fontId="11" fillId="0" borderId="0" xfId="0" applyNumberFormat="1" applyFont="1"/>
    <xf numFmtId="167" fontId="12" fillId="0" borderId="0" xfId="0" applyNumberFormat="1" applyFont="1"/>
    <xf numFmtId="167" fontId="3" fillId="0" borderId="0" xfId="0" applyNumberFormat="1" applyFont="1"/>
    <xf numFmtId="167" fontId="3" fillId="0" borderId="1" xfId="0" applyNumberFormat="1" applyFont="1" applyBorder="1"/>
    <xf numFmtId="167" fontId="3" fillId="0" borderId="3" xfId="0" applyNumberFormat="1" applyFont="1" applyBorder="1"/>
    <xf numFmtId="0" fontId="3" fillId="0" borderId="0" xfId="0" applyFont="1" applyAlignment="1">
      <alignment horizontal="left" indent="1"/>
    </xf>
    <xf numFmtId="0" fontId="12" fillId="0" borderId="0" xfId="0" applyFont="1"/>
    <xf numFmtId="167" fontId="3" fillId="0" borderId="2" xfId="0" applyNumberFormat="1" applyFont="1" applyBorder="1"/>
    <xf numFmtId="0" fontId="13" fillId="2" borderId="0" xfId="0" applyFont="1" applyFill="1"/>
    <xf numFmtId="165" fontId="13" fillId="2" borderId="0" xfId="0" applyNumberFormat="1" applyFont="1" applyFill="1"/>
    <xf numFmtId="166" fontId="13" fillId="2" borderId="0" xfId="0" applyNumberFormat="1" applyFont="1" applyFill="1"/>
    <xf numFmtId="0" fontId="0" fillId="0" borderId="1" xfId="0" applyBorder="1"/>
    <xf numFmtId="43" fontId="0" fillId="0" borderId="0" xfId="0" applyNumberFormat="1"/>
    <xf numFmtId="0" fontId="14" fillId="0" borderId="0" xfId="0" applyFont="1" applyAlignment="1">
      <alignment horizontal="left"/>
    </xf>
    <xf numFmtId="164" fontId="14" fillId="0" borderId="0" xfId="0" applyNumberFormat="1" applyFont="1"/>
    <xf numFmtId="10" fontId="14" fillId="0" borderId="0" xfId="0" applyNumberFormat="1" applyFont="1"/>
    <xf numFmtId="17" fontId="0" fillId="0" borderId="0" xfId="0" applyNumberFormat="1"/>
    <xf numFmtId="3" fontId="0" fillId="0" borderId="0" xfId="0" applyNumberFormat="1"/>
    <xf numFmtId="0" fontId="0" fillId="2" borderId="0" xfId="0" applyFill="1"/>
    <xf numFmtId="165" fontId="0" fillId="2" borderId="0" xfId="0" applyNumberFormat="1" applyFill="1"/>
    <xf numFmtId="3" fontId="3" fillId="0" borderId="0" xfId="0" applyNumberFormat="1" applyFont="1"/>
    <xf numFmtId="167" fontId="15" fillId="0" borderId="0" xfId="0" applyNumberFormat="1" applyFont="1"/>
    <xf numFmtId="170" fontId="3" fillId="0" borderId="0" xfId="0" applyNumberFormat="1" applyFont="1"/>
    <xf numFmtId="171" fontId="0" fillId="2" borderId="0" xfId="0" applyNumberFormat="1" applyFill="1"/>
    <xf numFmtId="164" fontId="0" fillId="0" borderId="0" xfId="0" applyNumberFormat="1" applyAlignment="1">
      <alignment horizontal="right"/>
    </xf>
    <xf numFmtId="164" fontId="0" fillId="6" borderId="4" xfId="0" applyNumberFormat="1" applyFill="1" applyBorder="1" applyAlignment="1">
      <alignment horizontal="right"/>
    </xf>
    <xf numFmtId="9" fontId="6" fillId="0" borderId="0" xfId="3"/>
    <xf numFmtId="0" fontId="0" fillId="6" borderId="4" xfId="0" applyFill="1" applyBorder="1" applyAlignment="1">
      <alignment horizontal="right"/>
    </xf>
    <xf numFmtId="0" fontId="16" fillId="7" borderId="5" xfId="0" applyFont="1" applyFill="1" applyBorder="1"/>
    <xf numFmtId="0" fontId="0" fillId="7" borderId="1" xfId="0" applyFill="1" applyBorder="1"/>
    <xf numFmtId="10" fontId="16" fillId="7" borderId="6" xfId="0" applyNumberFormat="1" applyFont="1" applyFill="1" applyBorder="1"/>
    <xf numFmtId="9" fontId="0" fillId="6" borderId="4" xfId="0" applyNumberFormat="1" applyFill="1" applyBorder="1" applyAlignment="1">
      <alignment horizontal="right"/>
    </xf>
    <xf numFmtId="8" fontId="3" fillId="0" borderId="0" xfId="0" applyNumberFormat="1" applyFont="1"/>
    <xf numFmtId="8" fontId="0" fillId="0" borderId="0" xfId="0" applyNumberFormat="1"/>
    <xf numFmtId="10" fontId="0" fillId="0" borderId="0" xfId="0" applyNumberFormat="1"/>
    <xf numFmtId="9" fontId="0" fillId="8" borderId="0" xfId="0" applyNumberFormat="1" applyFill="1"/>
    <xf numFmtId="43" fontId="4" fillId="0" borderId="0" xfId="1" applyNumberFormat="1" applyBorder="1" applyAlignment="1" applyProtection="1">
      <alignment horizontal="center"/>
    </xf>
    <xf numFmtId="43" fontId="7" fillId="4" borderId="0" xfId="4" applyNumberFormat="1" applyFont="1" applyBorder="1" applyAlignment="1">
      <alignment horizontal="center"/>
    </xf>
    <xf numFmtId="165" fontId="1" fillId="2" borderId="0" xfId="0" applyNumberFormat="1" applyFont="1" applyFill="1"/>
    <xf numFmtId="166" fontId="1" fillId="2" borderId="0" xfId="0" applyNumberFormat="1" applyFont="1" applyFill="1"/>
    <xf numFmtId="172" fontId="0" fillId="0" borderId="0" xfId="0" applyNumberFormat="1"/>
  </cellXfs>
  <cellStyles count="5">
    <cellStyle name="Accent6" xfId="4" builtinId="49"/>
    <cellStyle name="Comma" xfId="2" builtinId="3"/>
    <cellStyle name="Hyperlink 2" xfId="1" xr:uid="{2C206860-5D81-4370-A21F-56502CA2BEC6}"/>
    <cellStyle name="Normal" xfId="0" builtinId="0"/>
    <cellStyle name="Per cent" xfId="3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6A4D-2452-465E-BAEF-EA6D35B4F5F9}">
  <sheetPr codeName="Sheet1"/>
  <dimension ref="A1:K93"/>
  <sheetViews>
    <sheetView zoomScale="120" zoomScaleNormal="120" zoomScalePageLayoutView="120" workbookViewId="0">
      <pane xSplit="1" ySplit="1" topLeftCell="E5" activePane="bottomRight" state="frozen"/>
      <selection activeCell="C4" sqref="C4"/>
      <selection pane="topRight" activeCell="C4" sqref="C4"/>
      <selection pane="bottomLeft" activeCell="C4" sqref="C4"/>
      <selection pane="bottomRight" activeCell="J70" sqref="J70"/>
    </sheetView>
  </sheetViews>
  <sheetFormatPr defaultColWidth="8.77734375" defaultRowHeight="14.4" x14ac:dyDescent="0.3"/>
  <cols>
    <col min="1" max="1" width="27.6640625" style="17" bestFit="1" customWidth="1"/>
    <col min="2" max="11" width="13.44140625" style="17" bestFit="1" customWidth="1"/>
    <col min="12" max="16384" width="8.77734375" style="17"/>
  </cols>
  <sheetData>
    <row r="1" spans="1:11" s="16" customFormat="1" x14ac:dyDescent="0.3">
      <c r="A1" s="16" t="s">
        <v>47</v>
      </c>
      <c r="B1" s="16" t="s">
        <v>48</v>
      </c>
      <c r="E1" s="64" t="str">
        <f>IF(B2&lt;&gt;B3, "A NEW VERSION OF THE WORKSHEET IS AVAILABLE", "")</f>
        <v/>
      </c>
      <c r="F1" s="64"/>
      <c r="G1" s="64"/>
      <c r="H1" s="64"/>
      <c r="I1" s="64"/>
      <c r="J1" s="64"/>
      <c r="K1" s="64"/>
    </row>
    <row r="2" spans="1:11" x14ac:dyDescent="0.3">
      <c r="A2" s="16" t="s">
        <v>49</v>
      </c>
      <c r="B2" s="17">
        <v>2.1</v>
      </c>
      <c r="E2" s="65" t="s">
        <v>50</v>
      </c>
      <c r="F2" s="65"/>
      <c r="G2" s="65"/>
      <c r="H2" s="65"/>
      <c r="I2" s="65"/>
      <c r="J2" s="65"/>
      <c r="K2" s="65"/>
    </row>
    <row r="3" spans="1:11" x14ac:dyDescent="0.3">
      <c r="A3" s="16" t="s">
        <v>51</v>
      </c>
      <c r="B3" s="17">
        <v>2.1</v>
      </c>
    </row>
    <row r="4" spans="1:11" x14ac:dyDescent="0.3">
      <c r="A4" s="16"/>
    </row>
    <row r="5" spans="1:11" x14ac:dyDescent="0.3">
      <c r="A5" s="16" t="s">
        <v>52</v>
      </c>
    </row>
    <row r="6" spans="1:11" x14ac:dyDescent="0.3">
      <c r="A6" s="17" t="s">
        <v>53</v>
      </c>
      <c r="B6" s="17">
        <f>IF(B9&gt;0, B9/B8, 0)</f>
        <v>98.956190019193855</v>
      </c>
    </row>
    <row r="7" spans="1:11" x14ac:dyDescent="0.3">
      <c r="A7" s="17" t="s">
        <v>54</v>
      </c>
      <c r="B7">
        <v>1</v>
      </c>
    </row>
    <row r="8" spans="1:11" x14ac:dyDescent="0.3">
      <c r="A8" s="17" t="s">
        <v>55</v>
      </c>
      <c r="B8">
        <v>1250.4000000000001</v>
      </c>
    </row>
    <row r="9" spans="1:11" x14ac:dyDescent="0.3">
      <c r="A9" s="17" t="s">
        <v>56</v>
      </c>
      <c r="B9">
        <v>123734.82</v>
      </c>
    </row>
    <row r="15" spans="1:11" x14ac:dyDescent="0.3">
      <c r="A15" s="16" t="s">
        <v>57</v>
      </c>
    </row>
    <row r="16" spans="1:11" s="20" customFormat="1" x14ac:dyDescent="0.3">
      <c r="A16" s="18" t="s">
        <v>58</v>
      </c>
      <c r="B16" s="19">
        <v>42825</v>
      </c>
      <c r="C16" s="19">
        <v>43190</v>
      </c>
      <c r="D16" s="19">
        <v>43555</v>
      </c>
      <c r="E16" s="19">
        <v>43921</v>
      </c>
      <c r="F16" s="19">
        <v>44286</v>
      </c>
      <c r="G16" s="19">
        <v>44651</v>
      </c>
      <c r="H16" s="19">
        <v>45016</v>
      </c>
      <c r="I16" s="19">
        <v>45382</v>
      </c>
      <c r="J16" s="19">
        <v>45747</v>
      </c>
      <c r="K16" s="19">
        <v>46112</v>
      </c>
    </row>
    <row r="17" spans="1:11" s="21" customFormat="1" x14ac:dyDescent="0.3">
      <c r="A17" s="21" t="s">
        <v>32</v>
      </c>
      <c r="B17">
        <v>6779.55</v>
      </c>
      <c r="C17">
        <v>6815.35</v>
      </c>
      <c r="D17">
        <v>7251.5</v>
      </c>
      <c r="E17">
        <v>9637.42</v>
      </c>
      <c r="F17">
        <v>11602.03</v>
      </c>
      <c r="G17">
        <v>12425.37</v>
      </c>
      <c r="H17">
        <v>13783.16</v>
      </c>
      <c r="I17">
        <v>15205.85</v>
      </c>
      <c r="J17">
        <v>17618.3</v>
      </c>
      <c r="K17">
        <v>20290.43</v>
      </c>
    </row>
    <row r="18" spans="1:11" s="21" customFormat="1" x14ac:dyDescent="0.3">
      <c r="A18" s="17" t="s">
        <v>59</v>
      </c>
      <c r="B18">
        <v>3165.65</v>
      </c>
      <c r="C18">
        <v>3746.11</v>
      </c>
      <c r="D18">
        <v>4022.05</v>
      </c>
      <c r="E18">
        <v>5402.9</v>
      </c>
      <c r="F18">
        <v>6367.79</v>
      </c>
      <c r="G18">
        <v>6323.22</v>
      </c>
      <c r="H18">
        <v>7107.06</v>
      </c>
      <c r="I18">
        <v>7364.06</v>
      </c>
      <c r="J18">
        <v>8986.68</v>
      </c>
      <c r="K18">
        <v>11896.39</v>
      </c>
    </row>
    <row r="19" spans="1:11" s="21" customFormat="1" x14ac:dyDescent="0.3">
      <c r="A19" s="17" t="s">
        <v>17</v>
      </c>
      <c r="B19">
        <v>0.69</v>
      </c>
      <c r="C19">
        <v>46.8</v>
      </c>
      <c r="D19">
        <v>14.41</v>
      </c>
      <c r="E19">
        <v>-7.78</v>
      </c>
      <c r="F19">
        <v>149.54</v>
      </c>
      <c r="G19">
        <v>39.78</v>
      </c>
      <c r="H19">
        <v>273.88</v>
      </c>
      <c r="I19">
        <v>121.6</v>
      </c>
      <c r="J19">
        <v>362.49</v>
      </c>
      <c r="K19">
        <v>40.75</v>
      </c>
    </row>
    <row r="20" spans="1:11" s="21" customFormat="1" x14ac:dyDescent="0.3">
      <c r="A20" s="17" t="s">
        <v>60</v>
      </c>
      <c r="B20">
        <v>83.19</v>
      </c>
      <c r="C20">
        <v>87.07</v>
      </c>
      <c r="D20">
        <v>89.28</v>
      </c>
      <c r="E20">
        <v>103.84</v>
      </c>
      <c r="F20">
        <v>97.36</v>
      </c>
      <c r="G20">
        <v>123.9</v>
      </c>
      <c r="H20">
        <v>149.43</v>
      </c>
      <c r="I20">
        <v>156.9</v>
      </c>
      <c r="J20">
        <v>156.21</v>
      </c>
    </row>
    <row r="21" spans="1:11" s="21" customFormat="1" x14ac:dyDescent="0.3">
      <c r="A21" s="17" t="s">
        <v>61</v>
      </c>
      <c r="B21">
        <v>597.61</v>
      </c>
      <c r="C21">
        <v>194.69</v>
      </c>
      <c r="D21">
        <v>209.59</v>
      </c>
      <c r="E21">
        <v>238.47</v>
      </c>
      <c r="F21">
        <v>941.75</v>
      </c>
      <c r="G21">
        <v>1139.5899999999999</v>
      </c>
      <c r="H21">
        <v>1578.2</v>
      </c>
      <c r="I21">
        <v>1696.28</v>
      </c>
      <c r="J21">
        <v>1882.25</v>
      </c>
    </row>
    <row r="22" spans="1:11" s="21" customFormat="1" x14ac:dyDescent="0.3">
      <c r="A22" s="17" t="s">
        <v>62</v>
      </c>
      <c r="B22">
        <v>834.95</v>
      </c>
      <c r="C22">
        <v>821.37</v>
      </c>
      <c r="D22">
        <v>806.3</v>
      </c>
      <c r="E22">
        <v>884.8</v>
      </c>
      <c r="F22">
        <v>970.23</v>
      </c>
      <c r="G22">
        <v>1048</v>
      </c>
      <c r="H22">
        <v>1120.3599999999999</v>
      </c>
      <c r="I22">
        <v>1258.5899999999999</v>
      </c>
      <c r="J22">
        <v>1430.1</v>
      </c>
      <c r="K22">
        <v>1661</v>
      </c>
    </row>
    <row r="23" spans="1:11" s="21" customFormat="1" x14ac:dyDescent="0.3">
      <c r="A23" s="17" t="s">
        <v>63</v>
      </c>
      <c r="B23">
        <v>926.92</v>
      </c>
      <c r="C23">
        <v>857.64</v>
      </c>
      <c r="D23">
        <v>968.23</v>
      </c>
      <c r="E23">
        <v>1278.1600000000001</v>
      </c>
      <c r="F23">
        <v>1421.46</v>
      </c>
      <c r="G23">
        <v>1691.83</v>
      </c>
      <c r="H23">
        <v>1785.26</v>
      </c>
      <c r="I23">
        <v>1927.15</v>
      </c>
      <c r="J23">
        <v>2253.37</v>
      </c>
    </row>
    <row r="24" spans="1:11" s="21" customFormat="1" x14ac:dyDescent="0.3">
      <c r="A24" s="17" t="s">
        <v>64</v>
      </c>
      <c r="B24">
        <v>380.79</v>
      </c>
      <c r="C24">
        <v>316.36</v>
      </c>
      <c r="D24">
        <v>384.55</v>
      </c>
      <c r="E24">
        <v>429.32</v>
      </c>
      <c r="F24">
        <v>409.22</v>
      </c>
      <c r="G24">
        <v>419.83</v>
      </c>
      <c r="H24">
        <v>460.26</v>
      </c>
      <c r="I24">
        <v>640.37</v>
      </c>
      <c r="J24">
        <v>792.83</v>
      </c>
      <c r="K24">
        <v>3981.99</v>
      </c>
    </row>
    <row r="25" spans="1:11" s="21" customFormat="1" x14ac:dyDescent="0.3">
      <c r="A25" s="21" t="s">
        <v>10</v>
      </c>
      <c r="B25">
        <v>88.4</v>
      </c>
      <c r="C25">
        <v>73.02</v>
      </c>
      <c r="D25">
        <v>123.84</v>
      </c>
      <c r="E25">
        <v>-163.19999999999999</v>
      </c>
      <c r="F25">
        <v>90.73</v>
      </c>
      <c r="G25">
        <v>88</v>
      </c>
      <c r="H25">
        <v>328.33</v>
      </c>
      <c r="I25">
        <v>-81.42</v>
      </c>
      <c r="J25">
        <v>188.14</v>
      </c>
      <c r="K25">
        <v>144.69</v>
      </c>
    </row>
    <row r="26" spans="1:11" s="21" customFormat="1" x14ac:dyDescent="0.3">
      <c r="A26" s="21" t="s">
        <v>65</v>
      </c>
      <c r="B26">
        <v>126.04</v>
      </c>
      <c r="C26">
        <v>116.04</v>
      </c>
      <c r="D26">
        <v>122.57</v>
      </c>
      <c r="E26">
        <v>241.71</v>
      </c>
      <c r="F26">
        <v>254.74</v>
      </c>
      <c r="G26">
        <v>278.01</v>
      </c>
      <c r="H26">
        <v>304.08</v>
      </c>
      <c r="I26">
        <v>377.15</v>
      </c>
      <c r="J26">
        <v>600.74</v>
      </c>
      <c r="K26">
        <v>626.67999999999995</v>
      </c>
    </row>
    <row r="27" spans="1:11" s="21" customFormat="1" x14ac:dyDescent="0.3">
      <c r="A27" s="21" t="s">
        <v>33</v>
      </c>
      <c r="B27">
        <v>91.53</v>
      </c>
      <c r="C27">
        <v>42.76</v>
      </c>
      <c r="D27">
        <v>52.47</v>
      </c>
      <c r="E27">
        <v>77.86</v>
      </c>
      <c r="F27">
        <v>68.69</v>
      </c>
      <c r="G27">
        <v>72.78</v>
      </c>
      <c r="H27">
        <v>87.16</v>
      </c>
      <c r="I27">
        <v>129.81</v>
      </c>
      <c r="J27">
        <v>290.2</v>
      </c>
      <c r="K27">
        <v>137.03</v>
      </c>
    </row>
    <row r="28" spans="1:11" s="21" customFormat="1" x14ac:dyDescent="0.3">
      <c r="A28" s="21" t="s">
        <v>66</v>
      </c>
      <c r="B28">
        <v>661.96</v>
      </c>
      <c r="C28">
        <v>753.13</v>
      </c>
      <c r="D28">
        <v>734.71</v>
      </c>
      <c r="E28">
        <v>809.38</v>
      </c>
      <c r="F28">
        <v>1311.06</v>
      </c>
      <c r="G28">
        <v>1455.99</v>
      </c>
      <c r="H28">
        <v>1793.56</v>
      </c>
      <c r="I28">
        <v>1695.72</v>
      </c>
      <c r="J28">
        <v>1776.55</v>
      </c>
      <c r="K28">
        <v>2172.7800000000002</v>
      </c>
    </row>
    <row r="29" spans="1:11" s="21" customFormat="1" x14ac:dyDescent="0.3">
      <c r="A29" s="21" t="s">
        <v>34</v>
      </c>
      <c r="B29">
        <v>198.31</v>
      </c>
      <c r="C29">
        <v>185.87</v>
      </c>
      <c r="D29">
        <v>260.88</v>
      </c>
      <c r="E29">
        <v>274.19</v>
      </c>
      <c r="F29">
        <v>317.27</v>
      </c>
      <c r="G29">
        <v>377.04</v>
      </c>
      <c r="H29">
        <v>447.04</v>
      </c>
      <c r="I29">
        <v>394.73</v>
      </c>
      <c r="J29">
        <v>396.24</v>
      </c>
      <c r="K29">
        <v>535.28</v>
      </c>
    </row>
    <row r="30" spans="1:11" s="21" customFormat="1" x14ac:dyDescent="0.3">
      <c r="A30" s="21" t="s">
        <v>67</v>
      </c>
      <c r="B30">
        <v>389.44</v>
      </c>
      <c r="C30">
        <v>495.56</v>
      </c>
      <c r="D30">
        <v>408.19</v>
      </c>
      <c r="E30">
        <v>459.76</v>
      </c>
      <c r="F30">
        <v>856.69</v>
      </c>
      <c r="G30">
        <v>935.78</v>
      </c>
      <c r="H30">
        <v>1203.77</v>
      </c>
      <c r="I30">
        <v>1150.33</v>
      </c>
      <c r="J30">
        <v>1278.47</v>
      </c>
      <c r="K30">
        <v>1542.3</v>
      </c>
    </row>
    <row r="31" spans="1:11" s="21" customFormat="1" x14ac:dyDescent="0.3">
      <c r="A31" s="21" t="s">
        <v>68</v>
      </c>
      <c r="B31">
        <v>148.31</v>
      </c>
      <c r="C31">
        <v>148.31</v>
      </c>
      <c r="D31">
        <v>157.78</v>
      </c>
      <c r="E31">
        <v>248.83</v>
      </c>
      <c r="F31">
        <v>373.25</v>
      </c>
      <c r="G31">
        <v>557.57000000000005</v>
      </c>
      <c r="H31">
        <v>785</v>
      </c>
      <c r="I31">
        <v>738.42</v>
      </c>
      <c r="J31">
        <v>816.34</v>
      </c>
      <c r="K31">
        <v>989.6</v>
      </c>
    </row>
    <row r="32" spans="1:11" s="21" customFormat="1" x14ac:dyDescent="0.3"/>
    <row r="33" spans="1:11" x14ac:dyDescent="0.3">
      <c r="A33" s="21"/>
    </row>
    <row r="34" spans="1:11" x14ac:dyDescent="0.3">
      <c r="A34" s="21"/>
    </row>
    <row r="35" spans="1:11" x14ac:dyDescent="0.3">
      <c r="A35" s="21"/>
    </row>
    <row r="36" spans="1:11" x14ac:dyDescent="0.3">
      <c r="A36" s="21"/>
    </row>
    <row r="37" spans="1:11" x14ac:dyDescent="0.3">
      <c r="A37" s="21"/>
    </row>
    <row r="38" spans="1:11" x14ac:dyDescent="0.3">
      <c r="A38" s="21"/>
    </row>
    <row r="39" spans="1:11" x14ac:dyDescent="0.3">
      <c r="A39" s="21"/>
    </row>
    <row r="40" spans="1:11" x14ac:dyDescent="0.3">
      <c r="A40" s="16" t="s">
        <v>69</v>
      </c>
    </row>
    <row r="41" spans="1:11" s="20" customFormat="1" x14ac:dyDescent="0.3">
      <c r="A41" s="18" t="s">
        <v>58</v>
      </c>
      <c r="B41" s="19">
        <v>45291</v>
      </c>
      <c r="C41" s="19">
        <v>45382</v>
      </c>
      <c r="D41" s="19">
        <v>45473</v>
      </c>
      <c r="E41" s="19">
        <v>45565</v>
      </c>
      <c r="F41" s="19">
        <v>45657</v>
      </c>
      <c r="G41" s="19">
        <v>45747</v>
      </c>
      <c r="H41" s="19">
        <v>45838</v>
      </c>
      <c r="I41" s="19">
        <v>45930</v>
      </c>
      <c r="J41" s="19">
        <v>46022</v>
      </c>
      <c r="K41" s="19">
        <v>46112</v>
      </c>
    </row>
    <row r="42" spans="1:11" s="21" customFormat="1" x14ac:dyDescent="0.3">
      <c r="A42" s="21" t="s">
        <v>32</v>
      </c>
      <c r="B42">
        <v>3803.92</v>
      </c>
      <c r="C42">
        <v>3926.94</v>
      </c>
      <c r="D42">
        <v>4352.07</v>
      </c>
      <c r="E42">
        <v>4214.45</v>
      </c>
      <c r="F42">
        <v>4443.5600000000004</v>
      </c>
      <c r="G42">
        <v>4608.22</v>
      </c>
      <c r="H42">
        <v>4778.91</v>
      </c>
      <c r="I42">
        <v>4965.8999999999996</v>
      </c>
      <c r="J42">
        <v>5112</v>
      </c>
      <c r="K42">
        <v>5433.62</v>
      </c>
    </row>
    <row r="43" spans="1:11" s="21" customFormat="1" x14ac:dyDescent="0.3">
      <c r="A43" s="21" t="s">
        <v>70</v>
      </c>
      <c r="B43">
        <v>3231.54</v>
      </c>
      <c r="C43">
        <v>3297.34</v>
      </c>
      <c r="D43">
        <v>3684.69</v>
      </c>
      <c r="E43">
        <v>3588.16</v>
      </c>
      <c r="F43">
        <v>3878.83</v>
      </c>
      <c r="G43">
        <v>3987.27</v>
      </c>
      <c r="H43">
        <v>4171.97</v>
      </c>
      <c r="I43">
        <v>4294.12</v>
      </c>
      <c r="J43">
        <v>4391.33</v>
      </c>
      <c r="K43">
        <v>4641.21</v>
      </c>
    </row>
    <row r="44" spans="1:11" s="21" customFormat="1" x14ac:dyDescent="0.3">
      <c r="A44" s="21" t="s">
        <v>10</v>
      </c>
      <c r="B44">
        <v>-31.94</v>
      </c>
      <c r="C44">
        <v>-177.35</v>
      </c>
      <c r="D44">
        <v>22.07</v>
      </c>
      <c r="E44">
        <v>18.8</v>
      </c>
      <c r="F44">
        <v>45.44</v>
      </c>
      <c r="G44">
        <v>101.83</v>
      </c>
      <c r="H44">
        <v>41.17</v>
      </c>
      <c r="I44">
        <v>38.01</v>
      </c>
      <c r="J44">
        <v>10.15</v>
      </c>
      <c r="K44">
        <v>55.36</v>
      </c>
    </row>
    <row r="45" spans="1:11" s="21" customFormat="1" x14ac:dyDescent="0.3">
      <c r="A45" s="21" t="s">
        <v>65</v>
      </c>
      <c r="B45">
        <v>85.51</v>
      </c>
      <c r="C45">
        <v>115.76</v>
      </c>
      <c r="D45">
        <v>148</v>
      </c>
      <c r="E45">
        <v>149.33000000000001</v>
      </c>
      <c r="F45">
        <v>150.32</v>
      </c>
      <c r="G45">
        <v>153.09</v>
      </c>
      <c r="H45">
        <v>148.93</v>
      </c>
      <c r="I45">
        <v>153.28</v>
      </c>
      <c r="J45">
        <v>159.29</v>
      </c>
      <c r="K45">
        <v>165.18</v>
      </c>
    </row>
    <row r="46" spans="1:11" s="21" customFormat="1" x14ac:dyDescent="0.3">
      <c r="A46" s="21" t="s">
        <v>33</v>
      </c>
      <c r="B46">
        <v>33.19</v>
      </c>
      <c r="C46">
        <v>42.83</v>
      </c>
      <c r="D46">
        <v>93.6</v>
      </c>
      <c r="E46">
        <v>98.69</v>
      </c>
      <c r="F46">
        <v>57.92</v>
      </c>
      <c r="G46">
        <v>39.99</v>
      </c>
      <c r="H46">
        <v>33.76</v>
      </c>
      <c r="I46">
        <v>33.229999999999997</v>
      </c>
      <c r="J46">
        <v>31.62</v>
      </c>
      <c r="K46">
        <v>38.42</v>
      </c>
    </row>
    <row r="47" spans="1:11" s="21" customFormat="1" x14ac:dyDescent="0.3">
      <c r="A47" s="21" t="s">
        <v>66</v>
      </c>
      <c r="B47">
        <v>421.74</v>
      </c>
      <c r="C47">
        <v>293.66000000000003</v>
      </c>
      <c r="D47">
        <v>447.85</v>
      </c>
      <c r="E47">
        <v>397.07</v>
      </c>
      <c r="F47">
        <v>401.93</v>
      </c>
      <c r="G47">
        <v>529.70000000000005</v>
      </c>
      <c r="H47">
        <v>465.42</v>
      </c>
      <c r="I47">
        <v>523.28</v>
      </c>
      <c r="J47">
        <v>539.91</v>
      </c>
      <c r="K47">
        <v>644.16999999999996</v>
      </c>
    </row>
    <row r="48" spans="1:11" s="21" customFormat="1" x14ac:dyDescent="0.3">
      <c r="A48" s="21" t="s">
        <v>34</v>
      </c>
      <c r="B48">
        <v>106.21</v>
      </c>
      <c r="C48">
        <v>25.95</v>
      </c>
      <c r="D48">
        <v>133.69999999999999</v>
      </c>
      <c r="E48">
        <v>37.729999999999997</v>
      </c>
      <c r="F48">
        <v>102.18</v>
      </c>
      <c r="G48">
        <v>122.63</v>
      </c>
      <c r="H48">
        <v>118.98</v>
      </c>
      <c r="I48">
        <v>126.23</v>
      </c>
      <c r="J48">
        <v>137.12</v>
      </c>
      <c r="K48">
        <v>152.94999999999999</v>
      </c>
    </row>
    <row r="49" spans="1:11" s="21" customFormat="1" x14ac:dyDescent="0.3">
      <c r="A49" s="21" t="s">
        <v>67</v>
      </c>
      <c r="B49">
        <v>278.87</v>
      </c>
      <c r="C49">
        <v>216.63</v>
      </c>
      <c r="D49">
        <v>290.32</v>
      </c>
      <c r="E49">
        <v>364.42</v>
      </c>
      <c r="F49">
        <v>278.88</v>
      </c>
      <c r="G49">
        <v>344.85</v>
      </c>
      <c r="H49">
        <v>334.15</v>
      </c>
      <c r="I49">
        <v>404.46</v>
      </c>
      <c r="J49">
        <v>384.61</v>
      </c>
      <c r="K49">
        <v>419.08</v>
      </c>
    </row>
    <row r="50" spans="1:11" x14ac:dyDescent="0.3">
      <c r="A50" s="21" t="s">
        <v>71</v>
      </c>
      <c r="B50">
        <v>572.38</v>
      </c>
      <c r="C50">
        <v>629.6</v>
      </c>
      <c r="D50">
        <v>667.38</v>
      </c>
      <c r="E50">
        <v>626.29</v>
      </c>
      <c r="F50">
        <v>564.73</v>
      </c>
      <c r="G50">
        <v>620.95000000000005</v>
      </c>
      <c r="H50">
        <v>606.94000000000005</v>
      </c>
      <c r="I50">
        <v>671.78</v>
      </c>
      <c r="J50">
        <v>720.67</v>
      </c>
      <c r="K50">
        <v>792.41</v>
      </c>
    </row>
    <row r="51" spans="1:11" x14ac:dyDescent="0.3">
      <c r="A51" s="21"/>
    </row>
    <row r="52" spans="1:11" x14ac:dyDescent="0.3">
      <c r="A52" s="21"/>
    </row>
    <row r="53" spans="1:11" x14ac:dyDescent="0.3">
      <c r="A53" s="21"/>
    </row>
    <row r="54" spans="1:11" x14ac:dyDescent="0.3">
      <c r="A54" s="21"/>
    </row>
    <row r="55" spans="1:11" x14ac:dyDescent="0.3">
      <c r="A55" s="16" t="s">
        <v>72</v>
      </c>
    </row>
    <row r="56" spans="1:11" s="20" customFormat="1" x14ac:dyDescent="0.3">
      <c r="A56" s="18" t="s">
        <v>58</v>
      </c>
      <c r="B56" s="19">
        <v>42825</v>
      </c>
      <c r="C56" s="19">
        <v>43190</v>
      </c>
      <c r="D56" s="19">
        <v>43555</v>
      </c>
      <c r="E56" s="19">
        <v>43921</v>
      </c>
      <c r="F56" s="19">
        <v>44286</v>
      </c>
      <c r="G56" s="19">
        <v>44651</v>
      </c>
      <c r="H56" s="19">
        <v>45016</v>
      </c>
      <c r="I56" s="19">
        <v>45382</v>
      </c>
      <c r="J56" s="19">
        <v>45747</v>
      </c>
      <c r="K56" s="19">
        <v>46112</v>
      </c>
    </row>
    <row r="57" spans="1:11" x14ac:dyDescent="0.3">
      <c r="A57" s="21" t="s">
        <v>73</v>
      </c>
      <c r="B57">
        <v>63.11</v>
      </c>
      <c r="C57">
        <v>63.11</v>
      </c>
      <c r="D57">
        <v>63.11</v>
      </c>
      <c r="E57">
        <v>92.16</v>
      </c>
      <c r="F57">
        <v>92.16</v>
      </c>
      <c r="G57">
        <v>92.16</v>
      </c>
      <c r="H57">
        <v>92.9</v>
      </c>
      <c r="I57">
        <v>95.28</v>
      </c>
      <c r="J57">
        <v>98.95</v>
      </c>
      <c r="K57">
        <v>98.96</v>
      </c>
    </row>
    <row r="58" spans="1:11" x14ac:dyDescent="0.3">
      <c r="A58" s="21" t="s">
        <v>74</v>
      </c>
      <c r="B58">
        <v>6202.39</v>
      </c>
      <c r="C58">
        <v>6968.49</v>
      </c>
      <c r="D58">
        <v>7268.58</v>
      </c>
      <c r="E58">
        <v>13722.7</v>
      </c>
      <c r="F58">
        <v>14442.35</v>
      </c>
      <c r="G58">
        <v>15049.78</v>
      </c>
      <c r="H58">
        <v>16183.81</v>
      </c>
      <c r="I58">
        <v>15961.51</v>
      </c>
      <c r="J58">
        <v>19902.13</v>
      </c>
      <c r="K58">
        <v>21688.57</v>
      </c>
    </row>
    <row r="59" spans="1:11" x14ac:dyDescent="0.3">
      <c r="A59" s="21" t="s">
        <v>75</v>
      </c>
      <c r="B59">
        <v>786.56</v>
      </c>
      <c r="C59">
        <v>1067.58</v>
      </c>
      <c r="D59">
        <v>1141.0999999999999</v>
      </c>
      <c r="E59">
        <v>1586.32</v>
      </c>
      <c r="F59">
        <v>1633.55</v>
      </c>
      <c r="G59">
        <v>1412.01</v>
      </c>
      <c r="H59">
        <v>1600.04</v>
      </c>
      <c r="I59">
        <v>3477.22</v>
      </c>
      <c r="J59">
        <v>2392.6799999999998</v>
      </c>
      <c r="K59">
        <v>2819.51</v>
      </c>
    </row>
    <row r="60" spans="1:11" x14ac:dyDescent="0.3">
      <c r="A60" s="21" t="s">
        <v>76</v>
      </c>
      <c r="B60">
        <v>2499.35</v>
      </c>
      <c r="C60">
        <v>2361.58</v>
      </c>
      <c r="D60">
        <v>2407.89</v>
      </c>
      <c r="E60">
        <v>3071.86</v>
      </c>
      <c r="F60">
        <v>4049.76</v>
      </c>
      <c r="G60">
        <v>4520.92</v>
      </c>
      <c r="H60">
        <v>4885.74</v>
      </c>
      <c r="I60">
        <v>8344.7800000000007</v>
      </c>
      <c r="J60">
        <v>9436.86</v>
      </c>
      <c r="K60">
        <v>9845.92</v>
      </c>
    </row>
    <row r="61" spans="1:11" s="16" customFormat="1" x14ac:dyDescent="0.3">
      <c r="A61" s="16" t="s">
        <v>77</v>
      </c>
      <c r="B61">
        <v>9551.41</v>
      </c>
      <c r="C61">
        <v>10460.76</v>
      </c>
      <c r="D61">
        <v>10880.68</v>
      </c>
      <c r="E61">
        <v>18473.04</v>
      </c>
      <c r="F61">
        <v>20217.82</v>
      </c>
      <c r="G61">
        <v>21074.87</v>
      </c>
      <c r="H61">
        <v>22762.49</v>
      </c>
      <c r="I61">
        <v>27878.79</v>
      </c>
      <c r="J61">
        <v>31830.62</v>
      </c>
      <c r="K61">
        <v>34452.959999999999</v>
      </c>
    </row>
    <row r="62" spans="1:11" x14ac:dyDescent="0.3">
      <c r="A62" s="21" t="s">
        <v>78</v>
      </c>
      <c r="B62">
        <v>4572.59</v>
      </c>
      <c r="C62">
        <v>4798.18</v>
      </c>
      <c r="D62">
        <v>4913.3100000000004</v>
      </c>
      <c r="E62">
        <v>11656.04</v>
      </c>
      <c r="F62">
        <v>12023.13</v>
      </c>
      <c r="G62">
        <v>12599.35</v>
      </c>
      <c r="H62">
        <v>13070.04</v>
      </c>
      <c r="I62">
        <v>19357.900000000001</v>
      </c>
      <c r="J62">
        <v>21476.84</v>
      </c>
      <c r="K62">
        <v>22040.09</v>
      </c>
    </row>
    <row r="63" spans="1:11" x14ac:dyDescent="0.3">
      <c r="A63" s="21" t="s">
        <v>79</v>
      </c>
      <c r="B63">
        <v>63.19</v>
      </c>
      <c r="C63">
        <v>135.16</v>
      </c>
      <c r="D63">
        <v>424.41</v>
      </c>
      <c r="E63">
        <v>95.35</v>
      </c>
      <c r="F63">
        <v>112.85</v>
      </c>
      <c r="G63">
        <v>246.97</v>
      </c>
      <c r="H63">
        <v>294.89999999999998</v>
      </c>
      <c r="I63">
        <v>189.6</v>
      </c>
      <c r="J63">
        <v>218.1</v>
      </c>
      <c r="K63">
        <v>459.9</v>
      </c>
    </row>
    <row r="64" spans="1:11" x14ac:dyDescent="0.3">
      <c r="A64" s="21" t="s">
        <v>80</v>
      </c>
      <c r="B64">
        <v>1451.04</v>
      </c>
      <c r="C64">
        <v>1161.33</v>
      </c>
      <c r="D64">
        <v>1187.6600000000001</v>
      </c>
      <c r="E64">
        <v>1322.85</v>
      </c>
      <c r="F64">
        <v>805.89</v>
      </c>
      <c r="G64">
        <v>797.28</v>
      </c>
      <c r="H64">
        <v>1432.97</v>
      </c>
      <c r="I64">
        <v>870.55</v>
      </c>
      <c r="J64">
        <v>968.67</v>
      </c>
      <c r="K64">
        <v>1442.62</v>
      </c>
    </row>
    <row r="65" spans="1:11" x14ac:dyDescent="0.3">
      <c r="A65" s="21" t="s">
        <v>81</v>
      </c>
      <c r="B65">
        <v>3464.59</v>
      </c>
      <c r="C65">
        <v>4366.09</v>
      </c>
      <c r="D65">
        <v>4355.3</v>
      </c>
      <c r="E65">
        <v>5398.8</v>
      </c>
      <c r="F65">
        <v>7275.95</v>
      </c>
      <c r="G65">
        <v>7431.27</v>
      </c>
      <c r="H65">
        <v>7964.58</v>
      </c>
      <c r="I65">
        <v>7460.74</v>
      </c>
      <c r="J65">
        <v>9167.01</v>
      </c>
      <c r="K65">
        <v>10510.35</v>
      </c>
    </row>
    <row r="66" spans="1:11" s="16" customFormat="1" x14ac:dyDescent="0.3">
      <c r="A66" s="16" t="s">
        <v>77</v>
      </c>
      <c r="B66">
        <v>9551.41</v>
      </c>
      <c r="C66">
        <v>10460.76</v>
      </c>
      <c r="D66">
        <v>10880.68</v>
      </c>
      <c r="E66">
        <v>18473.04</v>
      </c>
      <c r="F66">
        <v>20217.82</v>
      </c>
      <c r="G66">
        <v>21074.87</v>
      </c>
      <c r="H66">
        <v>22762.49</v>
      </c>
      <c r="I66">
        <v>27878.79</v>
      </c>
      <c r="J66">
        <v>31830.62</v>
      </c>
      <c r="K66">
        <v>34452.959999999999</v>
      </c>
    </row>
    <row r="67" spans="1:11" s="21" customFormat="1" x14ac:dyDescent="0.3">
      <c r="A67" s="21" t="s">
        <v>82</v>
      </c>
      <c r="B67">
        <v>592.45000000000005</v>
      </c>
      <c r="C67">
        <v>648.28</v>
      </c>
      <c r="D67">
        <v>680.55</v>
      </c>
      <c r="E67">
        <v>922.41</v>
      </c>
      <c r="F67">
        <v>761.32</v>
      </c>
      <c r="G67">
        <v>835.15</v>
      </c>
      <c r="H67">
        <v>798.33</v>
      </c>
      <c r="I67">
        <v>896.75</v>
      </c>
      <c r="J67">
        <v>869.79</v>
      </c>
      <c r="K67">
        <v>1148.33</v>
      </c>
    </row>
    <row r="68" spans="1:11" x14ac:dyDescent="0.3">
      <c r="A68" s="21" t="s">
        <v>15</v>
      </c>
      <c r="B68">
        <v>1452.96</v>
      </c>
      <c r="C68">
        <v>1448.31</v>
      </c>
      <c r="D68">
        <v>1608.54</v>
      </c>
      <c r="E68">
        <v>1712.03</v>
      </c>
      <c r="F68">
        <v>2249.16</v>
      </c>
      <c r="G68">
        <v>2266.5100000000002</v>
      </c>
      <c r="H68">
        <v>2701.67</v>
      </c>
      <c r="I68">
        <v>2769.35</v>
      </c>
      <c r="J68">
        <v>3599.91</v>
      </c>
      <c r="K68">
        <v>3526.76</v>
      </c>
    </row>
    <row r="69" spans="1:11" x14ac:dyDescent="0.3">
      <c r="A69" s="17" t="s">
        <v>83</v>
      </c>
      <c r="B69">
        <v>574.82000000000005</v>
      </c>
      <c r="C69">
        <v>1238.1400000000001</v>
      </c>
      <c r="D69">
        <v>1033.6099999999999</v>
      </c>
      <c r="E69">
        <v>1621.46</v>
      </c>
      <c r="F69">
        <v>3074.88</v>
      </c>
      <c r="G69">
        <v>2599.89</v>
      </c>
      <c r="H69">
        <v>2796.94</v>
      </c>
      <c r="I69">
        <v>2454.4899999999998</v>
      </c>
      <c r="J69">
        <v>2817.86</v>
      </c>
      <c r="K69">
        <v>3420.49</v>
      </c>
    </row>
    <row r="70" spans="1:11" x14ac:dyDescent="0.3">
      <c r="A70" s="17" t="s">
        <v>84</v>
      </c>
      <c r="B70">
        <v>631129729</v>
      </c>
      <c r="C70">
        <v>631129729</v>
      </c>
      <c r="D70">
        <v>631129729</v>
      </c>
      <c r="E70">
        <v>921551715</v>
      </c>
      <c r="F70">
        <v>921551715</v>
      </c>
      <c r="G70">
        <v>921551715</v>
      </c>
      <c r="H70">
        <v>929011650</v>
      </c>
      <c r="I70">
        <v>952834816</v>
      </c>
      <c r="J70">
        <v>989498558</v>
      </c>
    </row>
    <row r="71" spans="1:11" x14ac:dyDescent="0.3">
      <c r="A71" s="17" t="s">
        <v>85</v>
      </c>
    </row>
    <row r="72" spans="1:11" x14ac:dyDescent="0.3">
      <c r="A72" s="17" t="s">
        <v>86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21"/>
    </row>
    <row r="75" spans="1:11" x14ac:dyDescent="0.3">
      <c r="A75" s="21"/>
    </row>
    <row r="76" spans="1:11" x14ac:dyDescent="0.3">
      <c r="A76" s="21"/>
    </row>
    <row r="77" spans="1:11" x14ac:dyDescent="0.3">
      <c r="A77" s="21"/>
    </row>
    <row r="78" spans="1:11" x14ac:dyDescent="0.3">
      <c r="A78" s="21"/>
    </row>
    <row r="79" spans="1:11" x14ac:dyDescent="0.3">
      <c r="A79" s="21"/>
    </row>
    <row r="80" spans="1:11" x14ac:dyDescent="0.3">
      <c r="A80" s="16" t="s">
        <v>87</v>
      </c>
    </row>
    <row r="81" spans="1:11" s="20" customFormat="1" x14ac:dyDescent="0.3">
      <c r="A81" s="18" t="s">
        <v>58</v>
      </c>
      <c r="B81" s="19">
        <v>42825</v>
      </c>
      <c r="C81" s="19">
        <v>43190</v>
      </c>
      <c r="D81" s="19">
        <v>43555</v>
      </c>
      <c r="E81" s="19">
        <v>43921</v>
      </c>
      <c r="F81" s="19">
        <v>44286</v>
      </c>
      <c r="G81" s="19">
        <v>44651</v>
      </c>
      <c r="H81" s="19">
        <v>45016</v>
      </c>
      <c r="I81" s="19">
        <v>45382</v>
      </c>
      <c r="J81" s="19">
        <v>45747</v>
      </c>
      <c r="K81" s="19">
        <v>46112</v>
      </c>
    </row>
    <row r="82" spans="1:11" s="16" customFormat="1" x14ac:dyDescent="0.3">
      <c r="A82" s="21" t="s">
        <v>88</v>
      </c>
      <c r="B82">
        <v>741.2</v>
      </c>
      <c r="C82">
        <v>355.58</v>
      </c>
      <c r="D82">
        <v>209.87</v>
      </c>
      <c r="E82">
        <v>1082.23</v>
      </c>
      <c r="F82">
        <v>1656.37</v>
      </c>
      <c r="G82">
        <v>1515.81</v>
      </c>
      <c r="H82">
        <v>1461.29</v>
      </c>
      <c r="I82">
        <v>1936.68</v>
      </c>
      <c r="J82">
        <v>2056.65</v>
      </c>
      <c r="K82">
        <v>2421.85</v>
      </c>
    </row>
    <row r="83" spans="1:11" s="21" customFormat="1" x14ac:dyDescent="0.3">
      <c r="A83" s="21" t="s">
        <v>89</v>
      </c>
      <c r="B83">
        <v>145.05000000000001</v>
      </c>
      <c r="C83">
        <v>-31.1</v>
      </c>
      <c r="D83">
        <v>53.17</v>
      </c>
      <c r="E83">
        <v>-622.04</v>
      </c>
      <c r="F83">
        <v>-346.5</v>
      </c>
      <c r="G83">
        <v>-1317.11</v>
      </c>
      <c r="H83">
        <v>-833.61</v>
      </c>
      <c r="I83">
        <v>-1910.77</v>
      </c>
      <c r="J83">
        <v>-2303.48</v>
      </c>
      <c r="K83">
        <v>-1398.17</v>
      </c>
    </row>
    <row r="84" spans="1:11" s="21" customFormat="1" x14ac:dyDescent="0.3">
      <c r="A84" s="21" t="s">
        <v>90</v>
      </c>
      <c r="B84">
        <v>-815.84</v>
      </c>
      <c r="C84">
        <v>-30.39</v>
      </c>
      <c r="D84">
        <v>-223.73</v>
      </c>
      <c r="E84">
        <v>-308.33</v>
      </c>
      <c r="F84">
        <v>-426.03</v>
      </c>
      <c r="G84">
        <v>-994.77</v>
      </c>
      <c r="H84">
        <v>-714.4</v>
      </c>
      <c r="I84">
        <v>255.55</v>
      </c>
      <c r="J84">
        <v>452.7</v>
      </c>
      <c r="K84">
        <v>-1075.3900000000001</v>
      </c>
    </row>
    <row r="85" spans="1:11" s="16" customFormat="1" x14ac:dyDescent="0.3">
      <c r="A85" s="21" t="s">
        <v>91</v>
      </c>
      <c r="B85">
        <v>70.41</v>
      </c>
      <c r="C85">
        <v>294.08999999999997</v>
      </c>
      <c r="D85">
        <v>39.31</v>
      </c>
      <c r="E85">
        <v>151.86000000000001</v>
      </c>
      <c r="F85">
        <v>883.84</v>
      </c>
      <c r="G85">
        <v>-796.07</v>
      </c>
      <c r="H85">
        <v>-86.72</v>
      </c>
      <c r="I85">
        <v>281.45999999999998</v>
      </c>
      <c r="J85">
        <v>205.87</v>
      </c>
      <c r="K85">
        <v>-51.71</v>
      </c>
    </row>
    <row r="86" spans="1:11" x14ac:dyDescent="0.3">
      <c r="A86" s="21"/>
    </row>
    <row r="87" spans="1:11" x14ac:dyDescent="0.3">
      <c r="A87" s="21"/>
    </row>
    <row r="88" spans="1:11" x14ac:dyDescent="0.3">
      <c r="A88" s="21"/>
    </row>
    <row r="89" spans="1:11" x14ac:dyDescent="0.3">
      <c r="A89" s="21"/>
    </row>
    <row r="90" spans="1:11" s="16" customFormat="1" x14ac:dyDescent="0.3">
      <c r="A90" s="16" t="s">
        <v>92</v>
      </c>
      <c r="B90">
        <v>148.69999999999999</v>
      </c>
      <c r="C90">
        <v>255.57</v>
      </c>
      <c r="D90">
        <v>201.45</v>
      </c>
      <c r="E90">
        <v>291.23</v>
      </c>
      <c r="F90">
        <v>631.05999999999995</v>
      </c>
      <c r="G90">
        <v>767.86</v>
      </c>
      <c r="H90">
        <v>700.15</v>
      </c>
      <c r="I90">
        <v>1082.74</v>
      </c>
      <c r="J90">
        <v>1001.9</v>
      </c>
      <c r="K90">
        <v>1014.8</v>
      </c>
    </row>
    <row r="92" spans="1:11" s="16" customFormat="1" x14ac:dyDescent="0.3">
      <c r="A92" s="16" t="s">
        <v>93</v>
      </c>
    </row>
    <row r="93" spans="1:11" x14ac:dyDescent="0.3">
      <c r="A93" s="17" t="s">
        <v>94</v>
      </c>
      <c r="B93" s="22">
        <v>65.540000000000006</v>
      </c>
      <c r="C93" s="22">
        <v>65.540000000000006</v>
      </c>
      <c r="D93" s="22">
        <v>65.540000000000006</v>
      </c>
      <c r="E93" s="22">
        <v>95.7</v>
      </c>
      <c r="F93" s="22">
        <v>95.7</v>
      </c>
      <c r="G93" s="22">
        <v>95.7</v>
      </c>
      <c r="H93" s="22">
        <v>96.47</v>
      </c>
      <c r="I93" s="22">
        <v>98.95</v>
      </c>
      <c r="J93" s="22">
        <v>98.95</v>
      </c>
      <c r="K93" s="22">
        <v>98.96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1049771E-ADC8-4A24-A72C-4CAAD274362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K37"/>
  <sheetViews>
    <sheetView showGridLines="0" tabSelected="1" topLeftCell="A7" zoomScale="99" zoomScaleNormal="120" workbookViewId="0">
      <selection activeCell="E16" sqref="E16"/>
    </sheetView>
  </sheetViews>
  <sheetFormatPr defaultColWidth="10.88671875" defaultRowHeight="14.4" x14ac:dyDescent="0.3"/>
  <cols>
    <col min="2" max="2" width="23.5546875" bestFit="1" customWidth="1"/>
    <col min="8" max="11" width="12.6640625" bestFit="1" customWidth="1"/>
  </cols>
  <sheetData>
    <row r="2" spans="1:11" x14ac:dyDescent="0.3">
      <c r="B2" s="11" t="s">
        <v>95</v>
      </c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3">
      <c r="B3" s="36" t="s">
        <v>1</v>
      </c>
      <c r="C3" s="37">
        <v>2021</v>
      </c>
      <c r="D3" s="37">
        <f>C3+1</f>
        <v>2022</v>
      </c>
      <c r="E3" s="37">
        <f t="shared" ref="E3:K3" si="0">D3+1</f>
        <v>2023</v>
      </c>
      <c r="F3" s="37">
        <f t="shared" si="0"/>
        <v>2024</v>
      </c>
      <c r="G3" s="37">
        <f t="shared" si="0"/>
        <v>2025</v>
      </c>
      <c r="H3" s="38">
        <f t="shared" si="0"/>
        <v>2026</v>
      </c>
      <c r="I3" s="38">
        <f t="shared" si="0"/>
        <v>2027</v>
      </c>
      <c r="J3" s="38">
        <f t="shared" si="0"/>
        <v>2028</v>
      </c>
      <c r="K3" s="38">
        <f t="shared" si="0"/>
        <v>2029</v>
      </c>
    </row>
    <row r="4" spans="1:11" x14ac:dyDescent="0.3">
      <c r="A4" t="s">
        <v>36</v>
      </c>
      <c r="B4" s="4" t="s">
        <v>32</v>
      </c>
      <c r="C4" s="24">
        <f>'Data Sheet'!F17</f>
        <v>11602.03</v>
      </c>
      <c r="D4" s="24">
        <f>'Data Sheet'!G17</f>
        <v>12425.37</v>
      </c>
      <c r="E4" s="24">
        <f>'Data Sheet'!H17</f>
        <v>13783.16</v>
      </c>
      <c r="F4" s="24">
        <f>'Data Sheet'!I17</f>
        <v>15205.85</v>
      </c>
      <c r="G4" s="24">
        <f>'Data Sheet'!J17</f>
        <v>17618.3</v>
      </c>
      <c r="H4" s="10">
        <f>G4*(1+H5)</f>
        <v>19557.867742155198</v>
      </c>
      <c r="I4" s="10">
        <f t="shared" ref="I4:K4" si="1">H4*(1+I5)</f>
        <v>21710.95909478411</v>
      </c>
      <c r="J4" s="10">
        <f t="shared" si="1"/>
        <v>24101.080497614934</v>
      </c>
      <c r="K4" s="10">
        <f t="shared" si="1"/>
        <v>26754.326173092119</v>
      </c>
    </row>
    <row r="5" spans="1:11" x14ac:dyDescent="0.3">
      <c r="B5" s="12" t="s">
        <v>37</v>
      </c>
      <c r="C5" s="13"/>
      <c r="D5" s="14">
        <f>D4/C4-1</f>
        <v>7.0965167302618593E-2</v>
      </c>
      <c r="E5" s="14">
        <f t="shared" ref="E5:G5" si="2">E4/D4-1</f>
        <v>0.10927561915661266</v>
      </c>
      <c r="F5" s="14">
        <f t="shared" si="2"/>
        <v>0.10321943589133409</v>
      </c>
      <c r="G5" s="14">
        <f t="shared" si="2"/>
        <v>0.1586527553540249</v>
      </c>
      <c r="H5" s="26">
        <f>((G4/C4)^(1/4)-1)</f>
        <v>0.11008824586680888</v>
      </c>
      <c r="I5" s="26">
        <f>H5</f>
        <v>0.11008824586680888</v>
      </c>
      <c r="J5" s="26">
        <f t="shared" ref="J5:K5" si="3">I5</f>
        <v>0.11008824586680888</v>
      </c>
      <c r="K5" s="26">
        <f t="shared" si="3"/>
        <v>0.11008824586680888</v>
      </c>
    </row>
    <row r="6" spans="1:11" x14ac:dyDescent="0.3">
      <c r="B6" s="41"/>
      <c r="C6" s="42"/>
      <c r="D6" s="43"/>
      <c r="E6" s="43"/>
      <c r="F6" s="43"/>
      <c r="G6" s="43"/>
      <c r="H6" s="43"/>
      <c r="I6" s="43"/>
      <c r="J6" s="43"/>
      <c r="K6" s="43"/>
    </row>
    <row r="7" spans="1:11" x14ac:dyDescent="0.3">
      <c r="A7" t="s">
        <v>36</v>
      </c>
      <c r="B7" s="5" t="s">
        <v>2</v>
      </c>
      <c r="C7" s="39"/>
      <c r="D7" s="39"/>
      <c r="E7" s="39"/>
      <c r="F7" s="39"/>
      <c r="G7" s="39"/>
      <c r="H7" s="39"/>
      <c r="I7" s="39"/>
      <c r="J7" s="39"/>
      <c r="K7" s="39"/>
    </row>
    <row r="8" spans="1:11" x14ac:dyDescent="0.3">
      <c r="B8" s="40" t="str">
        <f>'Data Sheet'!A18</f>
        <v>Raw Material Cost</v>
      </c>
      <c r="C8" s="24">
        <f>'Data Sheet'!F18</f>
        <v>6367.79</v>
      </c>
      <c r="D8" s="24">
        <f>'Data Sheet'!G18</f>
        <v>6323.22</v>
      </c>
      <c r="E8" s="24">
        <f>'Data Sheet'!H18</f>
        <v>7107.06</v>
      </c>
      <c r="F8" s="24">
        <f>'Data Sheet'!I18</f>
        <v>7364.06</v>
      </c>
      <c r="G8" s="24">
        <f>'Data Sheet'!J18</f>
        <v>8986.68</v>
      </c>
    </row>
    <row r="9" spans="1:11" x14ac:dyDescent="0.3">
      <c r="B9" s="40" t="str">
        <f>'Data Sheet'!A19</f>
        <v>Change in Inventory</v>
      </c>
      <c r="C9" s="24">
        <f>'Data Sheet'!F19</f>
        <v>149.54</v>
      </c>
      <c r="D9" s="24">
        <f>'Data Sheet'!G19</f>
        <v>39.78</v>
      </c>
      <c r="E9" s="24">
        <f>'Data Sheet'!H19</f>
        <v>273.88</v>
      </c>
      <c r="F9" s="24">
        <f>'Data Sheet'!I19</f>
        <v>121.6</v>
      </c>
      <c r="G9" s="24">
        <f>'Data Sheet'!J19</f>
        <v>362.49</v>
      </c>
    </row>
    <row r="10" spans="1:11" x14ac:dyDescent="0.3">
      <c r="B10" s="40" t="str">
        <f>'Data Sheet'!A20</f>
        <v>Power and Fuel</v>
      </c>
      <c r="C10" s="24">
        <f>'Data Sheet'!F20</f>
        <v>97.36</v>
      </c>
      <c r="D10" s="24">
        <f>'Data Sheet'!G20</f>
        <v>123.9</v>
      </c>
      <c r="E10" s="24">
        <f>'Data Sheet'!H20</f>
        <v>149.43</v>
      </c>
      <c r="F10" s="24">
        <f>'Data Sheet'!I20</f>
        <v>156.9</v>
      </c>
      <c r="G10" s="24">
        <f>'Data Sheet'!J20</f>
        <v>156.21</v>
      </c>
    </row>
    <row r="11" spans="1:11" x14ac:dyDescent="0.3">
      <c r="B11" s="40" t="str">
        <f>'Data Sheet'!A21</f>
        <v>Other Mfr. Exp</v>
      </c>
      <c r="C11" s="24">
        <f>'Data Sheet'!F21</f>
        <v>941.75</v>
      </c>
      <c r="D11" s="24">
        <f>'Data Sheet'!G21</f>
        <v>1139.5899999999999</v>
      </c>
      <c r="E11" s="24">
        <f>'Data Sheet'!H21</f>
        <v>1578.2</v>
      </c>
      <c r="F11" s="24">
        <f>'Data Sheet'!I21</f>
        <v>1696.28</v>
      </c>
      <c r="G11" s="24">
        <f>'Data Sheet'!J21</f>
        <v>1882.25</v>
      </c>
    </row>
    <row r="12" spans="1:11" x14ac:dyDescent="0.3">
      <c r="B12" s="40"/>
    </row>
    <row r="13" spans="1:11" x14ac:dyDescent="0.3">
      <c r="B13" s="8" t="s">
        <v>35</v>
      </c>
      <c r="C13" s="31">
        <f>IF(C9&lt;0,SUM(C8:C11),SUM(C11,C10,C8)-C9)</f>
        <v>7257.36</v>
      </c>
      <c r="D13" s="31">
        <f t="shared" ref="D13:G13" si="4">IF(D9&lt;0,SUM(D8:D11),SUM(D11,D10,D8)-D9)</f>
        <v>7546.93</v>
      </c>
      <c r="E13" s="31">
        <f t="shared" si="4"/>
        <v>8560.8100000000013</v>
      </c>
      <c r="F13" s="31">
        <f t="shared" si="4"/>
        <v>9095.64</v>
      </c>
      <c r="G13" s="31">
        <f t="shared" si="4"/>
        <v>10662.65</v>
      </c>
      <c r="H13" s="31">
        <f>H4*H14</f>
        <v>11836.482434791729</v>
      </c>
      <c r="I13" s="31">
        <f t="shared" ref="I13:K13" si="5">I4*I14</f>
        <v>13139.540023271245</v>
      </c>
      <c r="J13" s="31">
        <f t="shared" si="5"/>
        <v>14586.048935929908</v>
      </c>
      <c r="K13" s="31">
        <f t="shared" si="5"/>
        <v>16191.801477413865</v>
      </c>
    </row>
    <row r="14" spans="1:11" x14ac:dyDescent="0.3">
      <c r="B14" s="12" t="s">
        <v>40</v>
      </c>
      <c r="C14" s="13">
        <f>C13/C4</f>
        <v>0.62552501588084153</v>
      </c>
      <c r="D14" s="13">
        <f t="shared" ref="D14:G14" si="6">D13/D4</f>
        <v>0.60738070576570358</v>
      </c>
      <c r="E14" s="13">
        <f t="shared" si="6"/>
        <v>0.62110648066190932</v>
      </c>
      <c r="F14" s="13">
        <f t="shared" si="6"/>
        <v>0.59816715277343913</v>
      </c>
      <c r="G14" s="13">
        <f t="shared" si="6"/>
        <v>0.60520311267261884</v>
      </c>
      <c r="H14" s="27">
        <f>G14</f>
        <v>0.60520311267261884</v>
      </c>
      <c r="I14" s="27">
        <f t="shared" ref="I14:K14" si="7">H14</f>
        <v>0.60520311267261884</v>
      </c>
      <c r="J14" s="27">
        <f t="shared" si="7"/>
        <v>0.60520311267261884</v>
      </c>
      <c r="K14" s="27">
        <f t="shared" si="7"/>
        <v>0.60520311267261884</v>
      </c>
    </row>
    <row r="15" spans="1:11" x14ac:dyDescent="0.3">
      <c r="B15" s="41"/>
      <c r="C15" s="42"/>
      <c r="D15" s="43"/>
      <c r="E15" s="43"/>
      <c r="F15" s="43"/>
      <c r="G15" s="43"/>
      <c r="H15" s="43"/>
      <c r="I15" s="43"/>
      <c r="J15" s="43"/>
      <c r="K15" s="43"/>
    </row>
    <row r="16" spans="1:11" ht="15" thickBot="1" x14ac:dyDescent="0.35">
      <c r="A16" t="s">
        <v>36</v>
      </c>
      <c r="B16" s="7" t="s">
        <v>3</v>
      </c>
      <c r="C16" s="32">
        <f>C4-C13</f>
        <v>4344.670000000001</v>
      </c>
      <c r="D16" s="32">
        <f t="shared" ref="D16:K16" si="8">D4-D13</f>
        <v>4878.4400000000005</v>
      </c>
      <c r="E16" s="32">
        <f t="shared" si="8"/>
        <v>5222.3499999999985</v>
      </c>
      <c r="F16" s="32">
        <f t="shared" si="8"/>
        <v>6110.2100000000009</v>
      </c>
      <c r="G16" s="32">
        <f t="shared" si="8"/>
        <v>6955.65</v>
      </c>
      <c r="H16" s="32">
        <f t="shared" si="8"/>
        <v>7721.3853073634691</v>
      </c>
      <c r="I16" s="32">
        <f t="shared" si="8"/>
        <v>8571.4190715128643</v>
      </c>
      <c r="J16" s="32">
        <f t="shared" si="8"/>
        <v>9515.0315616850257</v>
      </c>
      <c r="K16" s="32">
        <f t="shared" si="8"/>
        <v>10562.524695678254</v>
      </c>
    </row>
    <row r="17" spans="1:11" x14ac:dyDescent="0.3">
      <c r="B17" s="12" t="s">
        <v>41</v>
      </c>
      <c r="C17" s="13">
        <f>C16/C4</f>
        <v>0.37447498411915853</v>
      </c>
      <c r="D17" s="13">
        <f t="shared" ref="D17:K17" si="9">D16/D4</f>
        <v>0.39261929423429648</v>
      </c>
      <c r="E17" s="13">
        <f t="shared" si="9"/>
        <v>0.37889351933809073</v>
      </c>
      <c r="F17" s="13">
        <f t="shared" si="9"/>
        <v>0.40183284722656087</v>
      </c>
      <c r="G17" s="13">
        <f t="shared" si="9"/>
        <v>0.39479688732738116</v>
      </c>
      <c r="H17" s="28">
        <f t="shared" si="9"/>
        <v>0.39479688732738122</v>
      </c>
      <c r="I17" s="28">
        <f t="shared" si="9"/>
        <v>0.39479688732738122</v>
      </c>
      <c r="J17" s="28">
        <f t="shared" si="9"/>
        <v>0.39479688732738111</v>
      </c>
      <c r="K17" s="28">
        <f t="shared" si="9"/>
        <v>0.39479688732738116</v>
      </c>
    </row>
    <row r="18" spans="1:11" x14ac:dyDescent="0.3">
      <c r="B18" t="s">
        <v>46</v>
      </c>
    </row>
    <row r="19" spans="1:11" x14ac:dyDescent="0.3">
      <c r="B19" s="40" t="str">
        <f>'Data Sheet'!A22</f>
        <v>Employee Cost</v>
      </c>
      <c r="C19" s="25">
        <f>'Data Sheet'!B22</f>
        <v>834.95</v>
      </c>
      <c r="D19" s="25">
        <f>'Data Sheet'!C22</f>
        <v>821.37</v>
      </c>
      <c r="E19" s="25">
        <f>'Data Sheet'!D22</f>
        <v>806.3</v>
      </c>
      <c r="F19" s="25">
        <f>'Data Sheet'!E22</f>
        <v>884.8</v>
      </c>
      <c r="G19" s="25">
        <f>'Data Sheet'!F22</f>
        <v>970.23</v>
      </c>
    </row>
    <row r="20" spans="1:11" x14ac:dyDescent="0.3">
      <c r="B20" s="40" t="str">
        <f>'Data Sheet'!A23</f>
        <v>Selling and admin</v>
      </c>
      <c r="C20" s="25">
        <f>'Data Sheet'!B23</f>
        <v>926.92</v>
      </c>
      <c r="D20" s="25">
        <f>'Data Sheet'!C23</f>
        <v>857.64</v>
      </c>
      <c r="E20" s="25">
        <f>'Data Sheet'!D23</f>
        <v>968.23</v>
      </c>
      <c r="F20" s="25">
        <f>'Data Sheet'!E23</f>
        <v>1278.1600000000001</v>
      </c>
      <c r="G20" s="25">
        <f>'Data Sheet'!F23</f>
        <v>1421.46</v>
      </c>
    </row>
    <row r="21" spans="1:11" x14ac:dyDescent="0.3">
      <c r="B21" s="40" t="str">
        <f>'Data Sheet'!A24</f>
        <v>Other Expenses</v>
      </c>
      <c r="C21" s="25">
        <f>'Data Sheet'!B24</f>
        <v>380.79</v>
      </c>
      <c r="D21" s="25">
        <f>'Data Sheet'!C24</f>
        <v>316.36</v>
      </c>
      <c r="E21" s="25">
        <f>'Data Sheet'!D24</f>
        <v>384.55</v>
      </c>
      <c r="F21" s="25">
        <f>'Data Sheet'!E24</f>
        <v>429.32</v>
      </c>
      <c r="G21" s="25">
        <f>'Data Sheet'!F24</f>
        <v>409.22</v>
      </c>
    </row>
    <row r="22" spans="1:11" ht="15" thickBot="1" x14ac:dyDescent="0.35">
      <c r="B22" s="15" t="s">
        <v>38</v>
      </c>
      <c r="C22" s="32">
        <f>SUM(C19:C21)</f>
        <v>2142.66</v>
      </c>
      <c r="D22" s="32">
        <f>SUM(D19:D21)</f>
        <v>1995.37</v>
      </c>
      <c r="E22" s="32">
        <f>SUM(E19:E21)</f>
        <v>2159.08</v>
      </c>
      <c r="F22" s="32">
        <f>SUM(F19:F21)</f>
        <v>2592.2800000000002</v>
      </c>
      <c r="G22" s="32">
        <f>SUM(G19:G21)</f>
        <v>2800.91</v>
      </c>
      <c r="H22" s="32">
        <f>H4*H23</f>
        <v>3109.2572687308038</v>
      </c>
      <c r="I22" s="32">
        <f t="shared" ref="I22:K22" si="10">I4*I23</f>
        <v>3451.5499473940031</v>
      </c>
      <c r="J22" s="32">
        <f t="shared" si="10"/>
        <v>3831.5250266242856</v>
      </c>
      <c r="K22" s="32">
        <f t="shared" si="10"/>
        <v>4253.3308958001307</v>
      </c>
    </row>
    <row r="23" spans="1:11" x14ac:dyDescent="0.3">
      <c r="B23" s="12" t="s">
        <v>96</v>
      </c>
      <c r="C23" s="13">
        <f>C22/C4</f>
        <v>0.18467975000926559</v>
      </c>
      <c r="D23" s="13">
        <f t="shared" ref="D23:G23" si="11">D22/D4</f>
        <v>0.16058837684511607</v>
      </c>
      <c r="E23" s="13">
        <f t="shared" si="11"/>
        <v>0.15664622626451408</v>
      </c>
      <c r="F23" s="13">
        <f t="shared" si="11"/>
        <v>0.17047912481051702</v>
      </c>
      <c r="G23" s="13">
        <f t="shared" si="11"/>
        <v>0.15897731336167509</v>
      </c>
      <c r="H23" s="13">
        <f>G23</f>
        <v>0.15897731336167509</v>
      </c>
      <c r="I23" s="13">
        <f t="shared" ref="I23:K23" si="12">H23</f>
        <v>0.15897731336167509</v>
      </c>
      <c r="J23" s="13">
        <f t="shared" si="12"/>
        <v>0.15897731336167509</v>
      </c>
      <c r="K23" s="13">
        <f t="shared" si="12"/>
        <v>0.15897731336167509</v>
      </c>
    </row>
    <row r="24" spans="1:11" x14ac:dyDescent="0.3">
      <c r="A24" t="s">
        <v>36</v>
      </c>
      <c r="B24" s="4" t="s">
        <v>5</v>
      </c>
      <c r="C24" s="29">
        <f t="shared" ref="C24:K24" si="13">C16-C22</f>
        <v>2202.0100000000011</v>
      </c>
      <c r="D24" s="29">
        <f t="shared" si="13"/>
        <v>2883.0700000000006</v>
      </c>
      <c r="E24" s="29">
        <f t="shared" si="13"/>
        <v>3063.2699999999986</v>
      </c>
      <c r="F24" s="29">
        <f t="shared" si="13"/>
        <v>3517.9300000000007</v>
      </c>
      <c r="G24" s="29">
        <f t="shared" si="13"/>
        <v>4154.74</v>
      </c>
      <c r="H24" s="30">
        <f t="shared" si="13"/>
        <v>4612.1280386326653</v>
      </c>
      <c r="I24" s="30">
        <f t="shared" si="13"/>
        <v>5119.8691241188608</v>
      </c>
      <c r="J24" s="30">
        <f t="shared" si="13"/>
        <v>5683.5065350607401</v>
      </c>
      <c r="K24" s="30">
        <f t="shared" si="13"/>
        <v>6309.1937998781232</v>
      </c>
    </row>
    <row r="25" spans="1:11" x14ac:dyDescent="0.3">
      <c r="B25" s="12" t="s">
        <v>42</v>
      </c>
      <c r="C25" s="13">
        <f t="shared" ref="C25:K25" si="14">C24/C4</f>
        <v>0.18979523410989294</v>
      </c>
      <c r="D25" s="13">
        <f t="shared" si="14"/>
        <v>0.23203091738918039</v>
      </c>
      <c r="E25" s="13">
        <f t="shared" si="14"/>
        <v>0.22224729307357666</v>
      </c>
      <c r="F25" s="13">
        <f t="shared" si="14"/>
        <v>0.23135372241604388</v>
      </c>
      <c r="G25" s="13">
        <f t="shared" si="14"/>
        <v>0.2358195739657061</v>
      </c>
      <c r="H25" s="28">
        <f t="shared" si="14"/>
        <v>0.2358195739657061</v>
      </c>
      <c r="I25" s="28">
        <f t="shared" si="14"/>
        <v>0.2358195739657061</v>
      </c>
      <c r="J25" s="28">
        <f t="shared" si="14"/>
        <v>0.23581957396570605</v>
      </c>
      <c r="K25" s="28">
        <f t="shared" si="14"/>
        <v>0.23581957396570608</v>
      </c>
    </row>
    <row r="26" spans="1:11" x14ac:dyDescent="0.3">
      <c r="B26" s="33" t="s">
        <v>7</v>
      </c>
      <c r="C26" s="29">
        <f>'Data Sheet'!F26</f>
        <v>254.74</v>
      </c>
      <c r="D26" s="29">
        <f>'Data Sheet'!G26</f>
        <v>278.01</v>
      </c>
      <c r="E26" s="29">
        <f>'Data Sheet'!H26</f>
        <v>304.08</v>
      </c>
      <c r="F26" s="29">
        <f>'Data Sheet'!I26</f>
        <v>377.15</v>
      </c>
      <c r="G26" s="29">
        <f>'Data Sheet'!J26</f>
        <v>600.74</v>
      </c>
      <c r="H26" s="30">
        <f>H4*H27</f>
        <v>666.87441282202678</v>
      </c>
      <c r="I26" s="30">
        <f t="shared" ref="I26:K26" si="15">I4*I27</f>
        <v>740.28944714306192</v>
      </c>
      <c r="J26" s="30">
        <f t="shared" si="15"/>
        <v>821.7866138127514</v>
      </c>
      <c r="K26" s="30">
        <f t="shared" si="15"/>
        <v>912.25566060422182</v>
      </c>
    </row>
    <row r="27" spans="1:11" x14ac:dyDescent="0.3">
      <c r="B27" s="12" t="s">
        <v>39</v>
      </c>
      <c r="C27" s="13">
        <f>C26/C4</f>
        <v>2.1956502439659267E-2</v>
      </c>
      <c r="D27" s="13">
        <f>D26/D4</f>
        <v>2.237438402236714E-2</v>
      </c>
      <c r="E27" s="13">
        <f>E26/E4</f>
        <v>2.2061704282617337E-2</v>
      </c>
      <c r="F27" s="13">
        <f>F26/F4</f>
        <v>2.4802954126208004E-2</v>
      </c>
      <c r="G27" s="13">
        <f>G26/G4</f>
        <v>3.4097500893956856E-2</v>
      </c>
      <c r="H27" s="27">
        <f>G27</f>
        <v>3.4097500893956856E-2</v>
      </c>
      <c r="I27" s="27">
        <f t="shared" ref="I27:K27" si="16">H27</f>
        <v>3.4097500893956856E-2</v>
      </c>
      <c r="J27" s="27">
        <f t="shared" si="16"/>
        <v>3.4097500893956856E-2</v>
      </c>
      <c r="K27" s="27">
        <f t="shared" si="16"/>
        <v>3.4097500893956856E-2</v>
      </c>
    </row>
    <row r="28" spans="1:11" x14ac:dyDescent="0.3">
      <c r="A28" t="s">
        <v>36</v>
      </c>
      <c r="B28" s="4" t="s">
        <v>8</v>
      </c>
      <c r="C28" s="29">
        <f>C24-C26</f>
        <v>1947.2700000000011</v>
      </c>
      <c r="D28" s="29">
        <f>D24-D26</f>
        <v>2605.0600000000004</v>
      </c>
      <c r="E28" s="29">
        <f>E24-E26</f>
        <v>2759.1899999999987</v>
      </c>
      <c r="F28" s="29">
        <f>F24-F26</f>
        <v>3140.7800000000007</v>
      </c>
      <c r="G28" s="29">
        <f>G24-G26</f>
        <v>3554</v>
      </c>
      <c r="H28" s="30">
        <f>H4*H29</f>
        <v>3945.2536258106388</v>
      </c>
      <c r="I28" s="30">
        <f t="shared" ref="I28:K28" si="17">I4*I29</f>
        <v>4379.5796769757999</v>
      </c>
      <c r="J28" s="30">
        <f t="shared" si="17"/>
        <v>4861.7199212479909</v>
      </c>
      <c r="K28" s="30">
        <f t="shared" si="17"/>
        <v>5396.9381392739024</v>
      </c>
    </row>
    <row r="29" spans="1:11" x14ac:dyDescent="0.3">
      <c r="B29" s="12" t="s">
        <v>43</v>
      </c>
      <c r="C29" s="13">
        <f>C28/C4</f>
        <v>0.16783873167023367</v>
      </c>
      <c r="D29" s="13">
        <f>D28/D4</f>
        <v>0.20965653336681325</v>
      </c>
      <c r="E29" s="13">
        <f>E28/E4</f>
        <v>0.20018558879095932</v>
      </c>
      <c r="F29" s="13">
        <f>F28/F4</f>
        <v>0.20655076828983585</v>
      </c>
      <c r="G29" s="13">
        <f>G28/G4</f>
        <v>0.20172207307174927</v>
      </c>
      <c r="H29" s="27">
        <f>G29</f>
        <v>0.20172207307174927</v>
      </c>
      <c r="I29" s="27">
        <f t="shared" ref="I29:K29" si="18">H29</f>
        <v>0.20172207307174927</v>
      </c>
      <c r="J29" s="27">
        <f t="shared" si="18"/>
        <v>0.20172207307174927</v>
      </c>
      <c r="K29" s="27">
        <f t="shared" si="18"/>
        <v>0.20172207307174927</v>
      </c>
    </row>
    <row r="30" spans="1:11" x14ac:dyDescent="0.3">
      <c r="B30" s="33" t="s">
        <v>33</v>
      </c>
      <c r="C30" s="34">
        <f>'Data Sheet'!F27</f>
        <v>68.69</v>
      </c>
      <c r="D30" s="34">
        <f>'Data Sheet'!G27</f>
        <v>72.78</v>
      </c>
      <c r="E30" s="34">
        <f>'Data Sheet'!H27</f>
        <v>87.16</v>
      </c>
      <c r="F30" s="34">
        <f>'Data Sheet'!I27</f>
        <v>129.81</v>
      </c>
      <c r="G30" s="34">
        <f>'Data Sheet'!J27</f>
        <v>290.2</v>
      </c>
      <c r="H30" s="30">
        <f>H4*H31</f>
        <v>322.14760895054792</v>
      </c>
      <c r="I30" s="30">
        <f t="shared" ref="I30:K30" si="19">I4*I31</f>
        <v>357.61227413010039</v>
      </c>
      <c r="J30" s="30">
        <f t="shared" si="19"/>
        <v>396.9811820895236</v>
      </c>
      <c r="K30" s="30">
        <f t="shared" si="19"/>
        <v>440.68414406789145</v>
      </c>
    </row>
    <row r="31" spans="1:11" x14ac:dyDescent="0.3">
      <c r="B31" s="12" t="s">
        <v>44</v>
      </c>
      <c r="C31" s="13">
        <f>C30/C4</f>
        <v>5.9205156339019981E-3</v>
      </c>
      <c r="D31" s="13">
        <f>D30/D4</f>
        <v>5.8573708469043572E-3</v>
      </c>
      <c r="E31" s="13">
        <f>E30/E4</f>
        <v>6.3236587255752668E-3</v>
      </c>
      <c r="F31" s="13">
        <f>F30/F4</f>
        <v>8.536846016500229E-3</v>
      </c>
      <c r="G31" s="13">
        <f>G30/G4</f>
        <v>1.6471509737034786E-2</v>
      </c>
      <c r="H31" s="27">
        <f>G31</f>
        <v>1.6471509737034786E-2</v>
      </c>
      <c r="I31" s="27">
        <f t="shared" ref="I31:K31" si="20">H31</f>
        <v>1.6471509737034786E-2</v>
      </c>
      <c r="J31" s="27">
        <f t="shared" si="20"/>
        <v>1.6471509737034786E-2</v>
      </c>
      <c r="K31" s="27">
        <f t="shared" si="20"/>
        <v>1.6471509737034786E-2</v>
      </c>
    </row>
    <row r="32" spans="1:11" x14ac:dyDescent="0.3">
      <c r="B32" s="4" t="s">
        <v>11</v>
      </c>
      <c r="C32" s="29">
        <f>C28-C30</f>
        <v>1878.5800000000011</v>
      </c>
      <c r="D32" s="29">
        <f t="shared" ref="D32:G32" si="21">D28-D30</f>
        <v>2532.2800000000002</v>
      </c>
      <c r="E32" s="29">
        <f t="shared" si="21"/>
        <v>2672.0299999999988</v>
      </c>
      <c r="F32" s="29">
        <f t="shared" si="21"/>
        <v>3010.9700000000007</v>
      </c>
      <c r="G32" s="29">
        <f t="shared" si="21"/>
        <v>3263.8</v>
      </c>
      <c r="H32" s="30">
        <f>H4*H33</f>
        <v>3623.1060168600911</v>
      </c>
      <c r="I32" s="30">
        <f t="shared" ref="I32:K32" si="22">I4*I33</f>
        <v>4021.9674028456993</v>
      </c>
      <c r="J32" s="30">
        <f t="shared" si="22"/>
        <v>4464.7387391584671</v>
      </c>
      <c r="K32" s="30">
        <f t="shared" si="22"/>
        <v>4956.2539952060106</v>
      </c>
    </row>
    <row r="33" spans="1:11" x14ac:dyDescent="0.3">
      <c r="B33" s="12" t="s">
        <v>45</v>
      </c>
      <c r="C33" s="13">
        <f>C32/C4</f>
        <v>0.16191821603633166</v>
      </c>
      <c r="D33" s="13">
        <f>D32/D4</f>
        <v>0.20379916251990887</v>
      </c>
      <c r="E33" s="13">
        <f>E32/E4</f>
        <v>0.19386193006538405</v>
      </c>
      <c r="F33" s="13">
        <f>F32/F4</f>
        <v>0.19801392227333564</v>
      </c>
      <c r="G33" s="13">
        <f>G32/G4</f>
        <v>0.18525056333471449</v>
      </c>
      <c r="H33" s="27">
        <f>G33</f>
        <v>0.18525056333471449</v>
      </c>
      <c r="I33" s="27">
        <f t="shared" ref="I33:K33" si="23">H33</f>
        <v>0.18525056333471449</v>
      </c>
      <c r="J33" s="27">
        <f t="shared" si="23"/>
        <v>0.18525056333471449</v>
      </c>
      <c r="K33" s="27">
        <f t="shared" si="23"/>
        <v>0.18525056333471449</v>
      </c>
    </row>
    <row r="34" spans="1:11" x14ac:dyDescent="0.3">
      <c r="B34" s="4" t="s">
        <v>34</v>
      </c>
      <c r="C34" s="34">
        <f>'Data Sheet'!F29</f>
        <v>317.27</v>
      </c>
      <c r="D34" s="34">
        <f>'Data Sheet'!G29</f>
        <v>377.04</v>
      </c>
      <c r="E34" s="34">
        <f>'Data Sheet'!H29</f>
        <v>447.04</v>
      </c>
      <c r="F34" s="34">
        <f>'Data Sheet'!I29</f>
        <v>394.73</v>
      </c>
      <c r="G34" s="34">
        <f>'Data Sheet'!J29</f>
        <v>396.24</v>
      </c>
      <c r="H34" s="30">
        <f>H32*H35</f>
        <v>439.86136654226436</v>
      </c>
      <c r="I34" s="30">
        <f t="shared" ref="I34:K34" si="24">I32*I35</f>
        <v>488.2849328094797</v>
      </c>
      <c r="J34" s="30">
        <f t="shared" si="24"/>
        <v>542.03936454566792</v>
      </c>
      <c r="K34" s="30">
        <f t="shared" si="24"/>
        <v>601.71152737926025</v>
      </c>
    </row>
    <row r="35" spans="1:11" x14ac:dyDescent="0.3">
      <c r="B35" s="12" t="s">
        <v>154</v>
      </c>
      <c r="C35" s="13">
        <f>C34/C32</f>
        <v>0.16888820279147004</v>
      </c>
      <c r="D35" s="13">
        <f t="shared" ref="D35:G35" si="25">D34/D32</f>
        <v>0.1488934872920846</v>
      </c>
      <c r="E35" s="13">
        <f t="shared" si="25"/>
        <v>0.16730351081387568</v>
      </c>
      <c r="F35" s="13">
        <f t="shared" si="25"/>
        <v>0.13109728758506392</v>
      </c>
      <c r="G35" s="13">
        <f t="shared" si="25"/>
        <v>0.12140449782462161</v>
      </c>
      <c r="H35" s="27">
        <f>G35</f>
        <v>0.12140449782462161</v>
      </c>
      <c r="I35" s="27">
        <f t="shared" ref="I35:K35" si="26">H35</f>
        <v>0.12140449782462161</v>
      </c>
      <c r="J35" s="27">
        <f t="shared" si="26"/>
        <v>0.12140449782462161</v>
      </c>
      <c r="K35" s="27">
        <f t="shared" si="26"/>
        <v>0.12140449782462161</v>
      </c>
    </row>
    <row r="36" spans="1:11" ht="15" thickBot="1" x14ac:dyDescent="0.35">
      <c r="A36" t="s">
        <v>36</v>
      </c>
      <c r="B36" s="6" t="s">
        <v>12</v>
      </c>
      <c r="C36" s="35">
        <f>C32-C34</f>
        <v>1561.3100000000011</v>
      </c>
      <c r="D36" s="35">
        <f t="shared" ref="D36:G36" si="27">D32-D34</f>
        <v>2155.2400000000002</v>
      </c>
      <c r="E36" s="35">
        <f t="shared" si="27"/>
        <v>2224.9899999999989</v>
      </c>
      <c r="F36" s="35">
        <f t="shared" si="27"/>
        <v>2616.2400000000007</v>
      </c>
      <c r="G36" s="35">
        <f t="shared" si="27"/>
        <v>2867.5600000000004</v>
      </c>
      <c r="H36" s="35">
        <f>G36*(1+H37)</f>
        <v>3334.2849594796326</v>
      </c>
      <c r="I36" s="35">
        <f>H36*(1+I37)</f>
        <v>3876.9742188522969</v>
      </c>
      <c r="J36" s="35">
        <f t="shared" ref="J36:K36" si="28">I36*(1+J37)</f>
        <v>4507.9917512482771</v>
      </c>
      <c r="K36" s="35">
        <f t="shared" si="28"/>
        <v>5241.7138939186543</v>
      </c>
    </row>
    <row r="37" spans="1:11" ht="15" thickTop="1" x14ac:dyDescent="0.3">
      <c r="B37" s="12" t="s">
        <v>158</v>
      </c>
      <c r="C37" s="13">
        <f>C36/C4</f>
        <v>0.13457213953075461</v>
      </c>
      <c r="D37" s="13">
        <f t="shared" ref="D37:G37" si="29">D36/D4</f>
        <v>0.17345479450511334</v>
      </c>
      <c r="E37" s="13">
        <f t="shared" si="29"/>
        <v>0.16142814855229126</v>
      </c>
      <c r="F37" s="13">
        <f t="shared" si="29"/>
        <v>0.17205483415922165</v>
      </c>
      <c r="G37" s="13">
        <f t="shared" si="29"/>
        <v>0.16276031172133523</v>
      </c>
      <c r="H37" s="13">
        <f>G37</f>
        <v>0.16276031172133523</v>
      </c>
      <c r="I37" s="13">
        <f>H37</f>
        <v>0.16276031172133523</v>
      </c>
      <c r="J37" s="13">
        <f t="shared" ref="J37:K37" si="30">I37</f>
        <v>0.16276031172133523</v>
      </c>
      <c r="K37" s="13">
        <f t="shared" si="30"/>
        <v>0.16276031172133523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L46"/>
  <sheetViews>
    <sheetView showGridLines="0" workbookViewId="0">
      <selection activeCell="H6" sqref="H6"/>
    </sheetView>
  </sheetViews>
  <sheetFormatPr defaultRowHeight="14.4" outlineLevelRow="1" x14ac:dyDescent="0.3"/>
  <cols>
    <col min="1" max="1" width="18" bestFit="1" customWidth="1"/>
    <col min="2" max="2" width="21.5546875" bestFit="1" customWidth="1"/>
    <col min="3" max="7" width="11.33203125" bestFit="1" customWidth="1"/>
    <col min="8" max="11" width="11.5546875" bestFit="1" customWidth="1"/>
  </cols>
  <sheetData>
    <row r="2" spans="2:12" x14ac:dyDescent="0.3">
      <c r="B2" s="11" t="s">
        <v>99</v>
      </c>
      <c r="C2" s="11"/>
      <c r="D2" s="11"/>
      <c r="E2" s="11"/>
      <c r="F2" s="11"/>
      <c r="G2" s="11"/>
      <c r="H2" s="11"/>
      <c r="I2" s="11"/>
      <c r="J2" s="11"/>
      <c r="K2" s="11"/>
    </row>
    <row r="3" spans="2:12" x14ac:dyDescent="0.3">
      <c r="B3" s="46" t="s">
        <v>14</v>
      </c>
      <c r="C3" s="47">
        <v>2021</v>
      </c>
      <c r="D3" s="47">
        <f>C3+1</f>
        <v>2022</v>
      </c>
      <c r="E3" s="47">
        <f t="shared" ref="E3:K3" si="0">D3+1</f>
        <v>2023</v>
      </c>
      <c r="F3" s="47">
        <f t="shared" si="0"/>
        <v>2024</v>
      </c>
      <c r="G3" s="47">
        <f t="shared" si="0"/>
        <v>2025</v>
      </c>
      <c r="H3" s="51">
        <f t="shared" si="0"/>
        <v>2026</v>
      </c>
      <c r="I3" s="51">
        <f t="shared" si="0"/>
        <v>2027</v>
      </c>
      <c r="J3" s="51">
        <f t="shared" si="0"/>
        <v>2028</v>
      </c>
      <c r="K3" s="51">
        <f t="shared" si="0"/>
        <v>2029</v>
      </c>
    </row>
    <row r="4" spans="2:12" x14ac:dyDescent="0.3">
      <c r="B4" t="s">
        <v>73</v>
      </c>
      <c r="C4" s="24">
        <f>'Data Sheet'!F57</f>
        <v>92.16</v>
      </c>
      <c r="D4" s="24">
        <f>'Data Sheet'!G57</f>
        <v>92.16</v>
      </c>
      <c r="E4" s="24">
        <f>'Data Sheet'!H57</f>
        <v>92.9</v>
      </c>
      <c r="F4" s="24">
        <f>'Data Sheet'!I57</f>
        <v>95.28</v>
      </c>
      <c r="G4" s="24">
        <f>'Data Sheet'!J57</f>
        <v>98.95</v>
      </c>
      <c r="H4" s="10">
        <f>G4</f>
        <v>98.95</v>
      </c>
      <c r="I4" s="10">
        <f t="shared" ref="I4:K4" si="1">H4</f>
        <v>98.95</v>
      </c>
      <c r="J4" s="10">
        <f t="shared" si="1"/>
        <v>98.95</v>
      </c>
      <c r="K4" s="10">
        <f t="shared" si="1"/>
        <v>98.95</v>
      </c>
    </row>
    <row r="5" spans="2:12" x14ac:dyDescent="0.3">
      <c r="B5" t="s">
        <v>74</v>
      </c>
      <c r="C5" s="24">
        <f>'Data Sheet'!F58</f>
        <v>14442.35</v>
      </c>
      <c r="D5" s="24">
        <f>'Data Sheet'!G58</f>
        <v>15049.78</v>
      </c>
      <c r="E5" s="24">
        <f>'Data Sheet'!H58</f>
        <v>16183.81</v>
      </c>
      <c r="F5" s="24">
        <f>'Data Sheet'!I58</f>
        <v>15961.51</v>
      </c>
      <c r="G5" s="24">
        <f>'Data Sheet'!J58</f>
        <v>19902.13</v>
      </c>
      <c r="H5" s="10">
        <f>G5</f>
        <v>19902.13</v>
      </c>
      <c r="I5" s="10">
        <f t="shared" ref="I5:K5" si="2">H5</f>
        <v>19902.13</v>
      </c>
      <c r="J5" s="10">
        <f t="shared" si="2"/>
        <v>19902.13</v>
      </c>
      <c r="K5" s="10">
        <f t="shared" si="2"/>
        <v>19902.13</v>
      </c>
      <c r="L5" s="23"/>
    </row>
    <row r="6" spans="2:12" x14ac:dyDescent="0.3">
      <c r="B6" t="s">
        <v>75</v>
      </c>
      <c r="C6" s="24">
        <f>'Data Sheet'!F59</f>
        <v>1633.55</v>
      </c>
      <c r="D6" s="24">
        <f>'Data Sheet'!G59</f>
        <v>1412.01</v>
      </c>
      <c r="E6" s="24">
        <f>'Data Sheet'!H59</f>
        <v>1600.04</v>
      </c>
      <c r="F6" s="24">
        <f>'Data Sheet'!I59</f>
        <v>3477.22</v>
      </c>
      <c r="G6" s="24">
        <f>'Data Sheet'!J59</f>
        <v>2392.6799999999998</v>
      </c>
      <c r="H6" s="10">
        <f t="shared" ref="H6:K6" si="3">G6</f>
        <v>2392.6799999999998</v>
      </c>
      <c r="I6" s="10">
        <f t="shared" si="3"/>
        <v>2392.6799999999998</v>
      </c>
      <c r="J6" s="10">
        <f t="shared" si="3"/>
        <v>2392.6799999999998</v>
      </c>
      <c r="K6" s="10">
        <f t="shared" si="3"/>
        <v>2392.6799999999998</v>
      </c>
      <c r="L6" s="23"/>
    </row>
    <row r="7" spans="2:12" x14ac:dyDescent="0.3">
      <c r="B7" t="s">
        <v>76</v>
      </c>
      <c r="C7" s="24">
        <f>'Data Sheet'!F60</f>
        <v>4049.76</v>
      </c>
      <c r="D7" s="24">
        <f>'Data Sheet'!G60</f>
        <v>4520.92</v>
      </c>
      <c r="E7" s="24">
        <f>'Data Sheet'!H60</f>
        <v>4885.74</v>
      </c>
      <c r="F7" s="24">
        <f>'Data Sheet'!I60</f>
        <v>8344.7800000000007</v>
      </c>
      <c r="G7" s="24">
        <f>'Data Sheet'!J60</f>
        <v>9436.86</v>
      </c>
      <c r="H7" s="10">
        <f t="shared" ref="H7:K7" si="4">G7</f>
        <v>9436.86</v>
      </c>
      <c r="I7" s="10">
        <f t="shared" si="4"/>
        <v>9436.86</v>
      </c>
      <c r="J7" s="10">
        <f t="shared" si="4"/>
        <v>9436.86</v>
      </c>
      <c r="K7" s="10">
        <f t="shared" si="4"/>
        <v>9436.86</v>
      </c>
      <c r="L7" s="23"/>
    </row>
    <row r="8" spans="2:12" x14ac:dyDescent="0.3">
      <c r="B8" s="4" t="s">
        <v>97</v>
      </c>
      <c r="C8" s="49">
        <f>SUM(C4:C7)</f>
        <v>20217.82</v>
      </c>
      <c r="D8" s="49">
        <v>10460.76</v>
      </c>
      <c r="E8" s="49">
        <v>10880.68</v>
      </c>
      <c r="F8" s="49">
        <v>18473.04</v>
      </c>
      <c r="G8" s="49">
        <v>20217.82</v>
      </c>
      <c r="H8" s="48">
        <f>SUM(H4:H7)</f>
        <v>31830.620000000003</v>
      </c>
      <c r="I8" s="48">
        <f t="shared" ref="I8:K8" si="5">SUM(I4:I7)</f>
        <v>31830.620000000003</v>
      </c>
      <c r="J8" s="48">
        <f t="shared" si="5"/>
        <v>31830.620000000003</v>
      </c>
      <c r="K8" s="48">
        <f t="shared" si="5"/>
        <v>31830.620000000003</v>
      </c>
    </row>
    <row r="9" spans="2:12" x14ac:dyDescent="0.3">
      <c r="F9" s="45"/>
      <c r="G9" s="45"/>
      <c r="H9" s="45"/>
    </row>
    <row r="10" spans="2:12" x14ac:dyDescent="0.3">
      <c r="B10" t="s">
        <v>100</v>
      </c>
      <c r="C10" s="24">
        <f>'Data Sheet'!F62</f>
        <v>12023.13</v>
      </c>
      <c r="D10" s="24">
        <f>'Data Sheet'!G62</f>
        <v>12599.35</v>
      </c>
      <c r="E10" s="24">
        <f>'Data Sheet'!H62</f>
        <v>13070.04</v>
      </c>
      <c r="F10" s="24">
        <f>'Data Sheet'!I62</f>
        <v>19357.900000000001</v>
      </c>
      <c r="G10" s="24">
        <f>'Data Sheet'!J62</f>
        <v>21476.84</v>
      </c>
      <c r="H10" s="10">
        <f>G10</f>
        <v>21476.84</v>
      </c>
      <c r="I10" s="10">
        <f t="shared" ref="I10:K10" si="6">H10</f>
        <v>21476.84</v>
      </c>
      <c r="J10" s="10">
        <f t="shared" si="6"/>
        <v>21476.84</v>
      </c>
      <c r="K10" s="10">
        <f t="shared" si="6"/>
        <v>21476.84</v>
      </c>
    </row>
    <row r="11" spans="2:12" x14ac:dyDescent="0.3">
      <c r="B11" t="s">
        <v>79</v>
      </c>
      <c r="C11" s="24">
        <f>'Data Sheet'!F63</f>
        <v>112.85</v>
      </c>
      <c r="D11" s="24">
        <f>'Data Sheet'!G63</f>
        <v>246.97</v>
      </c>
      <c r="E11" s="24">
        <f>'Data Sheet'!H63</f>
        <v>294.89999999999998</v>
      </c>
      <c r="F11" s="24">
        <f>'Data Sheet'!I63</f>
        <v>189.6</v>
      </c>
      <c r="G11" s="24">
        <f>'Data Sheet'!J63</f>
        <v>218.1</v>
      </c>
      <c r="H11" s="10">
        <f t="shared" ref="H11:K11" si="7">G11</f>
        <v>218.1</v>
      </c>
      <c r="I11" s="10">
        <f t="shared" si="7"/>
        <v>218.1</v>
      </c>
      <c r="J11" s="10">
        <f t="shared" si="7"/>
        <v>218.1</v>
      </c>
      <c r="K11" s="10">
        <f t="shared" si="7"/>
        <v>218.1</v>
      </c>
    </row>
    <row r="12" spans="2:12" x14ac:dyDescent="0.3">
      <c r="B12" t="s">
        <v>80</v>
      </c>
      <c r="C12" s="24">
        <f>'Data Sheet'!F64</f>
        <v>805.89</v>
      </c>
      <c r="D12" s="24">
        <f>'Data Sheet'!G64</f>
        <v>797.28</v>
      </c>
      <c r="E12" s="24">
        <f>'Data Sheet'!H64</f>
        <v>1432.97</v>
      </c>
      <c r="F12" s="24">
        <f>'Data Sheet'!I64</f>
        <v>870.55</v>
      </c>
      <c r="G12" s="24">
        <f>'Data Sheet'!J64</f>
        <v>968.67</v>
      </c>
      <c r="H12" s="10">
        <f t="shared" ref="H12:K12" si="8">G12</f>
        <v>968.67</v>
      </c>
      <c r="I12" s="10">
        <f t="shared" si="8"/>
        <v>968.67</v>
      </c>
      <c r="J12" s="10">
        <f t="shared" si="8"/>
        <v>968.67</v>
      </c>
      <c r="K12" s="10">
        <f t="shared" si="8"/>
        <v>968.67</v>
      </c>
    </row>
    <row r="13" spans="2:12" x14ac:dyDescent="0.3">
      <c r="B13" t="s">
        <v>81</v>
      </c>
      <c r="C13" s="24">
        <f>'Data Sheet'!F65-SUM(C16:C18)</f>
        <v>1190.5899999999992</v>
      </c>
      <c r="D13" s="24">
        <f>'Data Sheet'!G65-SUM(D16:D18)</f>
        <v>1729.7200000000003</v>
      </c>
      <c r="E13" s="24">
        <f>'Data Sheet'!H65-SUM(E16:E18)</f>
        <v>1667.6399999999994</v>
      </c>
      <c r="F13" s="24">
        <f>'Data Sheet'!I65-SUM(F16:F18)</f>
        <v>1340.1499999999996</v>
      </c>
      <c r="G13" s="24">
        <f>'Data Sheet'!J65-SUM(G16:G18)</f>
        <v>1879.4500000000007</v>
      </c>
      <c r="H13" s="10">
        <f t="shared" ref="H13:K13" si="9">G13</f>
        <v>1879.4500000000007</v>
      </c>
      <c r="I13" s="10">
        <f t="shared" si="9"/>
        <v>1879.4500000000007</v>
      </c>
      <c r="J13" s="10">
        <f t="shared" si="9"/>
        <v>1879.4500000000007</v>
      </c>
      <c r="K13" s="10">
        <f t="shared" si="9"/>
        <v>1879.4500000000007</v>
      </c>
    </row>
    <row r="14" spans="2:12" x14ac:dyDescent="0.3">
      <c r="B14" s="4" t="s">
        <v>101</v>
      </c>
      <c r="C14" s="49">
        <f>SUM(C10:C13)</f>
        <v>14132.46</v>
      </c>
      <c r="D14" s="49">
        <f>'Data Sheet'!G66</f>
        <v>21074.87</v>
      </c>
      <c r="E14" s="49">
        <f>'Data Sheet'!H66</f>
        <v>22762.49</v>
      </c>
      <c r="F14" s="49">
        <f>'Data Sheet'!I66</f>
        <v>27878.79</v>
      </c>
      <c r="G14" s="49">
        <f>'Data Sheet'!J66</f>
        <v>31830.62</v>
      </c>
      <c r="H14" s="48">
        <f>SUM(H10:H13)</f>
        <v>24543.059999999998</v>
      </c>
      <c r="I14" s="48">
        <f t="shared" ref="I14:K14" si="10">SUM(I10:I13)</f>
        <v>24543.059999999998</v>
      </c>
      <c r="J14" s="48">
        <f t="shared" si="10"/>
        <v>24543.059999999998</v>
      </c>
      <c r="K14" s="48">
        <f t="shared" si="10"/>
        <v>24543.059999999998</v>
      </c>
    </row>
    <row r="15" spans="2:12" x14ac:dyDescent="0.3">
      <c r="B15" s="4"/>
      <c r="C15" s="4"/>
      <c r="D15" s="4"/>
      <c r="E15" s="4"/>
      <c r="F15" s="4"/>
      <c r="G15" s="4"/>
      <c r="H15" s="48"/>
      <c r="I15" s="4"/>
      <c r="J15" s="4"/>
      <c r="K15" s="4"/>
    </row>
    <row r="16" spans="2:12" x14ac:dyDescent="0.3">
      <c r="B16" t="s">
        <v>82</v>
      </c>
      <c r="C16" s="24">
        <f>'Data Sheet'!F67</f>
        <v>761.32</v>
      </c>
      <c r="D16" s="24">
        <f>'Data Sheet'!G67</f>
        <v>835.15</v>
      </c>
      <c r="E16" s="24">
        <f>'Data Sheet'!H67</f>
        <v>798.33</v>
      </c>
      <c r="F16" s="24">
        <f>'Data Sheet'!I67</f>
        <v>896.75</v>
      </c>
      <c r="G16" s="24">
        <f>'Data Sheet'!J67</f>
        <v>869.79</v>
      </c>
      <c r="H16" s="10">
        <f>G16</f>
        <v>869.79</v>
      </c>
      <c r="I16" s="10">
        <f t="shared" ref="I16:K16" si="11">H16</f>
        <v>869.79</v>
      </c>
      <c r="J16" s="10">
        <f t="shared" si="11"/>
        <v>869.79</v>
      </c>
      <c r="K16" s="10">
        <f t="shared" si="11"/>
        <v>869.79</v>
      </c>
    </row>
    <row r="17" spans="2:11" x14ac:dyDescent="0.3">
      <c r="B17" t="s">
        <v>15</v>
      </c>
      <c r="C17" s="24">
        <f>'Data Sheet'!F68</f>
        <v>2249.16</v>
      </c>
      <c r="D17" s="24">
        <f>'Data Sheet'!G68</f>
        <v>2266.5100000000002</v>
      </c>
      <c r="E17" s="24">
        <f>'Data Sheet'!H68</f>
        <v>2701.67</v>
      </c>
      <c r="F17" s="24">
        <f>'Data Sheet'!I68</f>
        <v>2769.35</v>
      </c>
      <c r="G17" s="24">
        <f>'Data Sheet'!J68</f>
        <v>3599.91</v>
      </c>
      <c r="H17" s="10">
        <f t="shared" ref="H17:K17" si="12">G17</f>
        <v>3599.91</v>
      </c>
      <c r="I17" s="10">
        <f t="shared" si="12"/>
        <v>3599.91</v>
      </c>
      <c r="J17" s="10">
        <f t="shared" si="12"/>
        <v>3599.91</v>
      </c>
      <c r="K17" s="10">
        <f t="shared" si="12"/>
        <v>3599.91</v>
      </c>
    </row>
    <row r="18" spans="2:11" x14ac:dyDescent="0.3">
      <c r="B18" t="s">
        <v>83</v>
      </c>
      <c r="C18" s="24">
        <f>'Data Sheet'!F69</f>
        <v>3074.88</v>
      </c>
      <c r="D18" s="24">
        <f>'Data Sheet'!G69</f>
        <v>2599.89</v>
      </c>
      <c r="E18" s="24">
        <f>'Data Sheet'!H69</f>
        <v>2796.94</v>
      </c>
      <c r="F18" s="24">
        <f>'Data Sheet'!I69</f>
        <v>2454.4899999999998</v>
      </c>
      <c r="G18" s="24">
        <f>'Data Sheet'!J69</f>
        <v>2817.86</v>
      </c>
      <c r="H18" s="10">
        <f>'Cash Flow Statement'!H44</f>
        <v>1786.217246489542</v>
      </c>
      <c r="I18" s="10">
        <f>'Cash Flow Statement'!I44</f>
        <v>1423.9004730843531</v>
      </c>
      <c r="J18" s="10">
        <f>'Cash Flow Statement'!J44</f>
        <v>953.18743751736883</v>
      </c>
      <c r="K18" s="10">
        <f>'Cash Flow Statement'!K44</f>
        <v>350.02825897008415</v>
      </c>
    </row>
    <row r="19" spans="2:11" x14ac:dyDescent="0.3">
      <c r="B19" s="4" t="s">
        <v>16</v>
      </c>
      <c r="C19" s="49">
        <f t="shared" ref="C19:H19" si="13">SUM(C16:C18)</f>
        <v>6085.3600000000006</v>
      </c>
      <c r="D19" s="49">
        <f t="shared" si="13"/>
        <v>5701.55</v>
      </c>
      <c r="E19" s="49">
        <f t="shared" si="13"/>
        <v>6296.9400000000005</v>
      </c>
      <c r="F19" s="49">
        <f t="shared" si="13"/>
        <v>6120.59</v>
      </c>
      <c r="G19" s="49">
        <f t="shared" si="13"/>
        <v>7287.5599999999995</v>
      </c>
      <c r="H19" s="30">
        <f t="shared" si="13"/>
        <v>6255.9172464895419</v>
      </c>
      <c r="I19" s="30">
        <f t="shared" ref="I19:K19" si="14">SUM(I16:I18)</f>
        <v>5893.6004730843524</v>
      </c>
      <c r="J19" s="30">
        <f t="shared" si="14"/>
        <v>5422.8874375173691</v>
      </c>
      <c r="K19" s="30">
        <f t="shared" si="14"/>
        <v>4819.7282589700844</v>
      </c>
    </row>
    <row r="20" spans="2:11" x14ac:dyDescent="0.3">
      <c r="B20" s="4" t="s">
        <v>98</v>
      </c>
      <c r="C20" s="50">
        <f t="shared" ref="C20:H20" si="15">C14+C19</f>
        <v>20217.82</v>
      </c>
      <c r="D20" s="50">
        <f t="shared" si="15"/>
        <v>26776.42</v>
      </c>
      <c r="E20" s="50">
        <f t="shared" si="15"/>
        <v>29059.43</v>
      </c>
      <c r="F20" s="50">
        <f t="shared" si="15"/>
        <v>33999.380000000005</v>
      </c>
      <c r="G20" s="50">
        <f t="shared" si="15"/>
        <v>39118.18</v>
      </c>
      <c r="H20" s="48">
        <f t="shared" si="15"/>
        <v>30798.97724648954</v>
      </c>
      <c r="I20" s="48">
        <f t="shared" ref="I20:K20" si="16">I14+I19</f>
        <v>30436.66047308435</v>
      </c>
      <c r="J20" s="48">
        <f t="shared" si="16"/>
        <v>29965.947437517367</v>
      </c>
      <c r="K20" s="48">
        <f t="shared" si="16"/>
        <v>29362.788258970082</v>
      </c>
    </row>
    <row r="21" spans="2:11" x14ac:dyDescent="0.3">
      <c r="B21" s="4"/>
      <c r="C21" s="48"/>
      <c r="D21" s="48"/>
      <c r="E21" s="48"/>
      <c r="F21" s="48"/>
      <c r="G21" s="48"/>
      <c r="H21" s="48"/>
      <c r="I21" s="4"/>
      <c r="J21" s="4"/>
      <c r="K21" s="4"/>
    </row>
    <row r="22" spans="2:11" x14ac:dyDescent="0.3">
      <c r="B22" s="4"/>
      <c r="C22" s="48"/>
      <c r="D22" s="48"/>
      <c r="E22" s="48"/>
      <c r="F22" s="48"/>
      <c r="G22" s="48"/>
      <c r="H22" s="48"/>
      <c r="I22" s="4"/>
      <c r="J22" s="4"/>
      <c r="K22" s="4"/>
    </row>
    <row r="23" spans="2:11" x14ac:dyDescent="0.3">
      <c r="B23" s="4"/>
      <c r="C23" s="48"/>
      <c r="D23" s="48"/>
      <c r="E23" s="48"/>
      <c r="F23" s="48"/>
      <c r="G23" s="48"/>
      <c r="H23" s="48"/>
      <c r="I23" s="4"/>
      <c r="J23" s="4"/>
      <c r="K23" s="4"/>
    </row>
    <row r="24" spans="2:11" hidden="1" outlineLevel="1" x14ac:dyDescent="0.3">
      <c r="C24" s="45">
        <v>631129729</v>
      </c>
      <c r="D24" s="45">
        <v>631129729</v>
      </c>
      <c r="E24" s="45">
        <v>631129729</v>
      </c>
      <c r="F24" s="45">
        <v>921551715</v>
      </c>
      <c r="G24" s="45">
        <v>921551715</v>
      </c>
      <c r="H24" s="45">
        <v>921551715</v>
      </c>
      <c r="I24">
        <v>929011650</v>
      </c>
      <c r="J24">
        <v>952834816</v>
      </c>
      <c r="K24">
        <v>989498558</v>
      </c>
    </row>
    <row r="25" spans="2:11" hidden="1" outlineLevel="1" x14ac:dyDescent="0.3">
      <c r="B25" t="s">
        <v>85</v>
      </c>
    </row>
    <row r="26" spans="2:11" hidden="1" outlineLevel="1" x14ac:dyDescent="0.3">
      <c r="B26" t="s">
        <v>86</v>
      </c>
      <c r="C26">
        <v>1</v>
      </c>
      <c r="D26">
        <v>1</v>
      </c>
      <c r="E26">
        <v>1</v>
      </c>
      <c r="F26">
        <v>1</v>
      </c>
      <c r="G26" s="45">
        <v>1</v>
      </c>
      <c r="H26">
        <v>1</v>
      </c>
      <c r="I26">
        <v>1</v>
      </c>
      <c r="J26">
        <v>1</v>
      </c>
      <c r="K26">
        <v>1</v>
      </c>
    </row>
    <row r="27" spans="2:11" collapsed="1" x14ac:dyDescent="0.3">
      <c r="C27" s="45"/>
      <c r="D27" s="45"/>
      <c r="E27" s="45"/>
      <c r="F27" s="45"/>
      <c r="G27" s="45"/>
    </row>
    <row r="31" spans="2:11" x14ac:dyDescent="0.3">
      <c r="C31" s="45"/>
      <c r="D31" s="45"/>
      <c r="E31" s="45"/>
      <c r="F31" s="45"/>
      <c r="G31" s="45"/>
      <c r="H31" s="45"/>
    </row>
    <row r="33" spans="3:8" x14ac:dyDescent="0.3">
      <c r="C33" s="45"/>
      <c r="D33" s="45"/>
      <c r="E33" s="45"/>
      <c r="F33" s="45"/>
      <c r="G33" s="45"/>
    </row>
    <row r="34" spans="3:8" x14ac:dyDescent="0.3">
      <c r="C34" s="45"/>
      <c r="D34" s="45"/>
      <c r="E34" s="45"/>
      <c r="F34" s="45"/>
      <c r="G34" s="45"/>
    </row>
    <row r="36" spans="3:8" x14ac:dyDescent="0.3">
      <c r="E36" s="45"/>
      <c r="H36" s="45"/>
    </row>
    <row r="37" spans="3:8" x14ac:dyDescent="0.3">
      <c r="C37" s="45"/>
      <c r="D37" s="45"/>
      <c r="E37" s="45"/>
      <c r="F37" s="45"/>
      <c r="G37" s="45"/>
      <c r="H37" s="45"/>
    </row>
    <row r="38" spans="3:8" x14ac:dyDescent="0.3">
      <c r="C38" s="45"/>
      <c r="D38" s="45"/>
      <c r="E38" s="45"/>
      <c r="F38" s="45"/>
      <c r="G38" s="45"/>
      <c r="H38" s="45"/>
    </row>
    <row r="39" spans="3:8" x14ac:dyDescent="0.3">
      <c r="H39" s="45"/>
    </row>
    <row r="43" spans="3:8" x14ac:dyDescent="0.3">
      <c r="C43" s="45"/>
      <c r="D43" s="45"/>
      <c r="E43" s="45"/>
      <c r="F43" s="45"/>
      <c r="G43" s="45"/>
      <c r="H43" s="45"/>
    </row>
    <row r="45" spans="3:8" x14ac:dyDescent="0.3">
      <c r="D45" s="45"/>
      <c r="E45" s="45"/>
      <c r="G45" s="45"/>
      <c r="H45" s="45"/>
    </row>
    <row r="46" spans="3:8" x14ac:dyDescent="0.3">
      <c r="C46" s="45"/>
      <c r="D46" s="45"/>
      <c r="E46" s="45"/>
      <c r="F46" s="45"/>
      <c r="G46" s="45"/>
      <c r="H46" s="4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B2:L44"/>
  <sheetViews>
    <sheetView showGridLines="0" workbookViewId="0">
      <selection activeCell="A32" sqref="A32"/>
    </sheetView>
  </sheetViews>
  <sheetFormatPr defaultRowHeight="14.4" x14ac:dyDescent="0.3"/>
  <cols>
    <col min="1" max="1" width="23.88671875" bestFit="1" customWidth="1"/>
    <col min="2" max="2" width="35.109375" bestFit="1" customWidth="1"/>
    <col min="3" max="6" width="7.88671875" bestFit="1" customWidth="1"/>
  </cols>
  <sheetData>
    <row r="2" spans="2:12" x14ac:dyDescent="0.3">
      <c r="B2" s="11" t="s">
        <v>99</v>
      </c>
      <c r="C2" s="11"/>
      <c r="D2" s="11"/>
      <c r="E2" s="11"/>
      <c r="F2" s="11"/>
      <c r="G2" s="11"/>
      <c r="H2" s="11"/>
      <c r="I2" s="11"/>
      <c r="J2" s="11"/>
      <c r="K2" s="11"/>
    </row>
    <row r="3" spans="2:12" x14ac:dyDescent="0.3">
      <c r="B3" s="46" t="s">
        <v>14</v>
      </c>
      <c r="C3" s="47">
        <v>2021</v>
      </c>
      <c r="D3" s="47">
        <f>C3+1</f>
        <v>2022</v>
      </c>
      <c r="E3" s="47">
        <f t="shared" ref="E3:K3" si="0">D3+1</f>
        <v>2023</v>
      </c>
      <c r="F3" s="47">
        <f t="shared" si="0"/>
        <v>2024</v>
      </c>
      <c r="G3" s="47">
        <f t="shared" si="0"/>
        <v>2025</v>
      </c>
      <c r="H3" s="46">
        <f t="shared" si="0"/>
        <v>2026</v>
      </c>
      <c r="I3" s="46">
        <f t="shared" si="0"/>
        <v>2027</v>
      </c>
      <c r="J3" s="46">
        <f t="shared" si="0"/>
        <v>2028</v>
      </c>
      <c r="K3" s="46">
        <f t="shared" si="0"/>
        <v>2029</v>
      </c>
    </row>
    <row r="4" spans="2:12" x14ac:dyDescent="0.3">
      <c r="B4" t="s">
        <v>135</v>
      </c>
      <c r="C4" s="45"/>
      <c r="D4" s="45"/>
      <c r="E4" s="45"/>
      <c r="F4" s="45"/>
      <c r="G4" s="45"/>
      <c r="H4" s="45"/>
    </row>
    <row r="5" spans="2:12" x14ac:dyDescent="0.3">
      <c r="B5" t="s">
        <v>102</v>
      </c>
      <c r="C5" s="45">
        <f>Sheet2!C4</f>
        <v>1579</v>
      </c>
      <c r="D5" s="45">
        <f>Sheet2!D4</f>
        <v>1749</v>
      </c>
      <c r="E5" s="45">
        <f>Sheet2!E4</f>
        <v>1875</v>
      </c>
      <c r="F5" s="45">
        <f>Sheet2!F4</f>
        <v>2323</v>
      </c>
      <c r="G5" s="45">
        <f>Sheet2!G4</f>
        <v>2514</v>
      </c>
      <c r="H5" s="45"/>
    </row>
    <row r="6" spans="2:12" x14ac:dyDescent="0.3">
      <c r="B6" t="s">
        <v>82</v>
      </c>
      <c r="C6" s="45">
        <f>Sheet2!C5</f>
        <v>186</v>
      </c>
      <c r="D6" s="45">
        <f>Sheet2!D5</f>
        <v>-149</v>
      </c>
      <c r="E6" s="45">
        <f>Sheet2!E5</f>
        <v>-36</v>
      </c>
      <c r="F6" s="45">
        <f>Sheet2!F5</f>
        <v>-45</v>
      </c>
      <c r="G6" s="45">
        <f>Sheet2!G5</f>
        <v>36</v>
      </c>
    </row>
    <row r="7" spans="2:12" x14ac:dyDescent="0.3">
      <c r="B7" t="s">
        <v>15</v>
      </c>
      <c r="C7" s="45">
        <f>Sheet2!C6</f>
        <v>-533</v>
      </c>
      <c r="D7" s="45">
        <f>Sheet2!D6</f>
        <v>-1</v>
      </c>
      <c r="E7" s="45">
        <f>Sheet2!E6</f>
        <v>-368</v>
      </c>
      <c r="F7" s="45">
        <f>Sheet2!F6</f>
        <v>-3</v>
      </c>
      <c r="G7" s="45">
        <f>Sheet2!G6</f>
        <v>-734</v>
      </c>
    </row>
    <row r="8" spans="2:12" x14ac:dyDescent="0.3">
      <c r="B8" t="s">
        <v>103</v>
      </c>
      <c r="C8" s="45">
        <f>Sheet2!C7</f>
        <v>531</v>
      </c>
      <c r="D8">
        <v>152</v>
      </c>
      <c r="E8">
        <v>379</v>
      </c>
      <c r="F8">
        <v>60</v>
      </c>
      <c r="G8">
        <v>704</v>
      </c>
    </row>
    <row r="9" spans="2:12" x14ac:dyDescent="0.3">
      <c r="B9" t="s">
        <v>104</v>
      </c>
      <c r="C9" s="45">
        <f>Sheet2!C8</f>
        <v>0</v>
      </c>
      <c r="D9" s="45">
        <f>Sheet2!D8</f>
        <v>0</v>
      </c>
      <c r="E9" s="45">
        <f>Sheet2!E8</f>
        <v>0</v>
      </c>
      <c r="F9" s="45">
        <f>Sheet2!F8</f>
        <v>0</v>
      </c>
      <c r="G9" s="45">
        <f>Sheet2!G8</f>
        <v>0</v>
      </c>
    </row>
    <row r="10" spans="2:12" x14ac:dyDescent="0.3">
      <c r="B10" t="s">
        <v>105</v>
      </c>
      <c r="C10" s="45">
        <f>Sheet2!C9</f>
        <v>183</v>
      </c>
      <c r="D10" s="45">
        <f>Sheet2!D9</f>
        <v>2</v>
      </c>
      <c r="E10" s="45">
        <f>Sheet2!E9</f>
        <v>-25</v>
      </c>
      <c r="F10" s="45">
        <f>Sheet2!F9</f>
        <v>11</v>
      </c>
      <c r="G10" s="45">
        <f>Sheet2!G9</f>
        <v>5</v>
      </c>
      <c r="H10" s="45">
        <f>G10*(1+$L$10)</f>
        <v>7.075982261787134</v>
      </c>
      <c r="I10" s="45">
        <f t="shared" ref="I10:K10" si="1">H10*(1+$L$10)</f>
        <v>10.013904993825232</v>
      </c>
      <c r="J10" s="45">
        <f t="shared" si="1"/>
        <v>14.171642821505788</v>
      </c>
      <c r="K10" s="45">
        <f t="shared" si="1"/>
        <v>20.055658645071585</v>
      </c>
      <c r="L10" s="23">
        <f>((G10/E10)^(1/3)+1)</f>
        <v>0.41519645235742675</v>
      </c>
    </row>
    <row r="11" spans="2:12" x14ac:dyDescent="0.3">
      <c r="B11" t="s">
        <v>106</v>
      </c>
      <c r="C11" s="45">
        <f>Sheet2!C10</f>
        <v>-106</v>
      </c>
      <c r="D11" s="45">
        <f>Sheet2!D10</f>
        <v>-235</v>
      </c>
      <c r="E11" s="45">
        <f>Sheet2!E10</f>
        <v>-389</v>
      </c>
      <c r="F11" s="45">
        <f>Sheet2!F10</f>
        <v>-398</v>
      </c>
      <c r="G11" s="45">
        <f>Sheet2!G10</f>
        <v>-462</v>
      </c>
    </row>
    <row r="12" spans="2:12" x14ac:dyDescent="0.3">
      <c r="B12" t="s">
        <v>107</v>
      </c>
      <c r="C12" s="45">
        <f>Sheet2!C11</f>
        <v>0</v>
      </c>
      <c r="D12" s="45">
        <f>Sheet2!D11</f>
        <v>0</v>
      </c>
      <c r="E12" s="45">
        <f>Sheet2!E11</f>
        <v>0</v>
      </c>
      <c r="F12" s="45">
        <f>Sheet2!F11</f>
        <v>0</v>
      </c>
      <c r="G12" s="45">
        <f>Sheet2!G11</f>
        <v>0</v>
      </c>
    </row>
    <row r="13" spans="2:12" x14ac:dyDescent="0.3">
      <c r="B13" s="4" t="s">
        <v>133</v>
      </c>
      <c r="C13" s="45">
        <f>SUM(C5:C12)</f>
        <v>1840</v>
      </c>
      <c r="D13" s="45">
        <f t="shared" ref="D13:G13" si="2">SUM(D5:D12)</f>
        <v>1518</v>
      </c>
      <c r="E13" s="45">
        <f t="shared" si="2"/>
        <v>1436</v>
      </c>
      <c r="F13" s="45">
        <f t="shared" si="2"/>
        <v>1948</v>
      </c>
      <c r="G13" s="45">
        <f t="shared" si="2"/>
        <v>2063</v>
      </c>
      <c r="H13" s="10">
        <f>G13*($L$13+1)</f>
        <v>2184.7890143737163</v>
      </c>
      <c r="I13" s="10">
        <f t="shared" ref="I13:K13" si="3">H13*($L$13+1)</f>
        <v>2313.7678319573802</v>
      </c>
      <c r="J13" s="10">
        <f t="shared" si="3"/>
        <v>2450.3609021191351</v>
      </c>
      <c r="K13" s="10">
        <f t="shared" si="3"/>
        <v>2595.0177315563528</v>
      </c>
      <c r="L13" s="23">
        <f>G13/F13-1</f>
        <v>5.9034907597535824E-2</v>
      </c>
    </row>
    <row r="14" spans="2:12" x14ac:dyDescent="0.3">
      <c r="B14" s="4"/>
      <c r="C14" s="45"/>
      <c r="D14" s="45"/>
      <c r="E14" s="45"/>
      <c r="F14" s="45"/>
      <c r="G14" s="45"/>
    </row>
    <row r="15" spans="2:12" x14ac:dyDescent="0.3">
      <c r="B15" s="4" t="s">
        <v>139</v>
      </c>
      <c r="C15" s="45"/>
      <c r="D15" s="45"/>
      <c r="E15" s="45"/>
      <c r="F15" s="45"/>
      <c r="G15" s="45"/>
    </row>
    <row r="16" spans="2:12" x14ac:dyDescent="0.3">
      <c r="B16" t="s">
        <v>109</v>
      </c>
      <c r="C16">
        <f>Sheet2!C13</f>
        <v>-211</v>
      </c>
      <c r="D16">
        <f>Sheet2!D13</f>
        <v>-273</v>
      </c>
      <c r="E16">
        <f>Sheet2!E13</f>
        <v>-312</v>
      </c>
      <c r="F16">
        <f>Sheet2!F13</f>
        <v>-335</v>
      </c>
      <c r="G16">
        <f>Sheet2!G13</f>
        <v>-460</v>
      </c>
      <c r="H16" s="45"/>
    </row>
    <row r="17" spans="2:12" x14ac:dyDescent="0.3">
      <c r="B17" t="s">
        <v>110</v>
      </c>
      <c r="C17">
        <f>Sheet2!C14</f>
        <v>32</v>
      </c>
      <c r="D17">
        <f>Sheet2!D14</f>
        <v>27</v>
      </c>
      <c r="E17">
        <f>Sheet2!E14</f>
        <v>172</v>
      </c>
      <c r="F17">
        <f>Sheet2!F14</f>
        <v>24</v>
      </c>
      <c r="G17">
        <f>Sheet2!G14</f>
        <v>45</v>
      </c>
    </row>
    <row r="18" spans="2:12" x14ac:dyDescent="0.3">
      <c r="B18" t="s">
        <v>111</v>
      </c>
      <c r="C18">
        <f>Sheet2!C15</f>
        <v>0</v>
      </c>
      <c r="D18">
        <f>Sheet2!D15</f>
        <v>0</v>
      </c>
      <c r="E18">
        <f>Sheet2!E15</f>
        <v>-533</v>
      </c>
      <c r="F18">
        <f>Sheet2!F15</f>
        <v>0</v>
      </c>
      <c r="G18">
        <f>Sheet2!G15</f>
        <v>-29</v>
      </c>
    </row>
    <row r="19" spans="2:12" x14ac:dyDescent="0.3">
      <c r="B19" t="s">
        <v>112</v>
      </c>
      <c r="C19">
        <f>Sheet2!C16</f>
        <v>523</v>
      </c>
      <c r="D19">
        <f>Sheet2!D16</f>
        <v>136</v>
      </c>
      <c r="E19">
        <f>Sheet2!E16</f>
        <v>4</v>
      </c>
      <c r="F19">
        <f>Sheet2!F16</f>
        <v>710</v>
      </c>
      <c r="G19">
        <f>Sheet2!G16</f>
        <v>0</v>
      </c>
    </row>
    <row r="20" spans="2:12" x14ac:dyDescent="0.3">
      <c r="B20" t="s">
        <v>113</v>
      </c>
      <c r="C20">
        <f>Sheet2!C17</f>
        <v>0</v>
      </c>
      <c r="D20">
        <f>Sheet2!D17</f>
        <v>0</v>
      </c>
      <c r="E20">
        <f>Sheet2!E17</f>
        <v>0</v>
      </c>
      <c r="F20">
        <f>Sheet2!F17</f>
        <v>0</v>
      </c>
      <c r="G20">
        <f>Sheet2!G17</f>
        <v>0</v>
      </c>
    </row>
    <row r="21" spans="2:12" x14ac:dyDescent="0.3">
      <c r="B21" t="s">
        <v>114</v>
      </c>
      <c r="C21">
        <f>Sheet2!C18</f>
        <v>68</v>
      </c>
      <c r="D21">
        <f>Sheet2!D18</f>
        <v>75</v>
      </c>
      <c r="E21">
        <f>Sheet2!E18</f>
        <v>109</v>
      </c>
      <c r="F21">
        <f>Sheet2!F18</f>
        <v>187</v>
      </c>
      <c r="G21">
        <f>Sheet2!G18</f>
        <v>111</v>
      </c>
    </row>
    <row r="22" spans="2:12" x14ac:dyDescent="0.3">
      <c r="B22" t="s">
        <v>115</v>
      </c>
      <c r="C22">
        <f>Sheet2!C19</f>
        <v>5</v>
      </c>
      <c r="D22">
        <f>Sheet2!D19</f>
        <v>13</v>
      </c>
      <c r="E22">
        <f>Sheet2!E19</f>
        <v>13</v>
      </c>
      <c r="F22">
        <f>Sheet2!F19</f>
        <v>4</v>
      </c>
      <c r="G22">
        <f>Sheet2!G19</f>
        <v>7</v>
      </c>
    </row>
    <row r="23" spans="2:12" x14ac:dyDescent="0.3">
      <c r="B23" t="s">
        <v>116</v>
      </c>
      <c r="C23">
        <f>Sheet2!C20</f>
        <v>0</v>
      </c>
      <c r="D23">
        <f>Sheet2!D20</f>
        <v>0</v>
      </c>
      <c r="E23">
        <f>Sheet2!E20</f>
        <v>0</v>
      </c>
      <c r="F23">
        <f>Sheet2!F20</f>
        <v>0</v>
      </c>
      <c r="G23">
        <f>Sheet2!G20</f>
        <v>0</v>
      </c>
    </row>
    <row r="24" spans="2:12" x14ac:dyDescent="0.3">
      <c r="B24" t="s">
        <v>117</v>
      </c>
      <c r="C24">
        <f>Sheet2!C21</f>
        <v>-112</v>
      </c>
      <c r="D24">
        <f>Sheet2!D21</f>
        <v>-236</v>
      </c>
      <c r="E24">
        <f>Sheet2!E21</f>
        <v>-150</v>
      </c>
      <c r="F24">
        <f>Sheet2!F21</f>
        <v>-25</v>
      </c>
      <c r="G24">
        <f>Sheet2!G21</f>
        <v>-125</v>
      </c>
    </row>
    <row r="25" spans="2:12" x14ac:dyDescent="0.3">
      <c r="B25" t="s">
        <v>118</v>
      </c>
      <c r="C25">
        <f>Sheet2!C22</f>
        <v>57</v>
      </c>
      <c r="D25">
        <f>Sheet2!D22</f>
        <v>11</v>
      </c>
      <c r="E25">
        <f>Sheet2!E22</f>
        <v>9</v>
      </c>
      <c r="F25">
        <f>Sheet2!F22</f>
        <v>0</v>
      </c>
      <c r="G25">
        <f>Sheet2!G22</f>
        <v>0</v>
      </c>
    </row>
    <row r="26" spans="2:12" x14ac:dyDescent="0.3">
      <c r="B26" t="s">
        <v>119</v>
      </c>
      <c r="C26">
        <f>Sheet2!C23</f>
        <v>-169</v>
      </c>
      <c r="D26">
        <f>Sheet2!D23</f>
        <v>-511</v>
      </c>
      <c r="E26">
        <f>Sheet2!E23</f>
        <v>-55</v>
      </c>
      <c r="F26">
        <f>Sheet2!F23</f>
        <v>-3859</v>
      </c>
      <c r="G26">
        <f>Sheet2!G23</f>
        <v>-1809</v>
      </c>
    </row>
    <row r="27" spans="2:12" x14ac:dyDescent="0.3">
      <c r="B27" t="s">
        <v>120</v>
      </c>
      <c r="C27">
        <f>Sheet2!C24</f>
        <v>-73</v>
      </c>
      <c r="D27">
        <f>Sheet2!D24</f>
        <v>-499</v>
      </c>
      <c r="E27">
        <f>Sheet2!E24</f>
        <v>70</v>
      </c>
      <c r="F27">
        <f>Sheet2!F24</f>
        <v>232</v>
      </c>
      <c r="G27">
        <f>Sheet2!G24</f>
        <v>-144</v>
      </c>
    </row>
    <row r="28" spans="2:12" x14ac:dyDescent="0.3">
      <c r="B28" t="s">
        <v>121</v>
      </c>
      <c r="C28">
        <f>Sheet2!C25</f>
        <v>-467</v>
      </c>
      <c r="D28">
        <f>Sheet2!D25</f>
        <v>-61</v>
      </c>
      <c r="E28">
        <f>Sheet2!E25</f>
        <v>-160</v>
      </c>
      <c r="F28">
        <f>Sheet2!F25</f>
        <v>1152</v>
      </c>
      <c r="G28">
        <f>Sheet2!G25</f>
        <v>99</v>
      </c>
    </row>
    <row r="29" spans="2:12" x14ac:dyDescent="0.3">
      <c r="B29" s="4" t="s">
        <v>136</v>
      </c>
      <c r="C29">
        <f>SUM(C16:C28)</f>
        <v>-347</v>
      </c>
      <c r="D29">
        <f t="shared" ref="D29:G29" si="4">SUM(D16:D28)</f>
        <v>-1318</v>
      </c>
      <c r="E29">
        <f t="shared" si="4"/>
        <v>-833</v>
      </c>
      <c r="F29">
        <f t="shared" si="4"/>
        <v>-1910</v>
      </c>
      <c r="G29">
        <f t="shared" si="4"/>
        <v>-2305</v>
      </c>
      <c r="H29" s="10">
        <f>G29*(1+$L$29)</f>
        <v>-2781.6884816753923</v>
      </c>
      <c r="I29" s="10">
        <f t="shared" ref="I29:K29" si="5">H29*(1+$L$29)</f>
        <v>-3356.9591362627116</v>
      </c>
      <c r="J29" s="10">
        <f t="shared" si="5"/>
        <v>-4051.1993764845811</v>
      </c>
      <c r="K29" s="10">
        <f t="shared" si="5"/>
        <v>-4889.0128601031201</v>
      </c>
      <c r="L29" s="23">
        <f>G29/F29-1</f>
        <v>0.206806282722513</v>
      </c>
    </row>
    <row r="30" spans="2:12" x14ac:dyDescent="0.3">
      <c r="B30" s="4"/>
    </row>
    <row r="31" spans="2:12" x14ac:dyDescent="0.3">
      <c r="B31" s="4" t="s">
        <v>137</v>
      </c>
      <c r="H31" s="45"/>
    </row>
    <row r="32" spans="2:12" x14ac:dyDescent="0.3">
      <c r="B32" t="s">
        <v>123</v>
      </c>
      <c r="C32">
        <f>Sheet2!C27</f>
        <v>0</v>
      </c>
      <c r="D32">
        <f>Sheet2!D27</f>
        <v>0</v>
      </c>
      <c r="E32">
        <f>Sheet2!E27</f>
        <v>0</v>
      </c>
      <c r="F32">
        <f>Sheet2!F27</f>
        <v>0</v>
      </c>
      <c r="G32">
        <f>Sheet2!G27</f>
        <v>2981</v>
      </c>
    </row>
    <row r="33" spans="2:12" x14ac:dyDescent="0.3">
      <c r="B33" t="s">
        <v>124</v>
      </c>
      <c r="C33">
        <f>Sheet2!C28</f>
        <v>0</v>
      </c>
      <c r="D33">
        <f>Sheet2!D28</f>
        <v>0</v>
      </c>
      <c r="E33">
        <f>Sheet2!E28</f>
        <v>0</v>
      </c>
      <c r="F33">
        <f>Sheet2!F28</f>
        <v>0</v>
      </c>
      <c r="G33">
        <f>Sheet2!G28</f>
        <v>0</v>
      </c>
    </row>
    <row r="34" spans="2:12" x14ac:dyDescent="0.3">
      <c r="B34" t="s">
        <v>125</v>
      </c>
      <c r="C34">
        <f>Sheet2!C29</f>
        <v>12</v>
      </c>
      <c r="D34">
        <f>Sheet2!D29</f>
        <v>0</v>
      </c>
      <c r="E34">
        <f>Sheet2!E29</f>
        <v>53</v>
      </c>
      <c r="F34">
        <f>Sheet2!F29</f>
        <v>1327</v>
      </c>
      <c r="G34">
        <f>Sheet2!G29</f>
        <v>60</v>
      </c>
    </row>
    <row r="35" spans="2:12" x14ac:dyDescent="0.3">
      <c r="B35" t="s">
        <v>126</v>
      </c>
      <c r="C35">
        <f>Sheet2!C30</f>
        <v>-69</v>
      </c>
      <c r="D35">
        <f>Sheet2!D30</f>
        <v>-495</v>
      </c>
      <c r="E35">
        <f>Sheet2!E30</f>
        <v>-56</v>
      </c>
      <c r="F35">
        <f>Sheet2!F30</f>
        <v>-73</v>
      </c>
      <c r="G35">
        <f>Sheet2!G30</f>
        <v>-1511</v>
      </c>
    </row>
    <row r="36" spans="2:12" x14ac:dyDescent="0.3">
      <c r="B36" t="s">
        <v>127</v>
      </c>
      <c r="C36">
        <f>Sheet2!C31</f>
        <v>-65</v>
      </c>
      <c r="D36">
        <f>Sheet2!D31</f>
        <v>-63</v>
      </c>
      <c r="E36">
        <f>Sheet2!E31</f>
        <v>-82</v>
      </c>
      <c r="F36">
        <f>Sheet2!F31</f>
        <v>-118</v>
      </c>
      <c r="G36">
        <f>Sheet2!G31</f>
        <v>-261</v>
      </c>
    </row>
    <row r="37" spans="2:12" x14ac:dyDescent="0.3">
      <c r="B37" t="s">
        <v>128</v>
      </c>
      <c r="C37">
        <f>Sheet2!C32</f>
        <v>-267</v>
      </c>
      <c r="D37">
        <f>Sheet2!D32</f>
        <v>-398</v>
      </c>
      <c r="E37">
        <f>Sheet2!E32</f>
        <v>-573</v>
      </c>
      <c r="F37">
        <f>Sheet2!F32</f>
        <v>-809</v>
      </c>
      <c r="G37">
        <f>Sheet2!G32</f>
        <v>-741</v>
      </c>
    </row>
    <row r="38" spans="2:12" x14ac:dyDescent="0.3">
      <c r="B38" t="s">
        <v>129</v>
      </c>
      <c r="C38">
        <f>Sheet2!C33</f>
        <v>-45</v>
      </c>
      <c r="D38">
        <f>Sheet2!D33</f>
        <v>-53</v>
      </c>
      <c r="E38">
        <f>Sheet2!E33</f>
        <v>-56</v>
      </c>
      <c r="F38">
        <f>Sheet2!F33</f>
        <v>-71</v>
      </c>
      <c r="G38">
        <f>Sheet2!G33</f>
        <v>-75</v>
      </c>
    </row>
    <row r="39" spans="2:12" x14ac:dyDescent="0.3">
      <c r="B39" t="s">
        <v>130</v>
      </c>
      <c r="C39">
        <f>Sheet2!C34</f>
        <v>9</v>
      </c>
      <c r="D39">
        <f>Sheet2!D34</f>
        <v>13</v>
      </c>
      <c r="E39">
        <f>Sheet2!E34</f>
        <v>0</v>
      </c>
      <c r="F39">
        <f>Sheet2!F34</f>
        <v>0</v>
      </c>
      <c r="G39">
        <f>Sheet2!G34</f>
        <v>0</v>
      </c>
    </row>
    <row r="40" spans="2:12" x14ac:dyDescent="0.3">
      <c r="B40" t="s">
        <v>91</v>
      </c>
      <c r="C40">
        <f>Sheet2!C35</f>
        <v>884</v>
      </c>
      <c r="D40">
        <f>Sheet2!D35</f>
        <v>-796</v>
      </c>
      <c r="E40">
        <f>Sheet2!E35</f>
        <v>-87</v>
      </c>
      <c r="F40">
        <f>Sheet2!F35</f>
        <v>281</v>
      </c>
      <c r="G40">
        <f>Sheet2!G35</f>
        <v>206</v>
      </c>
    </row>
    <row r="41" spans="2:12" x14ac:dyDescent="0.3">
      <c r="B41" t="s">
        <v>131</v>
      </c>
      <c r="C41">
        <f>Sheet2!C36</f>
        <v>1477</v>
      </c>
      <c r="D41">
        <f>Sheet2!D36</f>
        <v>1270</v>
      </c>
      <c r="E41">
        <f>Sheet2!E36</f>
        <v>1321</v>
      </c>
      <c r="F41">
        <f>Sheet2!F36</f>
        <v>1626</v>
      </c>
      <c r="G41">
        <f>Sheet2!G36</f>
        <v>1643</v>
      </c>
      <c r="H41" s="45"/>
    </row>
    <row r="42" spans="2:12" x14ac:dyDescent="0.3">
      <c r="B42" s="4" t="s">
        <v>138</v>
      </c>
      <c r="C42">
        <f>SUM(C32:C41)</f>
        <v>1936</v>
      </c>
      <c r="D42">
        <f t="shared" ref="D42:G42" si="6">SUM(D32:D41)</f>
        <v>-522</v>
      </c>
      <c r="E42">
        <f t="shared" si="6"/>
        <v>520</v>
      </c>
      <c r="F42">
        <f t="shared" si="6"/>
        <v>2163</v>
      </c>
      <c r="G42">
        <f t="shared" si="6"/>
        <v>2302</v>
      </c>
      <c r="H42" s="10">
        <f>G42*(1+$L$42)</f>
        <v>2383.116713791218</v>
      </c>
      <c r="I42" s="10">
        <f t="shared" ref="I42:K42" si="7">H42*(1+$L$42)</f>
        <v>2467.0917773896845</v>
      </c>
      <c r="J42" s="10">
        <f t="shared" si="7"/>
        <v>2554.0259118828149</v>
      </c>
      <c r="K42" s="10">
        <f t="shared" si="7"/>
        <v>2644.0233875168515</v>
      </c>
      <c r="L42" s="23">
        <f>((G42/C42)^(1/5)-1)</f>
        <v>3.5237495130850505E-2</v>
      </c>
    </row>
    <row r="44" spans="2:12" x14ac:dyDescent="0.3">
      <c r="B44" s="4" t="s">
        <v>91</v>
      </c>
      <c r="C44" s="48">
        <f>C13+C29+C42</f>
        <v>3429</v>
      </c>
      <c r="D44" s="48">
        <f t="shared" ref="D44:K44" si="8">D13+D29+D42</f>
        <v>-322</v>
      </c>
      <c r="E44" s="48">
        <f t="shared" si="8"/>
        <v>1123</v>
      </c>
      <c r="F44" s="48">
        <f t="shared" si="8"/>
        <v>2201</v>
      </c>
      <c r="G44" s="48">
        <f t="shared" si="8"/>
        <v>2060</v>
      </c>
      <c r="H44" s="10">
        <f t="shared" si="8"/>
        <v>1786.217246489542</v>
      </c>
      <c r="I44" s="10">
        <f t="shared" si="8"/>
        <v>1423.9004730843531</v>
      </c>
      <c r="J44" s="10">
        <f t="shared" si="8"/>
        <v>953.18743751736883</v>
      </c>
      <c r="K44" s="10">
        <f t="shared" si="8"/>
        <v>350.02825897008415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L22"/>
  <sheetViews>
    <sheetView showGridLines="0" topLeftCell="B1" workbookViewId="0">
      <selection activeCell="C12" sqref="C12"/>
    </sheetView>
  </sheetViews>
  <sheetFormatPr defaultRowHeight="14.4" x14ac:dyDescent="0.3"/>
  <cols>
    <col min="1" max="2" width="20.21875" bestFit="1" customWidth="1"/>
    <col min="3" max="7" width="8.109375" bestFit="1" customWidth="1"/>
    <col min="8" max="12" width="7.88671875" bestFit="1" customWidth="1"/>
  </cols>
  <sheetData>
    <row r="2" spans="2:12" x14ac:dyDescent="0.3">
      <c r="B2" s="2" t="s">
        <v>18</v>
      </c>
      <c r="C2" s="66">
        <v>2024</v>
      </c>
      <c r="D2" s="66">
        <f>C2+1</f>
        <v>2025</v>
      </c>
      <c r="E2" s="66">
        <f t="shared" ref="E2:L2" si="0">D2+1</f>
        <v>2026</v>
      </c>
      <c r="F2" s="67">
        <f t="shared" si="0"/>
        <v>2027</v>
      </c>
      <c r="G2" s="67">
        <f t="shared" si="0"/>
        <v>2028</v>
      </c>
      <c r="H2" s="67">
        <f t="shared" si="0"/>
        <v>2029</v>
      </c>
      <c r="I2" s="67">
        <f t="shared" si="0"/>
        <v>2030</v>
      </c>
      <c r="J2" s="67">
        <f t="shared" si="0"/>
        <v>2031</v>
      </c>
      <c r="K2" s="67">
        <f t="shared" si="0"/>
        <v>2032</v>
      </c>
      <c r="L2" s="67">
        <f t="shared" si="0"/>
        <v>2033</v>
      </c>
    </row>
    <row r="3" spans="2:12" x14ac:dyDescent="0.3">
      <c r="B3" s="1" t="s">
        <v>19</v>
      </c>
    </row>
    <row r="4" spans="2:12" x14ac:dyDescent="0.3">
      <c r="B4" s="3" t="s">
        <v>4</v>
      </c>
      <c r="C4" s="23">
        <f>'Income Statement'!F17</f>
        <v>0.40183284722656087</v>
      </c>
      <c r="D4" s="23">
        <f>'Income Statement'!G17</f>
        <v>0.39479688732738116</v>
      </c>
      <c r="E4" s="23">
        <f>'Income Statement'!H17</f>
        <v>0.39479688732738122</v>
      </c>
    </row>
    <row r="5" spans="2:12" x14ac:dyDescent="0.3">
      <c r="B5" s="3" t="s">
        <v>6</v>
      </c>
      <c r="C5" s="23">
        <f>'Income Statement'!F25</f>
        <v>0.23135372241604388</v>
      </c>
      <c r="D5" s="23">
        <f>'Income Statement'!G25</f>
        <v>0.2358195739657061</v>
      </c>
      <c r="E5" s="23">
        <f>'Income Statement'!H25</f>
        <v>0.2358195739657061</v>
      </c>
    </row>
    <row r="6" spans="2:12" x14ac:dyDescent="0.3">
      <c r="B6" s="3" t="s">
        <v>9</v>
      </c>
      <c r="C6" s="23">
        <f>'Income Statement'!F29</f>
        <v>0.20655076828983585</v>
      </c>
      <c r="D6" s="23">
        <f>'Income Statement'!G29</f>
        <v>0.20172207307174927</v>
      </c>
      <c r="E6" s="23">
        <f>'Income Statement'!H29</f>
        <v>0.20172207307174927</v>
      </c>
    </row>
    <row r="7" spans="2:12" x14ac:dyDescent="0.3">
      <c r="B7" s="3" t="s">
        <v>13</v>
      </c>
      <c r="C7" s="23">
        <f>'Income Statement'!F37</f>
        <v>0.17205483415922165</v>
      </c>
      <c r="D7" s="23">
        <f>'Income Statement'!G37</f>
        <v>0.16276031172133523</v>
      </c>
      <c r="E7" s="23">
        <f>'Income Statement'!H37</f>
        <v>0.16276031172133523</v>
      </c>
    </row>
    <row r="8" spans="2:12" x14ac:dyDescent="0.3">
      <c r="B8" s="3" t="s">
        <v>20</v>
      </c>
    </row>
    <row r="9" spans="2:12" x14ac:dyDescent="0.3">
      <c r="B9" s="3" t="s">
        <v>21</v>
      </c>
    </row>
    <row r="11" spans="2:12" x14ac:dyDescent="0.3">
      <c r="B11" s="1" t="s">
        <v>22</v>
      </c>
    </row>
    <row r="12" spans="2:12" x14ac:dyDescent="0.3">
      <c r="B12" s="3" t="s">
        <v>23</v>
      </c>
      <c r="C12" s="68"/>
      <c r="D12" s="68"/>
      <c r="E12" s="68"/>
    </row>
    <row r="13" spans="2:12" x14ac:dyDescent="0.3">
      <c r="B13" s="3" t="s">
        <v>24</v>
      </c>
      <c r="C13" s="68"/>
      <c r="D13" s="68"/>
      <c r="E13" s="68"/>
    </row>
    <row r="15" spans="2:12" x14ac:dyDescent="0.3">
      <c r="B15" s="1" t="s">
        <v>25</v>
      </c>
    </row>
    <row r="16" spans="2:12" x14ac:dyDescent="0.3">
      <c r="B16" s="3" t="s">
        <v>26</v>
      </c>
      <c r="C16" s="68"/>
      <c r="D16" s="68"/>
      <c r="E16" s="68"/>
    </row>
    <row r="17" spans="2:5" x14ac:dyDescent="0.3">
      <c r="B17" s="3" t="s">
        <v>27</v>
      </c>
      <c r="C17" s="68"/>
      <c r="D17" s="68"/>
      <c r="E17" s="68"/>
    </row>
    <row r="19" spans="2:5" x14ac:dyDescent="0.3">
      <c r="B19" s="1" t="s">
        <v>28</v>
      </c>
    </row>
    <row r="20" spans="2:5" x14ac:dyDescent="0.3">
      <c r="B20" s="3" t="s">
        <v>29</v>
      </c>
      <c r="C20" s="23"/>
      <c r="D20" s="23"/>
      <c r="E20" s="23"/>
    </row>
    <row r="21" spans="2:5" x14ac:dyDescent="0.3">
      <c r="B21" s="3" t="s">
        <v>30</v>
      </c>
      <c r="C21" s="23"/>
      <c r="D21" s="23"/>
      <c r="E21" s="23"/>
    </row>
    <row r="22" spans="2:5" x14ac:dyDescent="0.3">
      <c r="B22" s="3" t="s">
        <v>31</v>
      </c>
      <c r="C22" s="23"/>
      <c r="D22" s="23"/>
      <c r="E22" s="2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F79E-6D77-4E7A-97DE-B3DAA798D1E5}">
  <dimension ref="A2:L42"/>
  <sheetViews>
    <sheetView showGridLines="0" topLeftCell="A4" zoomScale="117" zoomScaleNormal="72" workbookViewId="0">
      <selection activeCell="J14" sqref="J14"/>
    </sheetView>
  </sheetViews>
  <sheetFormatPr defaultRowHeight="14.4" x14ac:dyDescent="0.3"/>
  <cols>
    <col min="1" max="1" width="2" bestFit="1" customWidth="1"/>
    <col min="2" max="2" width="27.77734375" bestFit="1" customWidth="1"/>
    <col min="3" max="3" width="7" bestFit="1" customWidth="1"/>
    <col min="4" max="4" width="8.33203125" bestFit="1" customWidth="1"/>
    <col min="5" max="10" width="7" bestFit="1" customWidth="1"/>
    <col min="11" max="11" width="12.6640625" bestFit="1" customWidth="1"/>
    <col min="12" max="12" width="5.109375" bestFit="1" customWidth="1"/>
  </cols>
  <sheetData>
    <row r="2" spans="1:12" x14ac:dyDescent="0.3">
      <c r="B2" s="11" t="s">
        <v>95</v>
      </c>
      <c r="C2" s="11"/>
      <c r="D2" s="11"/>
      <c r="E2" s="11"/>
      <c r="F2" s="11"/>
      <c r="G2" s="11"/>
      <c r="H2" s="11"/>
      <c r="I2" s="11"/>
      <c r="J2" s="11"/>
      <c r="K2" s="11"/>
    </row>
    <row r="3" spans="1:12" x14ac:dyDescent="0.3">
      <c r="B3" s="36" t="s">
        <v>1</v>
      </c>
      <c r="C3" s="37">
        <v>2021</v>
      </c>
      <c r="D3" s="37">
        <f>C3+1</f>
        <v>2022</v>
      </c>
      <c r="E3" s="37">
        <f t="shared" ref="E3:K3" si="0">D3+1</f>
        <v>2023</v>
      </c>
      <c r="F3" s="37">
        <f t="shared" si="0"/>
        <v>2024</v>
      </c>
      <c r="G3" s="37">
        <f t="shared" si="0"/>
        <v>2025</v>
      </c>
      <c r="H3" s="38">
        <f t="shared" si="0"/>
        <v>2026</v>
      </c>
      <c r="I3" s="38">
        <f t="shared" si="0"/>
        <v>2027</v>
      </c>
      <c r="J3" s="38">
        <f t="shared" si="0"/>
        <v>2028</v>
      </c>
      <c r="K3" s="38">
        <f t="shared" si="0"/>
        <v>2029</v>
      </c>
    </row>
    <row r="4" spans="1:12" x14ac:dyDescent="0.3">
      <c r="H4">
        <v>1</v>
      </c>
      <c r="I4">
        <v>2</v>
      </c>
      <c r="J4">
        <v>3</v>
      </c>
      <c r="K4">
        <v>4</v>
      </c>
    </row>
    <row r="5" spans="1:12" x14ac:dyDescent="0.3">
      <c r="B5" s="4" t="str">
        <f>'Income Statement'!B28</f>
        <v>EBIT</v>
      </c>
      <c r="C5" s="29">
        <f>'Income Statement'!C28</f>
        <v>1947.2700000000011</v>
      </c>
      <c r="D5" s="29">
        <f>'Income Statement'!D28</f>
        <v>2605.0600000000004</v>
      </c>
      <c r="E5" s="29">
        <f>'Income Statement'!E28</f>
        <v>2759.1899999999987</v>
      </c>
      <c r="F5" s="29">
        <f>'Income Statement'!F28</f>
        <v>3140.7800000000007</v>
      </c>
      <c r="G5" s="29">
        <f>'Income Statement'!G28</f>
        <v>3554</v>
      </c>
      <c r="H5" s="30">
        <f>'Income Statement'!H28</f>
        <v>3945.2536258106388</v>
      </c>
      <c r="I5" s="30">
        <f>'Income Statement'!I28</f>
        <v>4379.5796769757999</v>
      </c>
      <c r="J5" s="30">
        <f>'Income Statement'!J28</f>
        <v>4861.7199212479909</v>
      </c>
      <c r="K5" s="30">
        <f>'Income Statement'!K28</f>
        <v>5396.9381392739024</v>
      </c>
    </row>
    <row r="6" spans="1:12" x14ac:dyDescent="0.3">
      <c r="A6" t="s">
        <v>140</v>
      </c>
      <c r="B6" t="str">
        <f>'Income Statement'!B26</f>
        <v>D&amp;A</v>
      </c>
      <c r="C6" s="29">
        <f>'Income Statement'!C26</f>
        <v>254.74</v>
      </c>
      <c r="D6" s="29">
        <f>'Income Statement'!D26</f>
        <v>278.01</v>
      </c>
      <c r="E6" s="29">
        <f>'Income Statement'!E26</f>
        <v>304.08</v>
      </c>
      <c r="F6" s="29">
        <f>'Income Statement'!F26</f>
        <v>377.15</v>
      </c>
      <c r="G6" s="29">
        <f>'Income Statement'!G26</f>
        <v>600.74</v>
      </c>
      <c r="H6" s="30">
        <f>'Income Statement'!H26</f>
        <v>666.87441282202678</v>
      </c>
      <c r="I6" s="30">
        <f>'Income Statement'!I26</f>
        <v>740.28944714306192</v>
      </c>
      <c r="J6" s="30">
        <f>'Income Statement'!J26</f>
        <v>821.7866138127514</v>
      </c>
      <c r="K6" s="30">
        <f>'Income Statement'!K26</f>
        <v>912.25566060422182</v>
      </c>
    </row>
    <row r="7" spans="1:12" x14ac:dyDescent="0.3">
      <c r="A7" s="4" t="s">
        <v>141</v>
      </c>
      <c r="B7" t="str">
        <f>'Income Statement'!B34</f>
        <v>Tax</v>
      </c>
      <c r="C7" s="29">
        <f>'Income Statement'!C34</f>
        <v>317.27</v>
      </c>
      <c r="D7" s="29">
        <f>'Income Statement'!D34</f>
        <v>377.04</v>
      </c>
      <c r="E7" s="29">
        <f>'Income Statement'!E34</f>
        <v>447.04</v>
      </c>
      <c r="F7" s="29">
        <f>'Income Statement'!F34</f>
        <v>394.73</v>
      </c>
      <c r="G7" s="29">
        <f>'Income Statement'!G34</f>
        <v>396.24</v>
      </c>
      <c r="H7" s="30">
        <f>'Income Statement'!H34</f>
        <v>439.86136654226436</v>
      </c>
      <c r="I7" s="30">
        <f>'Income Statement'!I34</f>
        <v>488.2849328094797</v>
      </c>
      <c r="J7" s="30">
        <f>'Income Statement'!J34</f>
        <v>542.03936454566792</v>
      </c>
      <c r="K7" s="30">
        <f>'Income Statement'!K34</f>
        <v>601.71152737926025</v>
      </c>
    </row>
    <row r="8" spans="1:12" x14ac:dyDescent="0.3">
      <c r="A8" s="4" t="s">
        <v>141</v>
      </c>
      <c r="B8" t="s">
        <v>142</v>
      </c>
      <c r="C8" s="29">
        <f>-('Cash Flow Statement'!C16)</f>
        <v>211</v>
      </c>
      <c r="D8" s="29">
        <f>-('Cash Flow Statement'!D16)</f>
        <v>273</v>
      </c>
      <c r="E8" s="29">
        <f>-('Cash Flow Statement'!E16)</f>
        <v>312</v>
      </c>
      <c r="F8" s="29">
        <f>-('Cash Flow Statement'!F16)</f>
        <v>335</v>
      </c>
      <c r="G8" s="29">
        <f>-('Cash Flow Statement'!G16)</f>
        <v>460</v>
      </c>
      <c r="H8" s="30">
        <f>G8*(1+$L$8)</f>
        <v>568.56872037914684</v>
      </c>
      <c r="I8" s="30">
        <f t="shared" ref="I8:K8" si="1">H8*(1+$L$8)</f>
        <v>702.7617169425663</v>
      </c>
      <c r="J8" s="30">
        <f t="shared" si="1"/>
        <v>868.62680463801553</v>
      </c>
      <c r="K8" s="30">
        <f t="shared" si="1"/>
        <v>1073.6391973914428</v>
      </c>
      <c r="L8" s="63">
        <f>(G8/C8-1)/5</f>
        <v>0.23601895734597153</v>
      </c>
    </row>
    <row r="9" spans="1:12" x14ac:dyDescent="0.3">
      <c r="A9" s="4" t="s">
        <v>141</v>
      </c>
      <c r="B9" t="s">
        <v>143</v>
      </c>
      <c r="C9" s="29">
        <f>'Cash Flow Statement'!C10</f>
        <v>183</v>
      </c>
      <c r="D9" s="29">
        <f>'Cash Flow Statement'!D10</f>
        <v>2</v>
      </c>
      <c r="E9" s="29">
        <f>'Cash Flow Statement'!E10</f>
        <v>-25</v>
      </c>
      <c r="F9" s="29">
        <f>'Cash Flow Statement'!F10</f>
        <v>11</v>
      </c>
      <c r="G9" s="29">
        <f>'Cash Flow Statement'!G10</f>
        <v>5</v>
      </c>
      <c r="H9" s="30">
        <f>'Cash Flow Statement'!H10</f>
        <v>7.075982261787134</v>
      </c>
      <c r="I9" s="30">
        <f>'Cash Flow Statement'!I10</f>
        <v>10.013904993825232</v>
      </c>
      <c r="J9" s="30">
        <f>'Cash Flow Statement'!J10</f>
        <v>14.171642821505788</v>
      </c>
      <c r="K9" s="30">
        <f>'Cash Flow Statement'!K10</f>
        <v>20.055658645071585</v>
      </c>
    </row>
    <row r="10" spans="1:12" x14ac:dyDescent="0.3">
      <c r="B10" t="s">
        <v>144</v>
      </c>
      <c r="C10" s="29">
        <f>C5+C6-C7-C8-C9</f>
        <v>1490.7400000000011</v>
      </c>
      <c r="D10" s="29">
        <f t="shared" ref="D10:K10" si="2">D5+D6-D7-D8-D9</f>
        <v>2231.0300000000007</v>
      </c>
      <c r="E10" s="29">
        <f t="shared" si="2"/>
        <v>2329.2299999999987</v>
      </c>
      <c r="F10" s="29">
        <f t="shared" si="2"/>
        <v>2777.2000000000007</v>
      </c>
      <c r="G10" s="29">
        <f t="shared" si="2"/>
        <v>3293.5</v>
      </c>
      <c r="H10" s="30">
        <f t="shared" si="2"/>
        <v>3596.6219694494671</v>
      </c>
      <c r="I10" s="30">
        <f t="shared" si="2"/>
        <v>3918.8085693729904</v>
      </c>
      <c r="J10" s="30">
        <f t="shared" si="2"/>
        <v>4258.6687230555526</v>
      </c>
      <c r="K10" s="30">
        <f t="shared" si="2"/>
        <v>4613.7874164623499</v>
      </c>
      <c r="L10" s="9"/>
    </row>
    <row r="11" spans="1:12" x14ac:dyDescent="0.3">
      <c r="B11" t="s">
        <v>159</v>
      </c>
      <c r="C11" s="10"/>
      <c r="D11" s="10"/>
      <c r="E11" s="10"/>
      <c r="F11" s="10"/>
      <c r="G11" s="10"/>
      <c r="H11" s="10">
        <f>H10/(1+$D$42)^H4</f>
        <v>3279.1224832129606</v>
      </c>
      <c r="I11" s="10">
        <f t="shared" ref="I11:K11" si="3">I10/(1+$D$42)^I4</f>
        <v>3257.4648743944986</v>
      </c>
      <c r="J11" s="10">
        <f t="shared" si="3"/>
        <v>3227.4713560433438</v>
      </c>
      <c r="K11" s="10">
        <f t="shared" si="3"/>
        <v>3187.9313811479346</v>
      </c>
    </row>
    <row r="12" spans="1:12" x14ac:dyDescent="0.3">
      <c r="C12" s="10"/>
      <c r="D12" s="10"/>
      <c r="E12" s="10"/>
      <c r="F12" s="10"/>
      <c r="G12" s="10"/>
      <c r="H12" s="10"/>
      <c r="I12" s="10"/>
      <c r="J12" s="10"/>
      <c r="K12" s="10"/>
    </row>
    <row r="13" spans="1:12" x14ac:dyDescent="0.3">
      <c r="C13" s="10"/>
      <c r="D13" s="10"/>
      <c r="E13" s="10"/>
      <c r="F13" s="10"/>
      <c r="G13" s="10"/>
      <c r="H13" s="10"/>
      <c r="I13" s="10"/>
      <c r="J13" s="10"/>
      <c r="K13" s="10"/>
    </row>
    <row r="14" spans="1:12" x14ac:dyDescent="0.3">
      <c r="B14" t="s">
        <v>170</v>
      </c>
      <c r="C14" s="10"/>
      <c r="D14" s="10"/>
      <c r="E14" s="10"/>
      <c r="F14" s="10"/>
      <c r="G14" s="10"/>
      <c r="H14" s="10"/>
      <c r="I14" s="10"/>
      <c r="J14" s="10"/>
      <c r="K14" s="9">
        <f>((K10/H10)^(1/4)-1)</f>
        <v>6.4242741593080632E-2</v>
      </c>
    </row>
    <row r="15" spans="1:12" x14ac:dyDescent="0.3">
      <c r="B15" t="s">
        <v>160</v>
      </c>
      <c r="C15" s="10"/>
      <c r="D15" s="10"/>
      <c r="E15" s="10"/>
      <c r="F15" s="10"/>
      <c r="G15" s="10"/>
      <c r="H15" s="10"/>
      <c r="I15" s="10"/>
      <c r="J15" s="10"/>
      <c r="K15" s="61">
        <f>K10*(1+K14)/(D42-K14)</f>
        <v>150703.51664577884</v>
      </c>
    </row>
    <row r="16" spans="1:12" x14ac:dyDescent="0.3">
      <c r="B16" s="4" t="s">
        <v>161</v>
      </c>
      <c r="C16" s="10"/>
      <c r="D16" s="10"/>
      <c r="E16" s="10"/>
      <c r="F16" s="10"/>
      <c r="G16" s="10"/>
      <c r="H16" s="10"/>
      <c r="I16" s="10"/>
      <c r="J16" s="10"/>
      <c r="K16" s="60">
        <f>K15/(1+D42)^K4</f>
        <v>104129.73693807573</v>
      </c>
      <c r="L16" s="60"/>
    </row>
    <row r="17" spans="1:11" x14ac:dyDescent="0.3">
      <c r="B17" t="s">
        <v>162</v>
      </c>
      <c r="C17" s="10"/>
      <c r="D17" s="10"/>
      <c r="E17" s="10"/>
      <c r="F17" s="10"/>
      <c r="G17" s="10"/>
      <c r="H17" s="10"/>
      <c r="I17" s="10"/>
      <c r="J17" s="10"/>
      <c r="K17" s="61">
        <f>SUM(H10:K10,K16)</f>
        <v>120517.62361641609</v>
      </c>
    </row>
    <row r="18" spans="1:11" x14ac:dyDescent="0.3">
      <c r="A18" t="s">
        <v>141</v>
      </c>
      <c r="B18" t="s">
        <v>163</v>
      </c>
      <c r="C18" s="10"/>
      <c r="D18" s="10"/>
      <c r="E18" s="10"/>
      <c r="F18" s="10"/>
      <c r="G18" s="10"/>
      <c r="H18" s="10"/>
      <c r="I18" s="10"/>
      <c r="J18" s="10"/>
      <c r="K18" s="61">
        <f>'Balance Sheet'!K18</f>
        <v>350.02825897008415</v>
      </c>
    </row>
    <row r="19" spans="1:11" x14ac:dyDescent="0.3">
      <c r="A19" t="s">
        <v>140</v>
      </c>
      <c r="B19" t="s">
        <v>164</v>
      </c>
      <c r="C19" s="10"/>
      <c r="D19" s="10"/>
      <c r="E19" s="10"/>
      <c r="F19" s="10"/>
      <c r="G19" s="10"/>
      <c r="H19" s="10"/>
      <c r="I19" s="10"/>
      <c r="J19" s="10"/>
      <c r="K19" s="61">
        <f>'Balance Sheet'!H6</f>
        <v>2392.6799999999998</v>
      </c>
    </row>
    <row r="20" spans="1:11" x14ac:dyDescent="0.3">
      <c r="B20" t="s">
        <v>155</v>
      </c>
      <c r="C20" s="10"/>
      <c r="D20" s="10"/>
      <c r="E20" s="10"/>
      <c r="F20" s="10"/>
      <c r="G20" s="10"/>
      <c r="H20" s="10"/>
      <c r="I20" s="10"/>
      <c r="J20" s="10"/>
      <c r="K20" s="61">
        <f>K17-K18+K19</f>
        <v>122560.27535744601</v>
      </c>
    </row>
    <row r="21" spans="1:11" x14ac:dyDescent="0.3">
      <c r="B21" t="s">
        <v>165</v>
      </c>
      <c r="C21" s="10"/>
      <c r="D21" s="10"/>
      <c r="E21" s="10"/>
      <c r="F21" s="10"/>
      <c r="G21" s="10"/>
      <c r="H21" s="10"/>
      <c r="I21" s="10"/>
      <c r="J21" s="10"/>
      <c r="K21" s="10">
        <f>'Balance Sheet'!K4</f>
        <v>98.95</v>
      </c>
    </row>
    <row r="22" spans="1:11" x14ac:dyDescent="0.3">
      <c r="B22" t="s">
        <v>166</v>
      </c>
      <c r="C22" s="10"/>
      <c r="D22" s="10"/>
      <c r="E22" s="10"/>
      <c r="F22" s="10"/>
      <c r="G22" s="10"/>
      <c r="H22" s="10"/>
      <c r="I22" s="10"/>
      <c r="J22" s="10"/>
      <c r="K22" s="60">
        <v>1236</v>
      </c>
    </row>
    <row r="23" spans="1:11" x14ac:dyDescent="0.3">
      <c r="B23" t="s">
        <v>167</v>
      </c>
      <c r="C23" s="10"/>
      <c r="D23" s="10"/>
      <c r="E23" s="10"/>
      <c r="F23" s="10"/>
      <c r="G23" s="10"/>
      <c r="H23" s="10"/>
      <c r="I23" s="10"/>
      <c r="J23" s="10"/>
      <c r="K23" s="60">
        <f>K20/K21</f>
        <v>1238.6081390343204</v>
      </c>
    </row>
    <row r="24" spans="1:11" x14ac:dyDescent="0.3">
      <c r="B24" t="s">
        <v>168</v>
      </c>
      <c r="C24" s="10"/>
      <c r="D24" s="10"/>
      <c r="E24" s="10"/>
      <c r="F24" s="10"/>
      <c r="G24" s="10"/>
      <c r="H24" s="10"/>
      <c r="I24" s="10"/>
      <c r="J24" s="10"/>
      <c r="K24" s="62">
        <f>K23/K22-1</f>
        <v>2.1101448497737874E-3</v>
      </c>
    </row>
    <row r="25" spans="1:11" x14ac:dyDescent="0.3">
      <c r="B25" t="s">
        <v>169</v>
      </c>
      <c r="C25" s="10"/>
      <c r="D25" s="10"/>
      <c r="E25" s="10"/>
      <c r="F25" s="10"/>
      <c r="G25" s="10"/>
      <c r="H25" s="10"/>
      <c r="I25" s="10"/>
      <c r="J25" s="10"/>
      <c r="K25" s="60"/>
    </row>
    <row r="27" spans="1:11" x14ac:dyDescent="0.3">
      <c r="B27" t="s">
        <v>156</v>
      </c>
      <c r="D27" s="45">
        <f>'Balance Sheet'!K6</f>
        <v>2392.6799999999998</v>
      </c>
    </row>
    <row r="28" spans="1:11" x14ac:dyDescent="0.3">
      <c r="B28" t="s">
        <v>146</v>
      </c>
      <c r="D28" s="52">
        <f>D27/D40</f>
        <v>1.9188277818624148E-2</v>
      </c>
    </row>
    <row r="29" spans="1:11" x14ac:dyDescent="0.3">
      <c r="B29" t="s">
        <v>147</v>
      </c>
      <c r="D29" s="53">
        <v>0.02</v>
      </c>
    </row>
    <row r="30" spans="1:11" x14ac:dyDescent="0.3">
      <c r="B30" t="s">
        <v>0</v>
      </c>
      <c r="D30" s="53">
        <f>'Income Statement'!H35</f>
        <v>0.12140449782462161</v>
      </c>
    </row>
    <row r="32" spans="1:11" x14ac:dyDescent="0.3">
      <c r="B32" t="s">
        <v>155</v>
      </c>
      <c r="D32" s="45">
        <f>'Balance Sheet'!G4*K22</f>
        <v>122302.2</v>
      </c>
    </row>
    <row r="33" spans="2:4" x14ac:dyDescent="0.3">
      <c r="B33" t="s">
        <v>148</v>
      </c>
      <c r="D33" s="54">
        <f>D32/SUM(D27,D32)</f>
        <v>0.98081172218137591</v>
      </c>
    </row>
    <row r="34" spans="2:4" x14ac:dyDescent="0.3">
      <c r="B34" t="s">
        <v>149</v>
      </c>
      <c r="D34" s="9">
        <f>D35+D36*(D38)</f>
        <v>9.8375000000000004E-2</v>
      </c>
    </row>
    <row r="35" spans="2:4" x14ac:dyDescent="0.3">
      <c r="B35" t="s">
        <v>150</v>
      </c>
      <c r="D35" s="53">
        <v>6.3500000000000001E-2</v>
      </c>
    </row>
    <row r="36" spans="2:4" x14ac:dyDescent="0.3">
      <c r="B36" t="s">
        <v>151</v>
      </c>
      <c r="D36" s="55">
        <v>0.75</v>
      </c>
    </row>
    <row r="37" spans="2:4" x14ac:dyDescent="0.3">
      <c r="B37" t="s">
        <v>157</v>
      </c>
      <c r="D37" s="59">
        <v>0.11</v>
      </c>
    </row>
    <row r="38" spans="2:4" x14ac:dyDescent="0.3">
      <c r="B38" t="s">
        <v>152</v>
      </c>
      <c r="D38" s="53">
        <f>D37-D35</f>
        <v>4.65E-2</v>
      </c>
    </row>
    <row r="40" spans="2:4" x14ac:dyDescent="0.3">
      <c r="B40" t="s">
        <v>153</v>
      </c>
      <c r="D40" s="45">
        <f>SUM(D27,D32)</f>
        <v>124694.87999999999</v>
      </c>
    </row>
    <row r="42" spans="2:4" x14ac:dyDescent="0.3">
      <c r="B42" s="56" t="s">
        <v>145</v>
      </c>
      <c r="C42" s="57"/>
      <c r="D42" s="58">
        <f>(D34*D33)+(D29*D28)*(1-D30)</f>
        <v>9.6824527861311557E-2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6FBD-815B-4BC1-B078-AD3FB5D35A3A}">
  <sheetPr codeName="Sheet6"/>
  <dimension ref="B2:H37"/>
  <sheetViews>
    <sheetView showGridLines="0" workbookViewId="0">
      <selection activeCell="I24" sqref="I24"/>
    </sheetView>
  </sheetViews>
  <sheetFormatPr defaultRowHeight="14.4" x14ac:dyDescent="0.3"/>
  <cols>
    <col min="2" max="2" width="25.77734375" bestFit="1" customWidth="1"/>
    <col min="3" max="8" width="7" bestFit="1" customWidth="1"/>
  </cols>
  <sheetData>
    <row r="2" spans="2:8" x14ac:dyDescent="0.3">
      <c r="C2" s="44">
        <v>44256</v>
      </c>
      <c r="D2" s="44">
        <v>44621</v>
      </c>
      <c r="E2" s="44">
        <v>44986</v>
      </c>
      <c r="F2" s="44">
        <v>45352</v>
      </c>
      <c r="G2" s="44">
        <v>45717</v>
      </c>
      <c r="H2" s="44">
        <v>46082</v>
      </c>
    </row>
    <row r="3" spans="2:8" x14ac:dyDescent="0.3">
      <c r="B3" t="s">
        <v>134</v>
      </c>
      <c r="C3" s="45"/>
      <c r="D3" s="45"/>
      <c r="E3" s="45"/>
      <c r="F3" s="45"/>
      <c r="G3" s="45"/>
      <c r="H3" s="45"/>
    </row>
    <row r="4" spans="2:8" x14ac:dyDescent="0.3">
      <c r="B4" t="s">
        <v>102</v>
      </c>
      <c r="C4" s="45">
        <v>1579</v>
      </c>
      <c r="D4" s="45">
        <v>1749</v>
      </c>
      <c r="E4" s="45">
        <v>1875</v>
      </c>
      <c r="F4" s="45">
        <v>2323</v>
      </c>
      <c r="G4" s="45">
        <v>2514</v>
      </c>
      <c r="H4" s="45">
        <v>2840</v>
      </c>
    </row>
    <row r="5" spans="2:8" x14ac:dyDescent="0.3">
      <c r="B5" t="s">
        <v>82</v>
      </c>
      <c r="C5">
        <v>186</v>
      </c>
      <c r="D5">
        <v>-149</v>
      </c>
      <c r="E5">
        <v>-36</v>
      </c>
      <c r="F5">
        <v>-45</v>
      </c>
      <c r="G5">
        <v>36</v>
      </c>
      <c r="H5">
        <v>-291</v>
      </c>
    </row>
    <row r="6" spans="2:8" x14ac:dyDescent="0.3">
      <c r="B6" t="s">
        <v>15</v>
      </c>
      <c r="C6">
        <v>-533</v>
      </c>
      <c r="D6">
        <v>-1</v>
      </c>
      <c r="E6">
        <v>-368</v>
      </c>
      <c r="F6">
        <v>-3</v>
      </c>
      <c r="G6">
        <v>-734</v>
      </c>
      <c r="H6">
        <v>200</v>
      </c>
    </row>
    <row r="7" spans="2:8" x14ac:dyDescent="0.3">
      <c r="B7" t="s">
        <v>103</v>
      </c>
      <c r="C7">
        <v>531</v>
      </c>
      <c r="D7">
        <v>152</v>
      </c>
      <c r="E7">
        <v>379</v>
      </c>
      <c r="F7">
        <v>60</v>
      </c>
      <c r="G7">
        <v>704</v>
      </c>
      <c r="H7">
        <v>0</v>
      </c>
    </row>
    <row r="8" spans="2:8" x14ac:dyDescent="0.3">
      <c r="B8" t="s">
        <v>104</v>
      </c>
      <c r="C8">
        <v>0</v>
      </c>
      <c r="D8">
        <v>0</v>
      </c>
      <c r="E8">
        <v>0</v>
      </c>
      <c r="F8">
        <v>0</v>
      </c>
      <c r="G8">
        <v>0</v>
      </c>
      <c r="H8">
        <v>236</v>
      </c>
    </row>
    <row r="9" spans="2:8" x14ac:dyDescent="0.3">
      <c r="B9" t="s">
        <v>105</v>
      </c>
      <c r="C9">
        <v>183</v>
      </c>
      <c r="D9">
        <v>2</v>
      </c>
      <c r="E9">
        <v>-25</v>
      </c>
      <c r="F9">
        <v>11</v>
      </c>
      <c r="G9">
        <v>5</v>
      </c>
      <c r="H9">
        <v>145</v>
      </c>
    </row>
    <row r="10" spans="2:8" x14ac:dyDescent="0.3">
      <c r="B10" t="s">
        <v>106</v>
      </c>
      <c r="C10">
        <v>-106</v>
      </c>
      <c r="D10">
        <v>-235</v>
      </c>
      <c r="E10">
        <v>-389</v>
      </c>
      <c r="F10">
        <v>-398</v>
      </c>
      <c r="G10">
        <v>-462</v>
      </c>
      <c r="H10">
        <v>-563</v>
      </c>
    </row>
    <row r="11" spans="2:8" x14ac:dyDescent="0.3">
      <c r="B11" t="s">
        <v>107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2:8" x14ac:dyDescent="0.3">
      <c r="B12" t="s">
        <v>108</v>
      </c>
      <c r="C12">
        <v>-346</v>
      </c>
      <c r="D12" s="45">
        <v>-1317</v>
      </c>
      <c r="E12">
        <v>-834</v>
      </c>
      <c r="F12" s="45">
        <v>-1911</v>
      </c>
      <c r="G12" s="45">
        <v>-2303</v>
      </c>
      <c r="H12" s="45">
        <v>-1398</v>
      </c>
    </row>
    <row r="13" spans="2:8" x14ac:dyDescent="0.3">
      <c r="B13" t="s">
        <v>109</v>
      </c>
      <c r="C13">
        <v>-211</v>
      </c>
      <c r="D13">
        <v>-273</v>
      </c>
      <c r="E13">
        <v>-312</v>
      </c>
      <c r="F13">
        <v>-335</v>
      </c>
      <c r="G13">
        <v>-460</v>
      </c>
      <c r="H13">
        <v>-449</v>
      </c>
    </row>
    <row r="14" spans="2:8" x14ac:dyDescent="0.3">
      <c r="B14" t="s">
        <v>110</v>
      </c>
      <c r="C14">
        <v>32</v>
      </c>
      <c r="D14">
        <v>27</v>
      </c>
      <c r="E14">
        <v>172</v>
      </c>
      <c r="F14">
        <v>24</v>
      </c>
      <c r="G14">
        <v>45</v>
      </c>
      <c r="H14">
        <v>42</v>
      </c>
    </row>
    <row r="15" spans="2:8" x14ac:dyDescent="0.3">
      <c r="B15" t="s">
        <v>111</v>
      </c>
      <c r="C15">
        <v>0</v>
      </c>
      <c r="D15">
        <v>0</v>
      </c>
      <c r="E15">
        <v>-533</v>
      </c>
      <c r="F15">
        <v>0</v>
      </c>
      <c r="G15">
        <v>-29</v>
      </c>
      <c r="H15">
        <v>-547</v>
      </c>
    </row>
    <row r="16" spans="2:8" x14ac:dyDescent="0.3">
      <c r="B16" t="s">
        <v>112</v>
      </c>
      <c r="C16">
        <v>523</v>
      </c>
      <c r="D16">
        <v>136</v>
      </c>
      <c r="E16">
        <v>4</v>
      </c>
      <c r="F16">
        <v>710</v>
      </c>
      <c r="G16">
        <v>0</v>
      </c>
      <c r="H16">
        <v>0</v>
      </c>
    </row>
    <row r="17" spans="2:8" x14ac:dyDescent="0.3">
      <c r="B17" t="s">
        <v>113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2:8" x14ac:dyDescent="0.3">
      <c r="B18" t="s">
        <v>114</v>
      </c>
      <c r="C18">
        <v>68</v>
      </c>
      <c r="D18">
        <v>75</v>
      </c>
      <c r="E18">
        <v>109</v>
      </c>
      <c r="F18">
        <v>187</v>
      </c>
      <c r="G18">
        <v>111</v>
      </c>
      <c r="H18">
        <v>94</v>
      </c>
    </row>
    <row r="19" spans="2:8" x14ac:dyDescent="0.3">
      <c r="B19" t="s">
        <v>115</v>
      </c>
      <c r="C19">
        <v>5</v>
      </c>
      <c r="D19">
        <v>13</v>
      </c>
      <c r="E19">
        <v>13</v>
      </c>
      <c r="F19">
        <v>4</v>
      </c>
      <c r="G19">
        <v>7</v>
      </c>
      <c r="H19">
        <v>12</v>
      </c>
    </row>
    <row r="20" spans="2:8" x14ac:dyDescent="0.3">
      <c r="B20" t="s">
        <v>116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2:8" x14ac:dyDescent="0.3">
      <c r="B21" t="s">
        <v>117</v>
      </c>
      <c r="C21">
        <v>-112</v>
      </c>
      <c r="D21">
        <v>-236</v>
      </c>
      <c r="E21">
        <v>-150</v>
      </c>
      <c r="F21">
        <v>-25</v>
      </c>
      <c r="G21">
        <v>-125</v>
      </c>
      <c r="H21">
        <v>0</v>
      </c>
    </row>
    <row r="22" spans="2:8" x14ac:dyDescent="0.3">
      <c r="B22" t="s">
        <v>118</v>
      </c>
      <c r="C22">
        <v>57</v>
      </c>
      <c r="D22">
        <v>11</v>
      </c>
      <c r="E22">
        <v>9</v>
      </c>
      <c r="F22">
        <v>0</v>
      </c>
      <c r="G22">
        <v>0</v>
      </c>
      <c r="H22">
        <v>0</v>
      </c>
    </row>
    <row r="23" spans="2:8" x14ac:dyDescent="0.3">
      <c r="B23" t="s">
        <v>119</v>
      </c>
      <c r="C23">
        <v>-169</v>
      </c>
      <c r="D23">
        <v>-511</v>
      </c>
      <c r="E23">
        <v>-55</v>
      </c>
      <c r="F23" s="45">
        <v>-3859</v>
      </c>
      <c r="G23" s="45">
        <v>-1809</v>
      </c>
      <c r="H23">
        <v>0</v>
      </c>
    </row>
    <row r="24" spans="2:8" x14ac:dyDescent="0.3">
      <c r="B24" t="s">
        <v>120</v>
      </c>
      <c r="C24">
        <v>-73</v>
      </c>
      <c r="D24">
        <v>-499</v>
      </c>
      <c r="E24">
        <v>70</v>
      </c>
      <c r="F24">
        <v>232</v>
      </c>
      <c r="G24">
        <v>-144</v>
      </c>
      <c r="H24">
        <v>-244</v>
      </c>
    </row>
    <row r="25" spans="2:8" x14ac:dyDescent="0.3">
      <c r="B25" t="s">
        <v>121</v>
      </c>
      <c r="C25">
        <v>-467</v>
      </c>
      <c r="D25">
        <v>-61</v>
      </c>
      <c r="E25">
        <v>-160</v>
      </c>
      <c r="F25" s="45">
        <v>1152</v>
      </c>
      <c r="G25">
        <v>99</v>
      </c>
      <c r="H25">
        <v>-307</v>
      </c>
    </row>
    <row r="26" spans="2:8" x14ac:dyDescent="0.3">
      <c r="B26" t="s">
        <v>122</v>
      </c>
      <c r="C26">
        <v>-426</v>
      </c>
      <c r="D26">
        <v>-995</v>
      </c>
      <c r="E26">
        <v>-714</v>
      </c>
      <c r="F26">
        <v>256</v>
      </c>
      <c r="G26">
        <v>453</v>
      </c>
      <c r="H26" s="45">
        <v>-1075</v>
      </c>
    </row>
    <row r="27" spans="2:8" x14ac:dyDescent="0.3">
      <c r="B27" t="s">
        <v>123</v>
      </c>
      <c r="C27">
        <v>0</v>
      </c>
      <c r="D27">
        <v>0</v>
      </c>
      <c r="E27">
        <v>0</v>
      </c>
      <c r="F27">
        <v>0</v>
      </c>
      <c r="G27" s="45">
        <v>2981</v>
      </c>
      <c r="H27">
        <v>0</v>
      </c>
    </row>
    <row r="28" spans="2:8" x14ac:dyDescent="0.3">
      <c r="B28" t="s">
        <v>124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2:8" x14ac:dyDescent="0.3">
      <c r="B29" t="s">
        <v>125</v>
      </c>
      <c r="C29">
        <v>12</v>
      </c>
      <c r="D29">
        <v>0</v>
      </c>
      <c r="E29">
        <v>53</v>
      </c>
      <c r="F29" s="45">
        <v>1327</v>
      </c>
      <c r="G29">
        <v>60</v>
      </c>
      <c r="H29">
        <v>130</v>
      </c>
    </row>
    <row r="30" spans="2:8" x14ac:dyDescent="0.3">
      <c r="B30" t="s">
        <v>126</v>
      </c>
      <c r="C30">
        <v>-69</v>
      </c>
      <c r="D30">
        <v>-495</v>
      </c>
      <c r="E30">
        <v>-56</v>
      </c>
      <c r="F30">
        <v>-73</v>
      </c>
      <c r="G30" s="45">
        <v>-1511</v>
      </c>
      <c r="H30">
        <v>-194</v>
      </c>
    </row>
    <row r="31" spans="2:8" x14ac:dyDescent="0.3">
      <c r="B31" t="s">
        <v>127</v>
      </c>
      <c r="C31">
        <v>-65</v>
      </c>
      <c r="D31">
        <v>-63</v>
      </c>
      <c r="E31">
        <v>-82</v>
      </c>
      <c r="F31">
        <v>-118</v>
      </c>
      <c r="G31">
        <v>-261</v>
      </c>
      <c r="H31">
        <v>-112</v>
      </c>
    </row>
    <row r="32" spans="2:8" x14ac:dyDescent="0.3">
      <c r="B32" t="s">
        <v>128</v>
      </c>
      <c r="C32">
        <v>-267</v>
      </c>
      <c r="D32">
        <v>-398</v>
      </c>
      <c r="E32">
        <v>-573</v>
      </c>
      <c r="F32">
        <v>-809</v>
      </c>
      <c r="G32">
        <v>-741</v>
      </c>
      <c r="H32">
        <v>-820</v>
      </c>
    </row>
    <row r="33" spans="2:8" x14ac:dyDescent="0.3">
      <c r="B33" t="s">
        <v>129</v>
      </c>
      <c r="C33">
        <v>-45</v>
      </c>
      <c r="D33">
        <v>-53</v>
      </c>
      <c r="E33">
        <v>-56</v>
      </c>
      <c r="F33">
        <v>-71</v>
      </c>
      <c r="G33">
        <v>-75</v>
      </c>
      <c r="H33">
        <v>-79</v>
      </c>
    </row>
    <row r="34" spans="2:8" x14ac:dyDescent="0.3">
      <c r="B34" t="s">
        <v>130</v>
      </c>
      <c r="C34">
        <v>9</v>
      </c>
      <c r="D34">
        <v>13</v>
      </c>
      <c r="E34">
        <v>0</v>
      </c>
      <c r="F34">
        <v>0</v>
      </c>
      <c r="G34">
        <v>0</v>
      </c>
      <c r="H34">
        <v>0</v>
      </c>
    </row>
    <row r="35" spans="2:8" x14ac:dyDescent="0.3">
      <c r="B35" t="s">
        <v>91</v>
      </c>
      <c r="C35">
        <v>884</v>
      </c>
      <c r="D35">
        <v>-796</v>
      </c>
      <c r="E35">
        <v>-87</v>
      </c>
      <c r="F35">
        <v>281</v>
      </c>
      <c r="G35">
        <v>206</v>
      </c>
      <c r="H35">
        <v>-52</v>
      </c>
    </row>
    <row r="36" spans="2:8" x14ac:dyDescent="0.3">
      <c r="B36" t="s">
        <v>131</v>
      </c>
      <c r="C36" s="45">
        <v>1477</v>
      </c>
      <c r="D36" s="45">
        <v>1270</v>
      </c>
      <c r="E36" s="45">
        <v>1321</v>
      </c>
      <c r="F36" s="45">
        <v>1626</v>
      </c>
      <c r="G36" s="45">
        <v>1643</v>
      </c>
      <c r="H36" s="45">
        <v>2016</v>
      </c>
    </row>
    <row r="37" spans="2:8" x14ac:dyDescent="0.3">
      <c r="B37" t="s">
        <v>132</v>
      </c>
      <c r="C37" s="23">
        <v>1.1399999999999999</v>
      </c>
      <c r="D37" s="23">
        <v>1.02</v>
      </c>
      <c r="E37" s="23">
        <v>1</v>
      </c>
      <c r="F37" s="23">
        <v>1.02</v>
      </c>
      <c r="G37" s="23">
        <v>1.02</v>
      </c>
      <c r="H37" s="23">
        <v>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Data Sheet</vt:lpstr>
      <vt:lpstr>Income Statement</vt:lpstr>
      <vt:lpstr>Balance Sheet</vt:lpstr>
      <vt:lpstr>Cash Flow Statement</vt:lpstr>
      <vt:lpstr>Key Metrics</vt:lpstr>
      <vt:lpstr>DCF</vt:lpstr>
      <vt:lpstr>Sheet2</vt:lpstr>
      <vt:lpstr>'Data Sheet'!UPDATE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Shivansh Chandra</cp:lastModifiedBy>
  <dcterms:created xsi:type="dcterms:W3CDTF">2026-05-13T05:57:53Z</dcterms:created>
  <dcterms:modified xsi:type="dcterms:W3CDTF">2026-06-25T14:24:12Z</dcterms:modified>
</cp:coreProperties>
</file>