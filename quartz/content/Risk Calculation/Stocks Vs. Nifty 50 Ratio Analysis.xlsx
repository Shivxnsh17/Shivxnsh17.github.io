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4F527D9-A953-42CA-A9C7-34D4E14E98A7}" xr6:coauthVersionLast="47" xr6:coauthVersionMax="47" xr10:uidLastSave="{00000000-0000-0000-0000-000000000000}"/>
  <bookViews>
    <workbookView xWindow="-108" yWindow="-108" windowWidth="23256" windowHeight="13176" firstSheet="2" activeTab="8" xr2:uid="{00000000-000D-0000-FFFF-FFFF00000000}"/>
  </bookViews>
  <sheets>
    <sheet name="Axis_Bank" sheetId="1" r:id="rId1"/>
    <sheet name="Power_Grid" sheetId="2" r:id="rId2"/>
    <sheet name="Coal_India" sheetId="3" r:id="rId3"/>
    <sheet name="Google_Alphabet" sheetId="4" r:id="rId4"/>
    <sheet name="Cipla" sheetId="5" r:id="rId5"/>
    <sheet name="Shriram_Finance" sheetId="6" r:id="rId6"/>
    <sheet name="Larsen_and_Toubro" sheetId="7" r:id="rId7"/>
    <sheet name="Nifty_50" sheetId="8" r:id="rId8"/>
    <sheet name="ANALYSIS" sheetId="9" r:id="rId9"/>
    <sheet name="CODE" sheetId="10" r:id="rId10"/>
    <sheet name="SORTINO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M2" i="8"/>
  <c r="J3" i="8"/>
  <c r="K3" i="8" s="1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K23" i="8" s="1"/>
  <c r="J24" i="8"/>
  <c r="K24" i="8" s="1"/>
  <c r="J25" i="8"/>
  <c r="K25" i="8" s="1"/>
  <c r="J26" i="8"/>
  <c r="K26" i="8" s="1"/>
  <c r="J27" i="8"/>
  <c r="K27" i="8" s="1"/>
  <c r="J28" i="8"/>
  <c r="K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K38" i="8" s="1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K52" i="8" s="1"/>
  <c r="J53" i="8"/>
  <c r="K53" i="8" s="1"/>
  <c r="J54" i="8"/>
  <c r="K54" i="8" s="1"/>
  <c r="J55" i="8"/>
  <c r="K55" i="8" s="1"/>
  <c r="J56" i="8"/>
  <c r="K56" i="8" s="1"/>
  <c r="J57" i="8"/>
  <c r="K57" i="8" s="1"/>
  <c r="J58" i="8"/>
  <c r="K58" i="8" s="1"/>
  <c r="J59" i="8"/>
  <c r="K59" i="8" s="1"/>
  <c r="J60" i="8"/>
  <c r="K60" i="8" s="1"/>
  <c r="J61" i="8"/>
  <c r="K61" i="8" s="1"/>
  <c r="J62" i="8"/>
  <c r="K62" i="8" s="1"/>
  <c r="J63" i="8"/>
  <c r="K63" i="8" s="1"/>
  <c r="J64" i="8"/>
  <c r="K64" i="8" s="1"/>
  <c r="J65" i="8"/>
  <c r="K65" i="8" s="1"/>
  <c r="J66" i="8"/>
  <c r="K66" i="8" s="1"/>
  <c r="J67" i="8"/>
  <c r="K67" i="8" s="1"/>
  <c r="J68" i="8"/>
  <c r="K68" i="8" s="1"/>
  <c r="J69" i="8"/>
  <c r="K69" i="8" s="1"/>
  <c r="J70" i="8"/>
  <c r="K70" i="8" s="1"/>
  <c r="J71" i="8"/>
  <c r="K71" i="8" s="1"/>
  <c r="J72" i="8"/>
  <c r="K72" i="8" s="1"/>
  <c r="J73" i="8"/>
  <c r="K73" i="8" s="1"/>
  <c r="J74" i="8"/>
  <c r="K74" i="8" s="1"/>
  <c r="J75" i="8"/>
  <c r="K75" i="8" s="1"/>
  <c r="J76" i="8"/>
  <c r="K76" i="8" s="1"/>
  <c r="J77" i="8"/>
  <c r="K77" i="8" s="1"/>
  <c r="J78" i="8"/>
  <c r="K78" i="8" s="1"/>
  <c r="J79" i="8"/>
  <c r="K79" i="8" s="1"/>
  <c r="J80" i="8"/>
  <c r="K80" i="8" s="1"/>
  <c r="J81" i="8"/>
  <c r="K81" i="8" s="1"/>
  <c r="J82" i="8"/>
  <c r="K82" i="8" s="1"/>
  <c r="J83" i="8"/>
  <c r="K83" i="8" s="1"/>
  <c r="J84" i="8"/>
  <c r="K84" i="8" s="1"/>
  <c r="J85" i="8"/>
  <c r="K85" i="8" s="1"/>
  <c r="J86" i="8"/>
  <c r="K86" i="8" s="1"/>
  <c r="J87" i="8"/>
  <c r="K87" i="8" s="1"/>
  <c r="J88" i="8"/>
  <c r="K88" i="8" s="1"/>
  <c r="J89" i="8"/>
  <c r="K89" i="8" s="1"/>
  <c r="J90" i="8"/>
  <c r="K90" i="8" s="1"/>
  <c r="J91" i="8"/>
  <c r="K91" i="8" s="1"/>
  <c r="J92" i="8"/>
  <c r="K92" i="8" s="1"/>
  <c r="J93" i="8"/>
  <c r="K93" i="8" s="1"/>
  <c r="J94" i="8"/>
  <c r="K94" i="8" s="1"/>
  <c r="J95" i="8"/>
  <c r="K95" i="8" s="1"/>
  <c r="J96" i="8"/>
  <c r="K96" i="8" s="1"/>
  <c r="J97" i="8"/>
  <c r="K97" i="8" s="1"/>
  <c r="J98" i="8"/>
  <c r="K98" i="8" s="1"/>
  <c r="J99" i="8"/>
  <c r="K99" i="8" s="1"/>
  <c r="J100" i="8"/>
  <c r="K100" i="8" s="1"/>
  <c r="J101" i="8"/>
  <c r="K101" i="8" s="1"/>
  <c r="J102" i="8"/>
  <c r="K102" i="8" s="1"/>
  <c r="J103" i="8"/>
  <c r="K103" i="8" s="1"/>
  <c r="J104" i="8"/>
  <c r="K104" i="8" s="1"/>
  <c r="J105" i="8"/>
  <c r="K105" i="8" s="1"/>
  <c r="J106" i="8"/>
  <c r="K106" i="8" s="1"/>
  <c r="J107" i="8"/>
  <c r="K107" i="8" s="1"/>
  <c r="J108" i="8"/>
  <c r="K108" i="8" s="1"/>
  <c r="J109" i="8"/>
  <c r="K109" i="8" s="1"/>
  <c r="J110" i="8"/>
  <c r="K110" i="8" s="1"/>
  <c r="J111" i="8"/>
  <c r="K111" i="8" s="1"/>
  <c r="J112" i="8"/>
  <c r="K112" i="8" s="1"/>
  <c r="J113" i="8"/>
  <c r="K113" i="8" s="1"/>
  <c r="J114" i="8"/>
  <c r="K114" i="8" s="1"/>
  <c r="J115" i="8"/>
  <c r="K115" i="8" s="1"/>
  <c r="J116" i="8"/>
  <c r="K116" i="8" s="1"/>
  <c r="J117" i="8"/>
  <c r="K117" i="8" s="1"/>
  <c r="J118" i="8"/>
  <c r="K118" i="8" s="1"/>
  <c r="J119" i="8"/>
  <c r="K119" i="8" s="1"/>
  <c r="J120" i="8"/>
  <c r="K120" i="8" s="1"/>
  <c r="J121" i="8"/>
  <c r="K121" i="8" s="1"/>
  <c r="J122" i="8"/>
  <c r="K122" i="8" s="1"/>
  <c r="J123" i="8"/>
  <c r="K123" i="8" s="1"/>
  <c r="J124" i="8"/>
  <c r="K124" i="8" s="1"/>
  <c r="J125" i="8"/>
  <c r="K125" i="8" s="1"/>
  <c r="J126" i="8"/>
  <c r="K126" i="8" s="1"/>
  <c r="J127" i="8"/>
  <c r="K127" i="8" s="1"/>
  <c r="J128" i="8"/>
  <c r="K128" i="8" s="1"/>
  <c r="J129" i="8"/>
  <c r="K129" i="8" s="1"/>
  <c r="J130" i="8"/>
  <c r="K130" i="8" s="1"/>
  <c r="J131" i="8"/>
  <c r="K131" i="8" s="1"/>
  <c r="J132" i="8"/>
  <c r="K132" i="8" s="1"/>
  <c r="J133" i="8"/>
  <c r="K133" i="8" s="1"/>
  <c r="J134" i="8"/>
  <c r="K134" i="8" s="1"/>
  <c r="J135" i="8"/>
  <c r="K135" i="8" s="1"/>
  <c r="J136" i="8"/>
  <c r="K136" i="8" s="1"/>
  <c r="J137" i="8"/>
  <c r="K137" i="8" s="1"/>
  <c r="J138" i="8"/>
  <c r="K138" i="8" s="1"/>
  <c r="J139" i="8"/>
  <c r="K139" i="8" s="1"/>
  <c r="J140" i="8"/>
  <c r="K140" i="8" s="1"/>
  <c r="J141" i="8"/>
  <c r="K141" i="8" s="1"/>
  <c r="J142" i="8"/>
  <c r="K142" i="8" s="1"/>
  <c r="J143" i="8"/>
  <c r="K143" i="8" s="1"/>
  <c r="J144" i="8"/>
  <c r="K144" i="8" s="1"/>
  <c r="J145" i="8"/>
  <c r="K145" i="8" s="1"/>
  <c r="J146" i="8"/>
  <c r="K146" i="8" s="1"/>
  <c r="J147" i="8"/>
  <c r="K147" i="8" s="1"/>
  <c r="J148" i="8"/>
  <c r="K148" i="8" s="1"/>
  <c r="J149" i="8"/>
  <c r="K149" i="8" s="1"/>
  <c r="J150" i="8"/>
  <c r="K150" i="8" s="1"/>
  <c r="J151" i="8"/>
  <c r="K151" i="8" s="1"/>
  <c r="J152" i="8"/>
  <c r="K152" i="8" s="1"/>
  <c r="J153" i="8"/>
  <c r="K153" i="8" s="1"/>
  <c r="J154" i="8"/>
  <c r="K154" i="8" s="1"/>
  <c r="J155" i="8"/>
  <c r="K155" i="8" s="1"/>
  <c r="J156" i="8"/>
  <c r="K156" i="8" s="1"/>
  <c r="J157" i="8"/>
  <c r="K157" i="8" s="1"/>
  <c r="J158" i="8"/>
  <c r="K158" i="8" s="1"/>
  <c r="J159" i="8"/>
  <c r="K159" i="8" s="1"/>
  <c r="J160" i="8"/>
  <c r="K160" i="8" s="1"/>
  <c r="J161" i="8"/>
  <c r="K161" i="8" s="1"/>
  <c r="J162" i="8"/>
  <c r="K162" i="8" s="1"/>
  <c r="J163" i="8"/>
  <c r="K163" i="8" s="1"/>
  <c r="J164" i="8"/>
  <c r="K164" i="8" s="1"/>
  <c r="J165" i="8"/>
  <c r="K165" i="8" s="1"/>
  <c r="J166" i="8"/>
  <c r="K166" i="8" s="1"/>
  <c r="J167" i="8"/>
  <c r="K167" i="8" s="1"/>
  <c r="J168" i="8"/>
  <c r="K168" i="8" s="1"/>
  <c r="J169" i="8"/>
  <c r="K169" i="8" s="1"/>
  <c r="J170" i="8"/>
  <c r="K170" i="8" s="1"/>
  <c r="J171" i="8"/>
  <c r="K171" i="8" s="1"/>
  <c r="J172" i="8"/>
  <c r="K172" i="8" s="1"/>
  <c r="J173" i="8"/>
  <c r="K173" i="8" s="1"/>
  <c r="J174" i="8"/>
  <c r="K174" i="8" s="1"/>
  <c r="J175" i="8"/>
  <c r="K175" i="8" s="1"/>
  <c r="J176" i="8"/>
  <c r="K176" i="8" s="1"/>
  <c r="J177" i="8"/>
  <c r="K177" i="8" s="1"/>
  <c r="J178" i="8"/>
  <c r="K178" i="8" s="1"/>
  <c r="J179" i="8"/>
  <c r="K179" i="8" s="1"/>
  <c r="J180" i="8"/>
  <c r="K180" i="8" s="1"/>
  <c r="J181" i="8"/>
  <c r="K181" i="8" s="1"/>
  <c r="J182" i="8"/>
  <c r="K182" i="8" s="1"/>
  <c r="J183" i="8"/>
  <c r="K183" i="8" s="1"/>
  <c r="J184" i="8"/>
  <c r="K184" i="8" s="1"/>
  <c r="J185" i="8"/>
  <c r="K185" i="8" s="1"/>
  <c r="J186" i="8"/>
  <c r="K186" i="8" s="1"/>
  <c r="J187" i="8"/>
  <c r="K187" i="8" s="1"/>
  <c r="J188" i="8"/>
  <c r="K188" i="8" s="1"/>
  <c r="J189" i="8"/>
  <c r="K189" i="8" s="1"/>
  <c r="J190" i="8"/>
  <c r="K190" i="8" s="1"/>
  <c r="J191" i="8"/>
  <c r="K191" i="8" s="1"/>
  <c r="J192" i="8"/>
  <c r="K192" i="8" s="1"/>
  <c r="J193" i="8"/>
  <c r="K193" i="8" s="1"/>
  <c r="J194" i="8"/>
  <c r="K194" i="8" s="1"/>
  <c r="J195" i="8"/>
  <c r="K195" i="8" s="1"/>
  <c r="J196" i="8"/>
  <c r="K196" i="8" s="1"/>
  <c r="J197" i="8"/>
  <c r="K197" i="8" s="1"/>
  <c r="J198" i="8"/>
  <c r="K198" i="8" s="1"/>
  <c r="J199" i="8"/>
  <c r="K199" i="8" s="1"/>
  <c r="J200" i="8"/>
  <c r="K200" i="8" s="1"/>
  <c r="J201" i="8"/>
  <c r="K201" i="8" s="1"/>
  <c r="J202" i="8"/>
  <c r="K202" i="8" s="1"/>
  <c r="J203" i="8"/>
  <c r="K203" i="8" s="1"/>
  <c r="J204" i="8"/>
  <c r="K204" i="8" s="1"/>
  <c r="J205" i="8"/>
  <c r="K205" i="8" s="1"/>
  <c r="J206" i="8"/>
  <c r="K206" i="8" s="1"/>
  <c r="J207" i="8"/>
  <c r="K207" i="8" s="1"/>
  <c r="J208" i="8"/>
  <c r="K208" i="8" s="1"/>
  <c r="J209" i="8"/>
  <c r="K209" i="8" s="1"/>
  <c r="J210" i="8"/>
  <c r="K210" i="8" s="1"/>
  <c r="J211" i="8"/>
  <c r="K211" i="8" s="1"/>
  <c r="J212" i="8"/>
  <c r="K212" i="8" s="1"/>
  <c r="J213" i="8"/>
  <c r="K213" i="8" s="1"/>
  <c r="J214" i="8"/>
  <c r="K214" i="8" s="1"/>
  <c r="J215" i="8"/>
  <c r="K215" i="8" s="1"/>
  <c r="J216" i="8"/>
  <c r="K216" i="8" s="1"/>
  <c r="J217" i="8"/>
  <c r="K217" i="8" s="1"/>
  <c r="J218" i="8"/>
  <c r="K218" i="8" s="1"/>
  <c r="J219" i="8"/>
  <c r="K219" i="8" s="1"/>
  <c r="J220" i="8"/>
  <c r="K220" i="8" s="1"/>
  <c r="J221" i="8"/>
  <c r="K221" i="8" s="1"/>
  <c r="J222" i="8"/>
  <c r="K222" i="8" s="1"/>
  <c r="J223" i="8"/>
  <c r="K223" i="8" s="1"/>
  <c r="J224" i="8"/>
  <c r="K224" i="8" s="1"/>
  <c r="J225" i="8"/>
  <c r="K225" i="8" s="1"/>
  <c r="J226" i="8"/>
  <c r="K226" i="8" s="1"/>
  <c r="J227" i="8"/>
  <c r="K227" i="8" s="1"/>
  <c r="J228" i="8"/>
  <c r="K228" i="8" s="1"/>
  <c r="J229" i="8"/>
  <c r="K229" i="8" s="1"/>
  <c r="J230" i="8"/>
  <c r="K230" i="8" s="1"/>
  <c r="J231" i="8"/>
  <c r="K231" i="8" s="1"/>
  <c r="J232" i="8"/>
  <c r="K232" i="8" s="1"/>
  <c r="J233" i="8"/>
  <c r="K233" i="8" s="1"/>
  <c r="J234" i="8"/>
  <c r="K234" i="8" s="1"/>
  <c r="J235" i="8"/>
  <c r="K235" i="8" s="1"/>
  <c r="J236" i="8"/>
  <c r="K236" i="8" s="1"/>
  <c r="J237" i="8"/>
  <c r="K237" i="8" s="1"/>
  <c r="J238" i="8"/>
  <c r="K238" i="8" s="1"/>
  <c r="J239" i="8"/>
  <c r="K239" i="8" s="1"/>
  <c r="J240" i="8"/>
  <c r="K240" i="8" s="1"/>
  <c r="J241" i="8"/>
  <c r="K241" i="8" s="1"/>
  <c r="J242" i="8"/>
  <c r="K242" i="8" s="1"/>
  <c r="J243" i="8"/>
  <c r="K243" i="8" s="1"/>
  <c r="J244" i="8"/>
  <c r="K244" i="8" s="1"/>
  <c r="J245" i="8"/>
  <c r="K245" i="8" s="1"/>
  <c r="J246" i="8"/>
  <c r="K246" i="8" s="1"/>
  <c r="J247" i="8"/>
  <c r="K247" i="8" s="1"/>
  <c r="J248" i="8"/>
  <c r="K248" i="8" s="1"/>
  <c r="J249" i="8"/>
  <c r="K249" i="8" s="1"/>
  <c r="J250" i="8"/>
  <c r="K250" i="8" s="1"/>
  <c r="J251" i="8"/>
  <c r="K251" i="8" s="1"/>
  <c r="J252" i="8"/>
  <c r="K252" i="8" s="1"/>
  <c r="J253" i="8"/>
  <c r="K253" i="8" s="1"/>
  <c r="J254" i="8"/>
  <c r="K254" i="8" s="1"/>
  <c r="J255" i="8"/>
  <c r="K255" i="8" s="1"/>
  <c r="J256" i="8"/>
  <c r="K256" i="8" s="1"/>
  <c r="J257" i="8"/>
  <c r="K257" i="8" s="1"/>
  <c r="J258" i="8"/>
  <c r="K258" i="8" s="1"/>
  <c r="J259" i="8"/>
  <c r="K259" i="8" s="1"/>
  <c r="J260" i="8"/>
  <c r="K260" i="8" s="1"/>
  <c r="J261" i="8"/>
  <c r="K261" i="8" s="1"/>
  <c r="J262" i="8"/>
  <c r="K262" i="8" s="1"/>
  <c r="J263" i="8"/>
  <c r="K263" i="8" s="1"/>
  <c r="J264" i="8"/>
  <c r="K264" i="8" s="1"/>
  <c r="J265" i="8"/>
  <c r="K265" i="8" s="1"/>
  <c r="J266" i="8"/>
  <c r="K266" i="8" s="1"/>
  <c r="J267" i="8"/>
  <c r="K267" i="8" s="1"/>
  <c r="J268" i="8"/>
  <c r="K268" i="8" s="1"/>
  <c r="J269" i="8"/>
  <c r="K269" i="8" s="1"/>
  <c r="J270" i="8"/>
  <c r="K270" i="8" s="1"/>
  <c r="J271" i="8"/>
  <c r="K271" i="8" s="1"/>
  <c r="J272" i="8"/>
  <c r="K272" i="8" s="1"/>
  <c r="J273" i="8"/>
  <c r="K273" i="8" s="1"/>
  <c r="J274" i="8"/>
  <c r="K274" i="8" s="1"/>
  <c r="J275" i="8"/>
  <c r="K275" i="8" s="1"/>
  <c r="J276" i="8"/>
  <c r="K276" i="8" s="1"/>
  <c r="J277" i="8"/>
  <c r="K277" i="8" s="1"/>
  <c r="J278" i="8"/>
  <c r="K278" i="8" s="1"/>
  <c r="J279" i="8"/>
  <c r="K279" i="8" s="1"/>
  <c r="J280" i="8"/>
  <c r="K280" i="8" s="1"/>
  <c r="J281" i="8"/>
  <c r="K281" i="8" s="1"/>
  <c r="J282" i="8"/>
  <c r="K282" i="8" s="1"/>
  <c r="J283" i="8"/>
  <c r="K283" i="8" s="1"/>
  <c r="J284" i="8"/>
  <c r="K284" i="8" s="1"/>
  <c r="J285" i="8"/>
  <c r="K285" i="8" s="1"/>
  <c r="J286" i="8"/>
  <c r="K286" i="8" s="1"/>
  <c r="J287" i="8"/>
  <c r="K287" i="8" s="1"/>
  <c r="J288" i="8"/>
  <c r="K288" i="8" s="1"/>
  <c r="J289" i="8"/>
  <c r="K289" i="8" s="1"/>
  <c r="J290" i="8"/>
  <c r="K290" i="8" s="1"/>
  <c r="J291" i="8"/>
  <c r="K291" i="8" s="1"/>
  <c r="J292" i="8"/>
  <c r="K292" i="8" s="1"/>
  <c r="J293" i="8"/>
  <c r="K293" i="8" s="1"/>
  <c r="J294" i="8"/>
  <c r="K294" i="8" s="1"/>
  <c r="J295" i="8"/>
  <c r="K295" i="8" s="1"/>
  <c r="J296" i="8"/>
  <c r="K296" i="8" s="1"/>
  <c r="J297" i="8"/>
  <c r="K297" i="8" s="1"/>
  <c r="J298" i="8"/>
  <c r="K298" i="8" s="1"/>
  <c r="J299" i="8"/>
  <c r="K299" i="8" s="1"/>
  <c r="J300" i="8"/>
  <c r="K300" i="8" s="1"/>
  <c r="J301" i="8"/>
  <c r="K301" i="8" s="1"/>
  <c r="J302" i="8"/>
  <c r="K302" i="8" s="1"/>
  <c r="J303" i="8"/>
  <c r="K303" i="8" s="1"/>
  <c r="J304" i="8"/>
  <c r="K304" i="8" s="1"/>
  <c r="J305" i="8"/>
  <c r="K305" i="8" s="1"/>
  <c r="J306" i="8"/>
  <c r="K306" i="8" s="1"/>
  <c r="J307" i="8"/>
  <c r="K307" i="8" s="1"/>
  <c r="J308" i="8"/>
  <c r="K308" i="8" s="1"/>
  <c r="J309" i="8"/>
  <c r="K309" i="8" s="1"/>
  <c r="J310" i="8"/>
  <c r="K310" i="8" s="1"/>
  <c r="J311" i="8"/>
  <c r="K311" i="8" s="1"/>
  <c r="J312" i="8"/>
  <c r="K312" i="8" s="1"/>
  <c r="J313" i="8"/>
  <c r="K313" i="8" s="1"/>
  <c r="J314" i="8"/>
  <c r="K314" i="8" s="1"/>
  <c r="J315" i="8"/>
  <c r="K315" i="8" s="1"/>
  <c r="J316" i="8"/>
  <c r="K316" i="8" s="1"/>
  <c r="J317" i="8"/>
  <c r="K317" i="8" s="1"/>
  <c r="J318" i="8"/>
  <c r="K318" i="8" s="1"/>
  <c r="J319" i="8"/>
  <c r="K319" i="8" s="1"/>
  <c r="J320" i="8"/>
  <c r="K320" i="8" s="1"/>
  <c r="J321" i="8"/>
  <c r="K321" i="8" s="1"/>
  <c r="J322" i="8"/>
  <c r="K322" i="8" s="1"/>
  <c r="J323" i="8"/>
  <c r="K323" i="8" s="1"/>
  <c r="J324" i="8"/>
  <c r="K324" i="8" s="1"/>
  <c r="J325" i="8"/>
  <c r="K325" i="8" s="1"/>
  <c r="J326" i="8"/>
  <c r="K326" i="8" s="1"/>
  <c r="J327" i="8"/>
  <c r="K327" i="8" s="1"/>
  <c r="J328" i="8"/>
  <c r="K328" i="8" s="1"/>
  <c r="J329" i="8"/>
  <c r="K329" i="8" s="1"/>
  <c r="J330" i="8"/>
  <c r="K330" i="8" s="1"/>
  <c r="J331" i="8"/>
  <c r="K331" i="8" s="1"/>
  <c r="J332" i="8"/>
  <c r="K332" i="8" s="1"/>
  <c r="J333" i="8"/>
  <c r="K333" i="8" s="1"/>
  <c r="J334" i="8"/>
  <c r="K334" i="8" s="1"/>
  <c r="J335" i="8"/>
  <c r="K335" i="8" s="1"/>
  <c r="J336" i="8"/>
  <c r="K336" i="8" s="1"/>
  <c r="J337" i="8"/>
  <c r="K337" i="8" s="1"/>
  <c r="J338" i="8"/>
  <c r="K338" i="8" s="1"/>
  <c r="J339" i="8"/>
  <c r="K339" i="8" s="1"/>
  <c r="J340" i="8"/>
  <c r="K340" i="8" s="1"/>
  <c r="J341" i="8"/>
  <c r="K341" i="8" s="1"/>
  <c r="J342" i="8"/>
  <c r="K342" i="8" s="1"/>
  <c r="J343" i="8"/>
  <c r="K343" i="8" s="1"/>
  <c r="J344" i="8"/>
  <c r="K344" i="8" s="1"/>
  <c r="J345" i="8"/>
  <c r="K345" i="8" s="1"/>
  <c r="J346" i="8"/>
  <c r="K346" i="8" s="1"/>
  <c r="J347" i="8"/>
  <c r="K347" i="8" s="1"/>
  <c r="J348" i="8"/>
  <c r="K348" i="8" s="1"/>
  <c r="J349" i="8"/>
  <c r="K349" i="8" s="1"/>
  <c r="J350" i="8"/>
  <c r="K350" i="8" s="1"/>
  <c r="J351" i="8"/>
  <c r="K351" i="8" s="1"/>
  <c r="J352" i="8"/>
  <c r="K352" i="8" s="1"/>
  <c r="J353" i="8"/>
  <c r="K353" i="8" s="1"/>
  <c r="J354" i="8"/>
  <c r="K354" i="8" s="1"/>
  <c r="J355" i="8"/>
  <c r="K355" i="8" s="1"/>
  <c r="J356" i="8"/>
  <c r="K356" i="8" s="1"/>
  <c r="J357" i="8"/>
  <c r="K357" i="8" s="1"/>
  <c r="J358" i="8"/>
  <c r="K358" i="8" s="1"/>
  <c r="J359" i="8"/>
  <c r="K359" i="8" s="1"/>
  <c r="J360" i="8"/>
  <c r="K360" i="8" s="1"/>
  <c r="J361" i="8"/>
  <c r="K361" i="8" s="1"/>
  <c r="J362" i="8"/>
  <c r="K362" i="8" s="1"/>
  <c r="J363" i="8"/>
  <c r="K363" i="8" s="1"/>
  <c r="J364" i="8"/>
  <c r="K364" i="8" s="1"/>
  <c r="J365" i="8"/>
  <c r="K365" i="8" s="1"/>
  <c r="J366" i="8"/>
  <c r="K366" i="8" s="1"/>
  <c r="J367" i="8"/>
  <c r="K367" i="8" s="1"/>
  <c r="J368" i="8"/>
  <c r="K368" i="8" s="1"/>
  <c r="J369" i="8"/>
  <c r="K369" i="8" s="1"/>
  <c r="J370" i="8"/>
  <c r="K370" i="8" s="1"/>
  <c r="J371" i="8"/>
  <c r="K371" i="8" s="1"/>
  <c r="J372" i="8"/>
  <c r="K372" i="8" s="1"/>
  <c r="J373" i="8"/>
  <c r="K373" i="8" s="1"/>
  <c r="J374" i="8"/>
  <c r="K374" i="8" s="1"/>
  <c r="J375" i="8"/>
  <c r="K375" i="8" s="1"/>
  <c r="J376" i="8"/>
  <c r="K376" i="8" s="1"/>
  <c r="J377" i="8"/>
  <c r="K377" i="8" s="1"/>
  <c r="J378" i="8"/>
  <c r="K378" i="8" s="1"/>
  <c r="J379" i="8"/>
  <c r="K379" i="8" s="1"/>
  <c r="J380" i="8"/>
  <c r="K380" i="8" s="1"/>
  <c r="J381" i="8"/>
  <c r="K381" i="8" s="1"/>
  <c r="J382" i="8"/>
  <c r="K382" i="8" s="1"/>
  <c r="J383" i="8"/>
  <c r="K383" i="8" s="1"/>
  <c r="J384" i="8"/>
  <c r="K384" i="8" s="1"/>
  <c r="J385" i="8"/>
  <c r="K385" i="8" s="1"/>
  <c r="J386" i="8"/>
  <c r="K386" i="8" s="1"/>
  <c r="J387" i="8"/>
  <c r="K387" i="8" s="1"/>
  <c r="J388" i="8"/>
  <c r="K388" i="8" s="1"/>
  <c r="J389" i="8"/>
  <c r="K389" i="8" s="1"/>
  <c r="J390" i="8"/>
  <c r="K390" i="8" s="1"/>
  <c r="J391" i="8"/>
  <c r="K391" i="8" s="1"/>
  <c r="J392" i="8"/>
  <c r="K392" i="8" s="1"/>
  <c r="J393" i="8"/>
  <c r="K393" i="8" s="1"/>
  <c r="J394" i="8"/>
  <c r="K394" i="8" s="1"/>
  <c r="J395" i="8"/>
  <c r="K395" i="8" s="1"/>
  <c r="J396" i="8"/>
  <c r="K396" i="8" s="1"/>
  <c r="J397" i="8"/>
  <c r="K397" i="8" s="1"/>
  <c r="J398" i="8"/>
  <c r="K398" i="8" s="1"/>
  <c r="J399" i="8"/>
  <c r="K399" i="8" s="1"/>
  <c r="J400" i="8"/>
  <c r="K400" i="8" s="1"/>
  <c r="J401" i="8"/>
  <c r="K401" i="8" s="1"/>
  <c r="J402" i="8"/>
  <c r="K402" i="8" s="1"/>
  <c r="J403" i="8"/>
  <c r="K403" i="8" s="1"/>
  <c r="J404" i="8"/>
  <c r="K404" i="8" s="1"/>
  <c r="J405" i="8"/>
  <c r="K405" i="8" s="1"/>
  <c r="J406" i="8"/>
  <c r="K406" i="8" s="1"/>
  <c r="J407" i="8"/>
  <c r="K407" i="8" s="1"/>
  <c r="J408" i="8"/>
  <c r="K408" i="8" s="1"/>
  <c r="J409" i="8"/>
  <c r="K409" i="8" s="1"/>
  <c r="J410" i="8"/>
  <c r="K410" i="8" s="1"/>
  <c r="J411" i="8"/>
  <c r="K411" i="8" s="1"/>
  <c r="J412" i="8"/>
  <c r="K412" i="8" s="1"/>
  <c r="J413" i="8"/>
  <c r="K413" i="8" s="1"/>
  <c r="J414" i="8"/>
  <c r="K414" i="8" s="1"/>
  <c r="J415" i="8"/>
  <c r="K415" i="8" s="1"/>
  <c r="J416" i="8"/>
  <c r="K416" i="8" s="1"/>
  <c r="J417" i="8"/>
  <c r="K417" i="8" s="1"/>
  <c r="J418" i="8"/>
  <c r="K418" i="8" s="1"/>
  <c r="J419" i="8"/>
  <c r="K419" i="8" s="1"/>
  <c r="J420" i="8"/>
  <c r="K420" i="8" s="1"/>
  <c r="J421" i="8"/>
  <c r="K421" i="8" s="1"/>
  <c r="J422" i="8"/>
  <c r="K422" i="8" s="1"/>
  <c r="J423" i="8"/>
  <c r="K423" i="8" s="1"/>
  <c r="J424" i="8"/>
  <c r="K424" i="8" s="1"/>
  <c r="J425" i="8"/>
  <c r="K425" i="8" s="1"/>
  <c r="J426" i="8"/>
  <c r="K426" i="8" s="1"/>
  <c r="J427" i="8"/>
  <c r="K427" i="8" s="1"/>
  <c r="J428" i="8"/>
  <c r="K428" i="8" s="1"/>
  <c r="J429" i="8"/>
  <c r="K429" i="8" s="1"/>
  <c r="J430" i="8"/>
  <c r="K430" i="8" s="1"/>
  <c r="J431" i="8"/>
  <c r="K431" i="8" s="1"/>
  <c r="J432" i="8"/>
  <c r="K432" i="8" s="1"/>
  <c r="J433" i="8"/>
  <c r="K433" i="8" s="1"/>
  <c r="J434" i="8"/>
  <c r="K434" i="8" s="1"/>
  <c r="J435" i="8"/>
  <c r="K435" i="8" s="1"/>
  <c r="J436" i="8"/>
  <c r="K436" i="8" s="1"/>
  <c r="J437" i="8"/>
  <c r="K437" i="8" s="1"/>
  <c r="J438" i="8"/>
  <c r="K438" i="8" s="1"/>
  <c r="J439" i="8"/>
  <c r="K439" i="8" s="1"/>
  <c r="J440" i="8"/>
  <c r="K440" i="8" s="1"/>
  <c r="J441" i="8"/>
  <c r="K441" i="8" s="1"/>
  <c r="J442" i="8"/>
  <c r="K442" i="8" s="1"/>
  <c r="J443" i="8"/>
  <c r="K443" i="8" s="1"/>
  <c r="J444" i="8"/>
  <c r="K444" i="8" s="1"/>
  <c r="J445" i="8"/>
  <c r="K445" i="8" s="1"/>
  <c r="J446" i="8"/>
  <c r="K446" i="8" s="1"/>
  <c r="J447" i="8"/>
  <c r="K447" i="8" s="1"/>
  <c r="J448" i="8"/>
  <c r="K448" i="8" s="1"/>
  <c r="J449" i="8"/>
  <c r="K449" i="8" s="1"/>
  <c r="J450" i="8"/>
  <c r="K450" i="8" s="1"/>
  <c r="J451" i="8"/>
  <c r="K451" i="8" s="1"/>
  <c r="J452" i="8"/>
  <c r="K452" i="8" s="1"/>
  <c r="J453" i="8"/>
  <c r="K453" i="8" s="1"/>
  <c r="J454" i="8"/>
  <c r="K454" i="8" s="1"/>
  <c r="J455" i="8"/>
  <c r="K455" i="8" s="1"/>
  <c r="J456" i="8"/>
  <c r="K456" i="8" s="1"/>
  <c r="J457" i="8"/>
  <c r="K457" i="8" s="1"/>
  <c r="J458" i="8"/>
  <c r="K458" i="8" s="1"/>
  <c r="J459" i="8"/>
  <c r="K459" i="8" s="1"/>
  <c r="J460" i="8"/>
  <c r="K460" i="8" s="1"/>
  <c r="J461" i="8"/>
  <c r="K461" i="8" s="1"/>
  <c r="J462" i="8"/>
  <c r="K462" i="8" s="1"/>
  <c r="J463" i="8"/>
  <c r="K463" i="8" s="1"/>
  <c r="J464" i="8"/>
  <c r="K464" i="8" s="1"/>
  <c r="J465" i="8"/>
  <c r="K465" i="8" s="1"/>
  <c r="J466" i="8"/>
  <c r="K466" i="8" s="1"/>
  <c r="J467" i="8"/>
  <c r="K467" i="8" s="1"/>
  <c r="J468" i="8"/>
  <c r="K468" i="8" s="1"/>
  <c r="J469" i="8"/>
  <c r="K469" i="8" s="1"/>
  <c r="J470" i="8"/>
  <c r="K470" i="8" s="1"/>
  <c r="J471" i="8"/>
  <c r="K471" i="8" s="1"/>
  <c r="J472" i="8"/>
  <c r="K472" i="8" s="1"/>
  <c r="J473" i="8"/>
  <c r="K473" i="8" s="1"/>
  <c r="J474" i="8"/>
  <c r="K474" i="8" s="1"/>
  <c r="J475" i="8"/>
  <c r="K475" i="8" s="1"/>
  <c r="J476" i="8"/>
  <c r="K476" i="8" s="1"/>
  <c r="J477" i="8"/>
  <c r="K477" i="8" s="1"/>
  <c r="J478" i="8"/>
  <c r="K478" i="8" s="1"/>
  <c r="J479" i="8"/>
  <c r="K479" i="8" s="1"/>
  <c r="J480" i="8"/>
  <c r="K480" i="8" s="1"/>
  <c r="J481" i="8"/>
  <c r="K481" i="8" s="1"/>
  <c r="J482" i="8"/>
  <c r="K482" i="8" s="1"/>
  <c r="J483" i="8"/>
  <c r="K483" i="8" s="1"/>
  <c r="J484" i="8"/>
  <c r="K484" i="8" s="1"/>
  <c r="J485" i="8"/>
  <c r="K485" i="8" s="1"/>
  <c r="J486" i="8"/>
  <c r="K486" i="8" s="1"/>
  <c r="J487" i="8"/>
  <c r="K487" i="8" s="1"/>
  <c r="J488" i="8"/>
  <c r="K488" i="8" s="1"/>
  <c r="J489" i="8"/>
  <c r="K489" i="8" s="1"/>
  <c r="J490" i="8"/>
  <c r="K490" i="8" s="1"/>
  <c r="J491" i="8"/>
  <c r="K491" i="8" s="1"/>
  <c r="J492" i="8"/>
  <c r="K492" i="8" s="1"/>
  <c r="J493" i="8"/>
  <c r="K493" i="8" s="1"/>
  <c r="J494" i="8"/>
  <c r="K494" i="8" s="1"/>
  <c r="J495" i="8"/>
  <c r="K495" i="8" s="1"/>
  <c r="J496" i="8"/>
  <c r="K496" i="8" s="1"/>
  <c r="J497" i="8"/>
  <c r="K497" i="8" s="1"/>
  <c r="J498" i="8"/>
  <c r="K498" i="8" s="1"/>
  <c r="J499" i="8"/>
  <c r="K499" i="8" s="1"/>
  <c r="J500" i="8"/>
  <c r="K500" i="8" s="1"/>
  <c r="J501" i="8"/>
  <c r="K501" i="8" s="1"/>
  <c r="J502" i="8"/>
  <c r="K502" i="8" s="1"/>
  <c r="J503" i="8"/>
  <c r="K503" i="8" s="1"/>
  <c r="J504" i="8"/>
  <c r="K504" i="8" s="1"/>
  <c r="J505" i="8"/>
  <c r="K505" i="8" s="1"/>
  <c r="J506" i="8"/>
  <c r="K506" i="8" s="1"/>
  <c r="J507" i="8"/>
  <c r="K507" i="8" s="1"/>
  <c r="J508" i="8"/>
  <c r="K508" i="8" s="1"/>
  <c r="J509" i="8"/>
  <c r="K509" i="8" s="1"/>
  <c r="J510" i="8"/>
  <c r="K510" i="8" s="1"/>
  <c r="J511" i="8"/>
  <c r="K511" i="8" s="1"/>
  <c r="J512" i="8"/>
  <c r="K512" i="8" s="1"/>
  <c r="J513" i="8"/>
  <c r="K513" i="8" s="1"/>
  <c r="J514" i="8"/>
  <c r="K514" i="8" s="1"/>
  <c r="J515" i="8"/>
  <c r="K515" i="8" s="1"/>
  <c r="J516" i="8"/>
  <c r="K516" i="8" s="1"/>
  <c r="J517" i="8"/>
  <c r="K517" i="8" s="1"/>
  <c r="J518" i="8"/>
  <c r="K518" i="8" s="1"/>
  <c r="J519" i="8"/>
  <c r="K519" i="8" s="1"/>
  <c r="J520" i="8"/>
  <c r="K520" i="8" s="1"/>
  <c r="J521" i="8"/>
  <c r="K521" i="8" s="1"/>
  <c r="J522" i="8"/>
  <c r="K522" i="8" s="1"/>
  <c r="J523" i="8"/>
  <c r="K523" i="8" s="1"/>
  <c r="J524" i="8"/>
  <c r="K524" i="8" s="1"/>
  <c r="J525" i="8"/>
  <c r="K525" i="8" s="1"/>
  <c r="J526" i="8"/>
  <c r="K526" i="8" s="1"/>
  <c r="J527" i="8"/>
  <c r="K527" i="8" s="1"/>
  <c r="J528" i="8"/>
  <c r="K528" i="8" s="1"/>
  <c r="J529" i="8"/>
  <c r="K529" i="8" s="1"/>
  <c r="J530" i="8"/>
  <c r="K530" i="8" s="1"/>
  <c r="J531" i="8"/>
  <c r="K531" i="8" s="1"/>
  <c r="J532" i="8"/>
  <c r="K532" i="8" s="1"/>
  <c r="J533" i="8"/>
  <c r="K533" i="8" s="1"/>
  <c r="J534" i="8"/>
  <c r="K534" i="8" s="1"/>
  <c r="J535" i="8"/>
  <c r="K535" i="8" s="1"/>
  <c r="J536" i="8"/>
  <c r="K536" i="8" s="1"/>
  <c r="J537" i="8"/>
  <c r="K537" i="8" s="1"/>
  <c r="J538" i="8"/>
  <c r="K538" i="8" s="1"/>
  <c r="J539" i="8"/>
  <c r="K539" i="8" s="1"/>
  <c r="J540" i="8"/>
  <c r="K540" i="8" s="1"/>
  <c r="J541" i="8"/>
  <c r="K541" i="8" s="1"/>
  <c r="J542" i="8"/>
  <c r="K542" i="8" s="1"/>
  <c r="J543" i="8"/>
  <c r="K543" i="8" s="1"/>
  <c r="J544" i="8"/>
  <c r="K544" i="8" s="1"/>
  <c r="J545" i="8"/>
  <c r="K545" i="8" s="1"/>
  <c r="J546" i="8"/>
  <c r="K546" i="8" s="1"/>
  <c r="J547" i="8"/>
  <c r="K547" i="8" s="1"/>
  <c r="J548" i="8"/>
  <c r="K548" i="8" s="1"/>
  <c r="J549" i="8"/>
  <c r="K549" i="8" s="1"/>
  <c r="J550" i="8"/>
  <c r="K550" i="8" s="1"/>
  <c r="J551" i="8"/>
  <c r="K551" i="8" s="1"/>
  <c r="J552" i="8"/>
  <c r="K552" i="8" s="1"/>
  <c r="J553" i="8"/>
  <c r="K553" i="8" s="1"/>
  <c r="J554" i="8"/>
  <c r="K554" i="8" s="1"/>
  <c r="J555" i="8"/>
  <c r="K555" i="8" s="1"/>
  <c r="J556" i="8"/>
  <c r="K556" i="8" s="1"/>
  <c r="J557" i="8"/>
  <c r="K557" i="8" s="1"/>
  <c r="J558" i="8"/>
  <c r="K558" i="8" s="1"/>
  <c r="J559" i="8"/>
  <c r="K559" i="8" s="1"/>
  <c r="J560" i="8"/>
  <c r="K560" i="8" s="1"/>
  <c r="J561" i="8"/>
  <c r="K561" i="8" s="1"/>
  <c r="J562" i="8"/>
  <c r="K562" i="8" s="1"/>
  <c r="J563" i="8"/>
  <c r="K563" i="8" s="1"/>
  <c r="J564" i="8"/>
  <c r="K564" i="8" s="1"/>
  <c r="J565" i="8"/>
  <c r="K565" i="8" s="1"/>
  <c r="J566" i="8"/>
  <c r="K566" i="8" s="1"/>
  <c r="J567" i="8"/>
  <c r="K567" i="8" s="1"/>
  <c r="J568" i="8"/>
  <c r="K568" i="8" s="1"/>
  <c r="J569" i="8"/>
  <c r="K569" i="8" s="1"/>
  <c r="J570" i="8"/>
  <c r="K570" i="8" s="1"/>
  <c r="J571" i="8"/>
  <c r="K571" i="8" s="1"/>
  <c r="J572" i="8"/>
  <c r="K572" i="8" s="1"/>
  <c r="J573" i="8"/>
  <c r="K573" i="8" s="1"/>
  <c r="J574" i="8"/>
  <c r="K574" i="8" s="1"/>
  <c r="J575" i="8"/>
  <c r="K575" i="8" s="1"/>
  <c r="J576" i="8"/>
  <c r="K576" i="8" s="1"/>
  <c r="J577" i="8"/>
  <c r="K577" i="8" s="1"/>
  <c r="J578" i="8"/>
  <c r="K578" i="8" s="1"/>
  <c r="J579" i="8"/>
  <c r="K579" i="8" s="1"/>
  <c r="J580" i="8"/>
  <c r="K580" i="8" s="1"/>
  <c r="J581" i="8"/>
  <c r="K581" i="8" s="1"/>
  <c r="J582" i="8"/>
  <c r="K582" i="8" s="1"/>
  <c r="J583" i="8"/>
  <c r="K583" i="8" s="1"/>
  <c r="J584" i="8"/>
  <c r="K584" i="8" s="1"/>
  <c r="J585" i="8"/>
  <c r="K585" i="8" s="1"/>
  <c r="J586" i="8"/>
  <c r="K586" i="8" s="1"/>
  <c r="J587" i="8"/>
  <c r="K587" i="8" s="1"/>
  <c r="J588" i="8"/>
  <c r="K588" i="8" s="1"/>
  <c r="J589" i="8"/>
  <c r="K589" i="8" s="1"/>
  <c r="J590" i="8"/>
  <c r="K590" i="8" s="1"/>
  <c r="J591" i="8"/>
  <c r="K591" i="8" s="1"/>
  <c r="J592" i="8"/>
  <c r="K592" i="8" s="1"/>
  <c r="J593" i="8"/>
  <c r="K593" i="8" s="1"/>
  <c r="J594" i="8"/>
  <c r="K594" i="8" s="1"/>
  <c r="J595" i="8"/>
  <c r="K595" i="8" s="1"/>
  <c r="J596" i="8"/>
  <c r="K596" i="8" s="1"/>
  <c r="J597" i="8"/>
  <c r="K597" i="8" s="1"/>
  <c r="J598" i="8"/>
  <c r="K598" i="8" s="1"/>
  <c r="J599" i="8"/>
  <c r="K599" i="8" s="1"/>
  <c r="J600" i="8"/>
  <c r="K600" i="8" s="1"/>
  <c r="J601" i="8"/>
  <c r="K601" i="8" s="1"/>
  <c r="J602" i="8"/>
  <c r="K602" i="8" s="1"/>
  <c r="J603" i="8"/>
  <c r="K603" i="8" s="1"/>
  <c r="J604" i="8"/>
  <c r="K604" i="8" s="1"/>
  <c r="J605" i="8"/>
  <c r="K605" i="8" s="1"/>
  <c r="J606" i="8"/>
  <c r="K606" i="8" s="1"/>
  <c r="J607" i="8"/>
  <c r="K607" i="8" s="1"/>
  <c r="J608" i="8"/>
  <c r="K608" i="8" s="1"/>
  <c r="J609" i="8"/>
  <c r="K609" i="8" s="1"/>
  <c r="J610" i="8"/>
  <c r="K610" i="8" s="1"/>
  <c r="J611" i="8"/>
  <c r="K611" i="8" s="1"/>
  <c r="J612" i="8"/>
  <c r="K612" i="8" s="1"/>
  <c r="J613" i="8"/>
  <c r="K613" i="8" s="1"/>
  <c r="J614" i="8"/>
  <c r="K614" i="8" s="1"/>
  <c r="J615" i="8"/>
  <c r="K615" i="8" s="1"/>
  <c r="J616" i="8"/>
  <c r="K616" i="8" s="1"/>
  <c r="J617" i="8"/>
  <c r="K617" i="8" s="1"/>
  <c r="J618" i="8"/>
  <c r="K618" i="8" s="1"/>
  <c r="J619" i="8"/>
  <c r="K619" i="8" s="1"/>
  <c r="J620" i="8"/>
  <c r="K620" i="8" s="1"/>
  <c r="J621" i="8"/>
  <c r="K621" i="8" s="1"/>
  <c r="J622" i="8"/>
  <c r="K622" i="8" s="1"/>
  <c r="J623" i="8"/>
  <c r="K623" i="8" s="1"/>
  <c r="J624" i="8"/>
  <c r="K624" i="8" s="1"/>
  <c r="J625" i="8"/>
  <c r="K625" i="8" s="1"/>
  <c r="J626" i="8"/>
  <c r="K626" i="8" s="1"/>
  <c r="J627" i="8"/>
  <c r="K627" i="8" s="1"/>
  <c r="J628" i="8"/>
  <c r="K628" i="8" s="1"/>
  <c r="J629" i="8"/>
  <c r="K629" i="8" s="1"/>
  <c r="J630" i="8"/>
  <c r="K630" i="8" s="1"/>
  <c r="J631" i="8"/>
  <c r="K631" i="8" s="1"/>
  <c r="J632" i="8"/>
  <c r="K632" i="8" s="1"/>
  <c r="J633" i="8"/>
  <c r="K633" i="8" s="1"/>
  <c r="J634" i="8"/>
  <c r="K634" i="8" s="1"/>
  <c r="J635" i="8"/>
  <c r="K635" i="8" s="1"/>
  <c r="J636" i="8"/>
  <c r="K636" i="8" s="1"/>
  <c r="J637" i="8"/>
  <c r="K637" i="8" s="1"/>
  <c r="J638" i="8"/>
  <c r="K638" i="8" s="1"/>
  <c r="J639" i="8"/>
  <c r="K639" i="8" s="1"/>
  <c r="J640" i="8"/>
  <c r="K640" i="8" s="1"/>
  <c r="J641" i="8"/>
  <c r="K641" i="8" s="1"/>
  <c r="J642" i="8"/>
  <c r="K642" i="8" s="1"/>
  <c r="J643" i="8"/>
  <c r="K643" i="8" s="1"/>
  <c r="J644" i="8"/>
  <c r="K644" i="8" s="1"/>
  <c r="J645" i="8"/>
  <c r="K645" i="8" s="1"/>
  <c r="J646" i="8"/>
  <c r="K646" i="8" s="1"/>
  <c r="J647" i="8"/>
  <c r="K647" i="8" s="1"/>
  <c r="J648" i="8"/>
  <c r="K648" i="8" s="1"/>
  <c r="J649" i="8"/>
  <c r="K649" i="8" s="1"/>
  <c r="J650" i="8"/>
  <c r="K650" i="8" s="1"/>
  <c r="J651" i="8"/>
  <c r="K651" i="8" s="1"/>
  <c r="J652" i="8"/>
  <c r="K652" i="8" s="1"/>
  <c r="J653" i="8"/>
  <c r="K653" i="8" s="1"/>
  <c r="J654" i="8"/>
  <c r="K654" i="8" s="1"/>
  <c r="J655" i="8"/>
  <c r="K655" i="8" s="1"/>
  <c r="J656" i="8"/>
  <c r="K656" i="8" s="1"/>
  <c r="J657" i="8"/>
  <c r="K657" i="8" s="1"/>
  <c r="J658" i="8"/>
  <c r="K658" i="8" s="1"/>
  <c r="J659" i="8"/>
  <c r="K659" i="8" s="1"/>
  <c r="J660" i="8"/>
  <c r="K660" i="8" s="1"/>
  <c r="J661" i="8"/>
  <c r="K661" i="8" s="1"/>
  <c r="J662" i="8"/>
  <c r="K662" i="8" s="1"/>
  <c r="J663" i="8"/>
  <c r="K663" i="8" s="1"/>
  <c r="J664" i="8"/>
  <c r="K664" i="8" s="1"/>
  <c r="J665" i="8"/>
  <c r="K665" i="8" s="1"/>
  <c r="J666" i="8"/>
  <c r="K666" i="8" s="1"/>
  <c r="J667" i="8"/>
  <c r="K667" i="8" s="1"/>
  <c r="J668" i="8"/>
  <c r="K668" i="8" s="1"/>
  <c r="J669" i="8"/>
  <c r="K669" i="8" s="1"/>
  <c r="J670" i="8"/>
  <c r="K670" i="8" s="1"/>
  <c r="J671" i="8"/>
  <c r="K671" i="8" s="1"/>
  <c r="J672" i="8"/>
  <c r="K672" i="8" s="1"/>
  <c r="J673" i="8"/>
  <c r="K673" i="8" s="1"/>
  <c r="J674" i="8"/>
  <c r="K674" i="8" s="1"/>
  <c r="J675" i="8"/>
  <c r="K675" i="8" s="1"/>
  <c r="J676" i="8"/>
  <c r="K676" i="8" s="1"/>
  <c r="J677" i="8"/>
  <c r="K677" i="8" s="1"/>
  <c r="J678" i="8"/>
  <c r="K678" i="8" s="1"/>
  <c r="J679" i="8"/>
  <c r="K679" i="8" s="1"/>
  <c r="J680" i="8"/>
  <c r="K680" i="8" s="1"/>
  <c r="J681" i="8"/>
  <c r="K681" i="8" s="1"/>
  <c r="J682" i="8"/>
  <c r="K682" i="8" s="1"/>
  <c r="J683" i="8"/>
  <c r="K683" i="8" s="1"/>
  <c r="J684" i="8"/>
  <c r="K684" i="8" s="1"/>
  <c r="J685" i="8"/>
  <c r="K685" i="8" s="1"/>
  <c r="J686" i="8"/>
  <c r="K686" i="8" s="1"/>
  <c r="J687" i="8"/>
  <c r="K687" i="8" s="1"/>
  <c r="J688" i="8"/>
  <c r="K688" i="8" s="1"/>
  <c r="J689" i="8"/>
  <c r="K689" i="8" s="1"/>
  <c r="J690" i="8"/>
  <c r="K690" i="8" s="1"/>
  <c r="J691" i="8"/>
  <c r="K691" i="8" s="1"/>
  <c r="J692" i="8"/>
  <c r="K692" i="8" s="1"/>
  <c r="J693" i="8"/>
  <c r="K693" i="8" s="1"/>
  <c r="J694" i="8"/>
  <c r="K694" i="8" s="1"/>
  <c r="J695" i="8"/>
  <c r="K695" i="8" s="1"/>
  <c r="J696" i="8"/>
  <c r="K696" i="8" s="1"/>
  <c r="J697" i="8"/>
  <c r="K697" i="8" s="1"/>
  <c r="J698" i="8"/>
  <c r="K698" i="8" s="1"/>
  <c r="J699" i="8"/>
  <c r="K699" i="8" s="1"/>
  <c r="J700" i="8"/>
  <c r="K700" i="8" s="1"/>
  <c r="J701" i="8"/>
  <c r="K701" i="8" s="1"/>
  <c r="J702" i="8"/>
  <c r="K702" i="8" s="1"/>
  <c r="J703" i="8"/>
  <c r="K703" i="8" s="1"/>
  <c r="J704" i="8"/>
  <c r="K704" i="8" s="1"/>
  <c r="J705" i="8"/>
  <c r="K705" i="8" s="1"/>
  <c r="J706" i="8"/>
  <c r="K706" i="8" s="1"/>
  <c r="J707" i="8"/>
  <c r="K707" i="8" s="1"/>
  <c r="J708" i="8"/>
  <c r="K708" i="8" s="1"/>
  <c r="J709" i="8"/>
  <c r="K709" i="8" s="1"/>
  <c r="J710" i="8"/>
  <c r="K710" i="8" s="1"/>
  <c r="J711" i="8"/>
  <c r="K711" i="8" s="1"/>
  <c r="J712" i="8"/>
  <c r="K712" i="8" s="1"/>
  <c r="J713" i="8"/>
  <c r="K713" i="8" s="1"/>
  <c r="J714" i="8"/>
  <c r="K714" i="8" s="1"/>
  <c r="J715" i="8"/>
  <c r="K715" i="8" s="1"/>
  <c r="J716" i="8"/>
  <c r="K716" i="8" s="1"/>
  <c r="J717" i="8"/>
  <c r="K717" i="8" s="1"/>
  <c r="J718" i="8"/>
  <c r="K718" i="8" s="1"/>
  <c r="J719" i="8"/>
  <c r="K719" i="8" s="1"/>
  <c r="J720" i="8"/>
  <c r="K720" i="8" s="1"/>
  <c r="J721" i="8"/>
  <c r="K721" i="8" s="1"/>
  <c r="J722" i="8"/>
  <c r="K722" i="8" s="1"/>
  <c r="J723" i="8"/>
  <c r="K723" i="8" s="1"/>
  <c r="J724" i="8"/>
  <c r="K724" i="8" s="1"/>
  <c r="J725" i="8"/>
  <c r="K725" i="8" s="1"/>
  <c r="J726" i="8"/>
  <c r="K726" i="8" s="1"/>
  <c r="J727" i="8"/>
  <c r="K727" i="8" s="1"/>
  <c r="J728" i="8"/>
  <c r="K728" i="8" s="1"/>
  <c r="J729" i="8"/>
  <c r="K729" i="8" s="1"/>
  <c r="J730" i="8"/>
  <c r="K730" i="8" s="1"/>
  <c r="J731" i="8"/>
  <c r="K731" i="8" s="1"/>
  <c r="J732" i="8"/>
  <c r="K732" i="8" s="1"/>
  <c r="J733" i="8"/>
  <c r="K733" i="8" s="1"/>
  <c r="J734" i="8"/>
  <c r="K734" i="8" s="1"/>
  <c r="J735" i="8"/>
  <c r="K735" i="8" s="1"/>
  <c r="J736" i="8"/>
  <c r="K736" i="8" s="1"/>
  <c r="J737" i="8"/>
  <c r="K737" i="8" s="1"/>
  <c r="J738" i="8"/>
  <c r="K738" i="8" s="1"/>
  <c r="J739" i="8"/>
  <c r="K739" i="8" s="1"/>
  <c r="J740" i="8"/>
  <c r="K740" i="8" s="1"/>
  <c r="J2" i="8"/>
  <c r="K2" i="8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323" i="2"/>
  <c r="L323" i="2" s="1"/>
  <c r="K324" i="2"/>
  <c r="L324" i="2" s="1"/>
  <c r="K325" i="2"/>
  <c r="L325" i="2" s="1"/>
  <c r="K326" i="2"/>
  <c r="L326" i="2" s="1"/>
  <c r="K327" i="2"/>
  <c r="L327" i="2" s="1"/>
  <c r="K328" i="2"/>
  <c r="L328" i="2" s="1"/>
  <c r="K329" i="2"/>
  <c r="L329" i="2" s="1"/>
  <c r="K330" i="2"/>
  <c r="L330" i="2" s="1"/>
  <c r="K331" i="2"/>
  <c r="L331" i="2" s="1"/>
  <c r="K332" i="2"/>
  <c r="L332" i="2" s="1"/>
  <c r="K333" i="2"/>
  <c r="L333" i="2" s="1"/>
  <c r="K334" i="2"/>
  <c r="L334" i="2" s="1"/>
  <c r="K335" i="2"/>
  <c r="L335" i="2" s="1"/>
  <c r="K336" i="2"/>
  <c r="L336" i="2" s="1"/>
  <c r="K337" i="2"/>
  <c r="L337" i="2" s="1"/>
  <c r="K338" i="2"/>
  <c r="L338" i="2" s="1"/>
  <c r="K339" i="2"/>
  <c r="L339" i="2" s="1"/>
  <c r="K340" i="2"/>
  <c r="L340" i="2" s="1"/>
  <c r="K341" i="2"/>
  <c r="L341" i="2" s="1"/>
  <c r="K342" i="2"/>
  <c r="L342" i="2" s="1"/>
  <c r="K343" i="2"/>
  <c r="L343" i="2" s="1"/>
  <c r="K344" i="2"/>
  <c r="L344" i="2" s="1"/>
  <c r="K345" i="2"/>
  <c r="L345" i="2" s="1"/>
  <c r="K346" i="2"/>
  <c r="L346" i="2" s="1"/>
  <c r="K347" i="2"/>
  <c r="L347" i="2" s="1"/>
  <c r="K348" i="2"/>
  <c r="L348" i="2" s="1"/>
  <c r="K349" i="2"/>
  <c r="L349" i="2" s="1"/>
  <c r="K350" i="2"/>
  <c r="L350" i="2" s="1"/>
  <c r="K351" i="2"/>
  <c r="L351" i="2" s="1"/>
  <c r="K352" i="2"/>
  <c r="L352" i="2" s="1"/>
  <c r="K353" i="2"/>
  <c r="L353" i="2" s="1"/>
  <c r="K354" i="2"/>
  <c r="L354" i="2" s="1"/>
  <c r="K355" i="2"/>
  <c r="L355" i="2" s="1"/>
  <c r="K356" i="2"/>
  <c r="L356" i="2" s="1"/>
  <c r="K357" i="2"/>
  <c r="L357" i="2" s="1"/>
  <c r="K358" i="2"/>
  <c r="L358" i="2" s="1"/>
  <c r="K359" i="2"/>
  <c r="L359" i="2" s="1"/>
  <c r="K360" i="2"/>
  <c r="L360" i="2" s="1"/>
  <c r="K361" i="2"/>
  <c r="L361" i="2" s="1"/>
  <c r="K362" i="2"/>
  <c r="L362" i="2" s="1"/>
  <c r="K363" i="2"/>
  <c r="L363" i="2" s="1"/>
  <c r="K364" i="2"/>
  <c r="L364" i="2" s="1"/>
  <c r="K365" i="2"/>
  <c r="L365" i="2" s="1"/>
  <c r="K366" i="2"/>
  <c r="L366" i="2" s="1"/>
  <c r="K367" i="2"/>
  <c r="L367" i="2" s="1"/>
  <c r="K368" i="2"/>
  <c r="L368" i="2" s="1"/>
  <c r="K369" i="2"/>
  <c r="L369" i="2" s="1"/>
  <c r="K370" i="2"/>
  <c r="L370" i="2" s="1"/>
  <c r="K371" i="2"/>
  <c r="L371" i="2" s="1"/>
  <c r="K372" i="2"/>
  <c r="L372" i="2" s="1"/>
  <c r="K373" i="2"/>
  <c r="L373" i="2" s="1"/>
  <c r="K374" i="2"/>
  <c r="L374" i="2" s="1"/>
  <c r="K375" i="2"/>
  <c r="L375" i="2" s="1"/>
  <c r="K376" i="2"/>
  <c r="L376" i="2" s="1"/>
  <c r="K377" i="2"/>
  <c r="L377" i="2" s="1"/>
  <c r="K378" i="2"/>
  <c r="L378" i="2" s="1"/>
  <c r="K379" i="2"/>
  <c r="L379" i="2" s="1"/>
  <c r="K380" i="2"/>
  <c r="L380" i="2" s="1"/>
  <c r="K381" i="2"/>
  <c r="L381" i="2" s="1"/>
  <c r="K382" i="2"/>
  <c r="L382" i="2" s="1"/>
  <c r="K383" i="2"/>
  <c r="L383" i="2" s="1"/>
  <c r="K384" i="2"/>
  <c r="L384" i="2" s="1"/>
  <c r="K385" i="2"/>
  <c r="L385" i="2" s="1"/>
  <c r="K386" i="2"/>
  <c r="L386" i="2" s="1"/>
  <c r="K387" i="2"/>
  <c r="L387" i="2" s="1"/>
  <c r="K388" i="2"/>
  <c r="L388" i="2" s="1"/>
  <c r="K389" i="2"/>
  <c r="L389" i="2" s="1"/>
  <c r="K390" i="2"/>
  <c r="L390" i="2" s="1"/>
  <c r="K391" i="2"/>
  <c r="L391" i="2" s="1"/>
  <c r="K392" i="2"/>
  <c r="L392" i="2" s="1"/>
  <c r="K393" i="2"/>
  <c r="L393" i="2" s="1"/>
  <c r="K394" i="2"/>
  <c r="L394" i="2" s="1"/>
  <c r="K395" i="2"/>
  <c r="L395" i="2" s="1"/>
  <c r="K396" i="2"/>
  <c r="L396" i="2" s="1"/>
  <c r="K397" i="2"/>
  <c r="L397" i="2" s="1"/>
  <c r="K398" i="2"/>
  <c r="L398" i="2" s="1"/>
  <c r="K399" i="2"/>
  <c r="L399" i="2" s="1"/>
  <c r="K400" i="2"/>
  <c r="L400" i="2" s="1"/>
  <c r="K401" i="2"/>
  <c r="L401" i="2" s="1"/>
  <c r="K402" i="2"/>
  <c r="L402" i="2" s="1"/>
  <c r="K403" i="2"/>
  <c r="L403" i="2" s="1"/>
  <c r="K404" i="2"/>
  <c r="L404" i="2" s="1"/>
  <c r="K405" i="2"/>
  <c r="L405" i="2" s="1"/>
  <c r="K406" i="2"/>
  <c r="L406" i="2" s="1"/>
  <c r="K407" i="2"/>
  <c r="L407" i="2" s="1"/>
  <c r="K408" i="2"/>
  <c r="L408" i="2" s="1"/>
  <c r="K409" i="2"/>
  <c r="L409" i="2" s="1"/>
  <c r="K410" i="2"/>
  <c r="L410" i="2" s="1"/>
  <c r="K411" i="2"/>
  <c r="L411" i="2" s="1"/>
  <c r="K412" i="2"/>
  <c r="L412" i="2" s="1"/>
  <c r="K413" i="2"/>
  <c r="L413" i="2" s="1"/>
  <c r="K414" i="2"/>
  <c r="L414" i="2" s="1"/>
  <c r="K415" i="2"/>
  <c r="L415" i="2" s="1"/>
  <c r="K416" i="2"/>
  <c r="L416" i="2" s="1"/>
  <c r="K417" i="2"/>
  <c r="L417" i="2" s="1"/>
  <c r="K418" i="2"/>
  <c r="L418" i="2" s="1"/>
  <c r="K419" i="2"/>
  <c r="L419" i="2" s="1"/>
  <c r="K420" i="2"/>
  <c r="L420" i="2" s="1"/>
  <c r="K421" i="2"/>
  <c r="L421" i="2" s="1"/>
  <c r="K422" i="2"/>
  <c r="L422" i="2" s="1"/>
  <c r="K423" i="2"/>
  <c r="L423" i="2" s="1"/>
  <c r="K424" i="2"/>
  <c r="L424" i="2" s="1"/>
  <c r="K425" i="2"/>
  <c r="L425" i="2" s="1"/>
  <c r="K426" i="2"/>
  <c r="L426" i="2" s="1"/>
  <c r="K427" i="2"/>
  <c r="L427" i="2" s="1"/>
  <c r="K428" i="2"/>
  <c r="L428" i="2" s="1"/>
  <c r="K429" i="2"/>
  <c r="L429" i="2" s="1"/>
  <c r="K430" i="2"/>
  <c r="L430" i="2" s="1"/>
  <c r="K431" i="2"/>
  <c r="L431" i="2" s="1"/>
  <c r="K432" i="2"/>
  <c r="L432" i="2" s="1"/>
  <c r="K433" i="2"/>
  <c r="L433" i="2" s="1"/>
  <c r="K434" i="2"/>
  <c r="L434" i="2" s="1"/>
  <c r="K435" i="2"/>
  <c r="L435" i="2" s="1"/>
  <c r="K436" i="2"/>
  <c r="L436" i="2" s="1"/>
  <c r="K437" i="2"/>
  <c r="L437" i="2" s="1"/>
  <c r="K438" i="2"/>
  <c r="L438" i="2" s="1"/>
  <c r="K439" i="2"/>
  <c r="L439" i="2" s="1"/>
  <c r="K440" i="2"/>
  <c r="L440" i="2" s="1"/>
  <c r="K441" i="2"/>
  <c r="L441" i="2" s="1"/>
  <c r="K442" i="2"/>
  <c r="L442" i="2" s="1"/>
  <c r="K443" i="2"/>
  <c r="L443" i="2" s="1"/>
  <c r="K444" i="2"/>
  <c r="L444" i="2" s="1"/>
  <c r="K445" i="2"/>
  <c r="L445" i="2" s="1"/>
  <c r="K446" i="2"/>
  <c r="L446" i="2" s="1"/>
  <c r="K447" i="2"/>
  <c r="L447" i="2" s="1"/>
  <c r="K448" i="2"/>
  <c r="L448" i="2" s="1"/>
  <c r="K449" i="2"/>
  <c r="L449" i="2" s="1"/>
  <c r="K450" i="2"/>
  <c r="L450" i="2" s="1"/>
  <c r="K451" i="2"/>
  <c r="L451" i="2" s="1"/>
  <c r="K452" i="2"/>
  <c r="L452" i="2" s="1"/>
  <c r="K453" i="2"/>
  <c r="L453" i="2" s="1"/>
  <c r="K454" i="2"/>
  <c r="L454" i="2" s="1"/>
  <c r="K455" i="2"/>
  <c r="L455" i="2" s="1"/>
  <c r="K456" i="2"/>
  <c r="L456" i="2" s="1"/>
  <c r="K457" i="2"/>
  <c r="L457" i="2" s="1"/>
  <c r="K458" i="2"/>
  <c r="L458" i="2" s="1"/>
  <c r="K459" i="2"/>
  <c r="K460" i="2"/>
  <c r="L460" i="2" s="1"/>
  <c r="K461" i="2"/>
  <c r="L461" i="2" s="1"/>
  <c r="K462" i="2"/>
  <c r="L462" i="2" s="1"/>
  <c r="K463" i="2"/>
  <c r="L463" i="2" s="1"/>
  <c r="K464" i="2"/>
  <c r="L464" i="2" s="1"/>
  <c r="K465" i="2"/>
  <c r="L465" i="2" s="1"/>
  <c r="K466" i="2"/>
  <c r="L466" i="2" s="1"/>
  <c r="K467" i="2"/>
  <c r="L467" i="2" s="1"/>
  <c r="K468" i="2"/>
  <c r="L468" i="2" s="1"/>
  <c r="K469" i="2"/>
  <c r="L469" i="2" s="1"/>
  <c r="K470" i="2"/>
  <c r="L470" i="2" s="1"/>
  <c r="K471" i="2"/>
  <c r="L471" i="2" s="1"/>
  <c r="K472" i="2"/>
  <c r="L472" i="2" s="1"/>
  <c r="K473" i="2"/>
  <c r="L473" i="2" s="1"/>
  <c r="K474" i="2"/>
  <c r="L474" i="2" s="1"/>
  <c r="K475" i="2"/>
  <c r="L475" i="2" s="1"/>
  <c r="K476" i="2"/>
  <c r="L476" i="2" s="1"/>
  <c r="K477" i="2"/>
  <c r="L477" i="2" s="1"/>
  <c r="K478" i="2"/>
  <c r="L478" i="2" s="1"/>
  <c r="K479" i="2"/>
  <c r="L479" i="2" s="1"/>
  <c r="K480" i="2"/>
  <c r="L480" i="2" s="1"/>
  <c r="K481" i="2"/>
  <c r="L481" i="2" s="1"/>
  <c r="K482" i="2"/>
  <c r="L482" i="2" s="1"/>
  <c r="K483" i="2"/>
  <c r="L483" i="2" s="1"/>
  <c r="K484" i="2"/>
  <c r="L484" i="2" s="1"/>
  <c r="K485" i="2"/>
  <c r="L485" i="2" s="1"/>
  <c r="K486" i="2"/>
  <c r="L486" i="2" s="1"/>
  <c r="K487" i="2"/>
  <c r="L487" i="2" s="1"/>
  <c r="K488" i="2"/>
  <c r="L488" i="2" s="1"/>
  <c r="K489" i="2"/>
  <c r="L489" i="2" s="1"/>
  <c r="K490" i="2"/>
  <c r="L490" i="2" s="1"/>
  <c r="K491" i="2"/>
  <c r="L491" i="2" s="1"/>
  <c r="K492" i="2"/>
  <c r="L492" i="2" s="1"/>
  <c r="K493" i="2"/>
  <c r="L493" i="2" s="1"/>
  <c r="K494" i="2"/>
  <c r="L494" i="2" s="1"/>
  <c r="K495" i="2"/>
  <c r="L495" i="2" s="1"/>
  <c r="K496" i="2"/>
  <c r="L496" i="2" s="1"/>
  <c r="K497" i="2"/>
  <c r="L497" i="2" s="1"/>
  <c r="K498" i="2"/>
  <c r="L498" i="2" s="1"/>
  <c r="K499" i="2"/>
  <c r="L499" i="2" s="1"/>
  <c r="K500" i="2"/>
  <c r="L500" i="2" s="1"/>
  <c r="K501" i="2"/>
  <c r="L501" i="2" s="1"/>
  <c r="K502" i="2"/>
  <c r="L502" i="2" s="1"/>
  <c r="K503" i="2"/>
  <c r="L503" i="2" s="1"/>
  <c r="K504" i="2"/>
  <c r="L504" i="2" s="1"/>
  <c r="K505" i="2"/>
  <c r="L505" i="2" s="1"/>
  <c r="K506" i="2"/>
  <c r="L506" i="2" s="1"/>
  <c r="K507" i="2"/>
  <c r="L507" i="2" s="1"/>
  <c r="K508" i="2"/>
  <c r="L508" i="2" s="1"/>
  <c r="K509" i="2"/>
  <c r="L509" i="2" s="1"/>
  <c r="K510" i="2"/>
  <c r="L510" i="2" s="1"/>
  <c r="K511" i="2"/>
  <c r="L511" i="2" s="1"/>
  <c r="K512" i="2"/>
  <c r="L512" i="2" s="1"/>
  <c r="K513" i="2"/>
  <c r="L513" i="2" s="1"/>
  <c r="K514" i="2"/>
  <c r="L514" i="2" s="1"/>
  <c r="K515" i="2"/>
  <c r="L515" i="2" s="1"/>
  <c r="K516" i="2"/>
  <c r="L516" i="2" s="1"/>
  <c r="K517" i="2"/>
  <c r="L517" i="2" s="1"/>
  <c r="K518" i="2"/>
  <c r="L518" i="2" s="1"/>
  <c r="K519" i="2"/>
  <c r="L519" i="2" s="1"/>
  <c r="K520" i="2"/>
  <c r="L520" i="2" s="1"/>
  <c r="K521" i="2"/>
  <c r="L521" i="2" s="1"/>
  <c r="K522" i="2"/>
  <c r="L522" i="2" s="1"/>
  <c r="K523" i="2"/>
  <c r="L523" i="2" s="1"/>
  <c r="K524" i="2"/>
  <c r="L524" i="2" s="1"/>
  <c r="K525" i="2"/>
  <c r="L525" i="2" s="1"/>
  <c r="K526" i="2"/>
  <c r="L526" i="2" s="1"/>
  <c r="K527" i="2"/>
  <c r="L527" i="2" s="1"/>
  <c r="K528" i="2"/>
  <c r="L528" i="2" s="1"/>
  <c r="K529" i="2"/>
  <c r="L529" i="2" s="1"/>
  <c r="K530" i="2"/>
  <c r="L530" i="2" s="1"/>
  <c r="K531" i="2"/>
  <c r="L531" i="2" s="1"/>
  <c r="K532" i="2"/>
  <c r="L532" i="2" s="1"/>
  <c r="K533" i="2"/>
  <c r="L533" i="2" s="1"/>
  <c r="K534" i="2"/>
  <c r="L534" i="2" s="1"/>
  <c r="K535" i="2"/>
  <c r="L535" i="2" s="1"/>
  <c r="K536" i="2"/>
  <c r="L536" i="2" s="1"/>
  <c r="K537" i="2"/>
  <c r="L537" i="2" s="1"/>
  <c r="K538" i="2"/>
  <c r="L538" i="2" s="1"/>
  <c r="K539" i="2"/>
  <c r="L539" i="2" s="1"/>
  <c r="K540" i="2"/>
  <c r="L540" i="2" s="1"/>
  <c r="K541" i="2"/>
  <c r="L541" i="2" s="1"/>
  <c r="K542" i="2"/>
  <c r="L542" i="2" s="1"/>
  <c r="K543" i="2"/>
  <c r="L543" i="2" s="1"/>
  <c r="K544" i="2"/>
  <c r="L544" i="2" s="1"/>
  <c r="K545" i="2"/>
  <c r="L545" i="2" s="1"/>
  <c r="K546" i="2"/>
  <c r="L546" i="2" s="1"/>
  <c r="K547" i="2"/>
  <c r="L547" i="2" s="1"/>
  <c r="K548" i="2"/>
  <c r="L548" i="2" s="1"/>
  <c r="K549" i="2"/>
  <c r="L549" i="2" s="1"/>
  <c r="K550" i="2"/>
  <c r="L550" i="2" s="1"/>
  <c r="K551" i="2"/>
  <c r="L551" i="2" s="1"/>
  <c r="K552" i="2"/>
  <c r="L552" i="2" s="1"/>
  <c r="K553" i="2"/>
  <c r="L553" i="2" s="1"/>
  <c r="K554" i="2"/>
  <c r="L554" i="2" s="1"/>
  <c r="K555" i="2"/>
  <c r="L555" i="2" s="1"/>
  <c r="K556" i="2"/>
  <c r="L556" i="2" s="1"/>
  <c r="K557" i="2"/>
  <c r="L557" i="2" s="1"/>
  <c r="K558" i="2"/>
  <c r="L558" i="2" s="1"/>
  <c r="K559" i="2"/>
  <c r="L559" i="2" s="1"/>
  <c r="K560" i="2"/>
  <c r="L560" i="2" s="1"/>
  <c r="K561" i="2"/>
  <c r="L561" i="2" s="1"/>
  <c r="K562" i="2"/>
  <c r="L562" i="2" s="1"/>
  <c r="K563" i="2"/>
  <c r="L563" i="2" s="1"/>
  <c r="K564" i="2"/>
  <c r="L564" i="2" s="1"/>
  <c r="K565" i="2"/>
  <c r="L565" i="2" s="1"/>
  <c r="K566" i="2"/>
  <c r="L566" i="2" s="1"/>
  <c r="K567" i="2"/>
  <c r="L567" i="2" s="1"/>
  <c r="K568" i="2"/>
  <c r="L568" i="2" s="1"/>
  <c r="K569" i="2"/>
  <c r="L569" i="2" s="1"/>
  <c r="K570" i="2"/>
  <c r="L570" i="2" s="1"/>
  <c r="K571" i="2"/>
  <c r="L571" i="2" s="1"/>
  <c r="K572" i="2"/>
  <c r="L572" i="2" s="1"/>
  <c r="K573" i="2"/>
  <c r="L573" i="2" s="1"/>
  <c r="K574" i="2"/>
  <c r="L574" i="2" s="1"/>
  <c r="K575" i="2"/>
  <c r="L575" i="2" s="1"/>
  <c r="K576" i="2"/>
  <c r="L576" i="2" s="1"/>
  <c r="K577" i="2"/>
  <c r="L577" i="2" s="1"/>
  <c r="K578" i="2"/>
  <c r="L578" i="2" s="1"/>
  <c r="K579" i="2"/>
  <c r="L579" i="2" s="1"/>
  <c r="K580" i="2"/>
  <c r="L580" i="2" s="1"/>
  <c r="K581" i="2"/>
  <c r="L581" i="2" s="1"/>
  <c r="K582" i="2"/>
  <c r="L582" i="2" s="1"/>
  <c r="K583" i="2"/>
  <c r="L583" i="2" s="1"/>
  <c r="K584" i="2"/>
  <c r="L584" i="2" s="1"/>
  <c r="K585" i="2"/>
  <c r="L585" i="2" s="1"/>
  <c r="K586" i="2"/>
  <c r="L586" i="2" s="1"/>
  <c r="K587" i="2"/>
  <c r="L587" i="2" s="1"/>
  <c r="K588" i="2"/>
  <c r="L588" i="2" s="1"/>
  <c r="K589" i="2"/>
  <c r="L589" i="2" s="1"/>
  <c r="K590" i="2"/>
  <c r="L590" i="2" s="1"/>
  <c r="K591" i="2"/>
  <c r="L591" i="2" s="1"/>
  <c r="K592" i="2"/>
  <c r="L592" i="2" s="1"/>
  <c r="K593" i="2"/>
  <c r="L593" i="2" s="1"/>
  <c r="K594" i="2"/>
  <c r="L594" i="2" s="1"/>
  <c r="K595" i="2"/>
  <c r="L595" i="2" s="1"/>
  <c r="K596" i="2"/>
  <c r="L596" i="2" s="1"/>
  <c r="K597" i="2"/>
  <c r="L597" i="2" s="1"/>
  <c r="K598" i="2"/>
  <c r="L598" i="2" s="1"/>
  <c r="K599" i="2"/>
  <c r="L599" i="2" s="1"/>
  <c r="K600" i="2"/>
  <c r="L600" i="2" s="1"/>
  <c r="K601" i="2"/>
  <c r="L601" i="2" s="1"/>
  <c r="K602" i="2"/>
  <c r="L602" i="2" s="1"/>
  <c r="K603" i="2"/>
  <c r="L603" i="2" s="1"/>
  <c r="K604" i="2"/>
  <c r="L604" i="2" s="1"/>
  <c r="K605" i="2"/>
  <c r="L605" i="2" s="1"/>
  <c r="K606" i="2"/>
  <c r="L606" i="2" s="1"/>
  <c r="K607" i="2"/>
  <c r="L607" i="2" s="1"/>
  <c r="K608" i="2"/>
  <c r="L608" i="2" s="1"/>
  <c r="K609" i="2"/>
  <c r="L609" i="2" s="1"/>
  <c r="K610" i="2"/>
  <c r="L610" i="2" s="1"/>
  <c r="K611" i="2"/>
  <c r="L611" i="2" s="1"/>
  <c r="K612" i="2"/>
  <c r="L612" i="2" s="1"/>
  <c r="K613" i="2"/>
  <c r="L613" i="2" s="1"/>
  <c r="K614" i="2"/>
  <c r="L614" i="2" s="1"/>
  <c r="K615" i="2"/>
  <c r="L615" i="2" s="1"/>
  <c r="K616" i="2"/>
  <c r="L616" i="2" s="1"/>
  <c r="K617" i="2"/>
  <c r="L617" i="2" s="1"/>
  <c r="K618" i="2"/>
  <c r="L618" i="2" s="1"/>
  <c r="K619" i="2"/>
  <c r="L619" i="2" s="1"/>
  <c r="K620" i="2"/>
  <c r="L620" i="2" s="1"/>
  <c r="K621" i="2"/>
  <c r="L621" i="2" s="1"/>
  <c r="K622" i="2"/>
  <c r="L622" i="2" s="1"/>
  <c r="K623" i="2"/>
  <c r="L623" i="2" s="1"/>
  <c r="K624" i="2"/>
  <c r="L624" i="2" s="1"/>
  <c r="K625" i="2"/>
  <c r="L625" i="2" s="1"/>
  <c r="K626" i="2"/>
  <c r="L626" i="2" s="1"/>
  <c r="K627" i="2"/>
  <c r="L627" i="2" s="1"/>
  <c r="K628" i="2"/>
  <c r="L628" i="2" s="1"/>
  <c r="K629" i="2"/>
  <c r="L629" i="2" s="1"/>
  <c r="K630" i="2"/>
  <c r="L630" i="2" s="1"/>
  <c r="K631" i="2"/>
  <c r="L631" i="2" s="1"/>
  <c r="K632" i="2"/>
  <c r="L632" i="2" s="1"/>
  <c r="K633" i="2"/>
  <c r="L633" i="2" s="1"/>
  <c r="K634" i="2"/>
  <c r="L634" i="2" s="1"/>
  <c r="K635" i="2"/>
  <c r="L635" i="2" s="1"/>
  <c r="K636" i="2"/>
  <c r="L636" i="2" s="1"/>
  <c r="K637" i="2"/>
  <c r="L637" i="2" s="1"/>
  <c r="K638" i="2"/>
  <c r="L638" i="2" s="1"/>
  <c r="K639" i="2"/>
  <c r="L639" i="2" s="1"/>
  <c r="K640" i="2"/>
  <c r="L640" i="2" s="1"/>
  <c r="K641" i="2"/>
  <c r="L641" i="2" s="1"/>
  <c r="K642" i="2"/>
  <c r="L642" i="2" s="1"/>
  <c r="K643" i="2"/>
  <c r="L643" i="2" s="1"/>
  <c r="K644" i="2"/>
  <c r="L644" i="2" s="1"/>
  <c r="K645" i="2"/>
  <c r="L645" i="2" s="1"/>
  <c r="K646" i="2"/>
  <c r="L646" i="2" s="1"/>
  <c r="K647" i="2"/>
  <c r="L647" i="2" s="1"/>
  <c r="K648" i="2"/>
  <c r="L648" i="2" s="1"/>
  <c r="K649" i="2"/>
  <c r="L649" i="2" s="1"/>
  <c r="K650" i="2"/>
  <c r="L650" i="2" s="1"/>
  <c r="K651" i="2"/>
  <c r="L651" i="2" s="1"/>
  <c r="K652" i="2"/>
  <c r="L652" i="2" s="1"/>
  <c r="K653" i="2"/>
  <c r="L653" i="2" s="1"/>
  <c r="K654" i="2"/>
  <c r="L654" i="2" s="1"/>
  <c r="K655" i="2"/>
  <c r="L655" i="2" s="1"/>
  <c r="K656" i="2"/>
  <c r="L656" i="2" s="1"/>
  <c r="K657" i="2"/>
  <c r="L657" i="2" s="1"/>
  <c r="K658" i="2"/>
  <c r="L658" i="2" s="1"/>
  <c r="K659" i="2"/>
  <c r="L659" i="2" s="1"/>
  <c r="K660" i="2"/>
  <c r="L660" i="2" s="1"/>
  <c r="K661" i="2"/>
  <c r="L661" i="2" s="1"/>
  <c r="K662" i="2"/>
  <c r="L662" i="2" s="1"/>
  <c r="K663" i="2"/>
  <c r="L663" i="2" s="1"/>
  <c r="K664" i="2"/>
  <c r="L664" i="2" s="1"/>
  <c r="K665" i="2"/>
  <c r="L665" i="2" s="1"/>
  <c r="K666" i="2"/>
  <c r="L666" i="2" s="1"/>
  <c r="K667" i="2"/>
  <c r="L667" i="2" s="1"/>
  <c r="K668" i="2"/>
  <c r="L668" i="2" s="1"/>
  <c r="K669" i="2"/>
  <c r="L669" i="2" s="1"/>
  <c r="K670" i="2"/>
  <c r="L670" i="2" s="1"/>
  <c r="K671" i="2"/>
  <c r="L671" i="2" s="1"/>
  <c r="K672" i="2"/>
  <c r="L672" i="2" s="1"/>
  <c r="K673" i="2"/>
  <c r="L673" i="2" s="1"/>
  <c r="K674" i="2"/>
  <c r="L674" i="2" s="1"/>
  <c r="K675" i="2"/>
  <c r="L675" i="2" s="1"/>
  <c r="K676" i="2"/>
  <c r="L676" i="2" s="1"/>
  <c r="K677" i="2"/>
  <c r="L677" i="2" s="1"/>
  <c r="K678" i="2"/>
  <c r="L678" i="2" s="1"/>
  <c r="K679" i="2"/>
  <c r="L679" i="2" s="1"/>
  <c r="K680" i="2"/>
  <c r="L680" i="2" s="1"/>
  <c r="K681" i="2"/>
  <c r="L681" i="2" s="1"/>
  <c r="K682" i="2"/>
  <c r="L682" i="2" s="1"/>
  <c r="K683" i="2"/>
  <c r="L683" i="2" s="1"/>
  <c r="K684" i="2"/>
  <c r="L684" i="2" s="1"/>
  <c r="K685" i="2"/>
  <c r="L685" i="2" s="1"/>
  <c r="K686" i="2"/>
  <c r="L686" i="2" s="1"/>
  <c r="K687" i="2"/>
  <c r="L687" i="2" s="1"/>
  <c r="K688" i="2"/>
  <c r="L688" i="2" s="1"/>
  <c r="K689" i="2"/>
  <c r="L689" i="2" s="1"/>
  <c r="K690" i="2"/>
  <c r="L690" i="2" s="1"/>
  <c r="K691" i="2"/>
  <c r="K692" i="2"/>
  <c r="L692" i="2" s="1"/>
  <c r="K693" i="2"/>
  <c r="L693" i="2" s="1"/>
  <c r="K694" i="2"/>
  <c r="L694" i="2" s="1"/>
  <c r="K695" i="2"/>
  <c r="L695" i="2" s="1"/>
  <c r="K696" i="2"/>
  <c r="L696" i="2" s="1"/>
  <c r="K697" i="2"/>
  <c r="L697" i="2" s="1"/>
  <c r="K698" i="2"/>
  <c r="L698" i="2" s="1"/>
  <c r="K699" i="2"/>
  <c r="L699" i="2" s="1"/>
  <c r="K700" i="2"/>
  <c r="L700" i="2" s="1"/>
  <c r="K701" i="2"/>
  <c r="L701" i="2" s="1"/>
  <c r="K702" i="2"/>
  <c r="L702" i="2" s="1"/>
  <c r="K703" i="2"/>
  <c r="L703" i="2" s="1"/>
  <c r="K704" i="2"/>
  <c r="L704" i="2" s="1"/>
  <c r="K705" i="2"/>
  <c r="L705" i="2" s="1"/>
  <c r="K706" i="2"/>
  <c r="L706" i="2" s="1"/>
  <c r="K707" i="2"/>
  <c r="L707" i="2" s="1"/>
  <c r="K708" i="2"/>
  <c r="L708" i="2" s="1"/>
  <c r="K709" i="2"/>
  <c r="L709" i="2" s="1"/>
  <c r="K710" i="2"/>
  <c r="L710" i="2" s="1"/>
  <c r="K711" i="2"/>
  <c r="L711" i="2" s="1"/>
  <c r="K712" i="2"/>
  <c r="L712" i="2" s="1"/>
  <c r="K713" i="2"/>
  <c r="L713" i="2" s="1"/>
  <c r="K714" i="2"/>
  <c r="L714" i="2" s="1"/>
  <c r="K715" i="2"/>
  <c r="L715" i="2" s="1"/>
  <c r="K716" i="2"/>
  <c r="L716" i="2" s="1"/>
  <c r="K717" i="2"/>
  <c r="L717" i="2" s="1"/>
  <c r="K718" i="2"/>
  <c r="L718" i="2" s="1"/>
  <c r="K719" i="2"/>
  <c r="L719" i="2" s="1"/>
  <c r="K720" i="2"/>
  <c r="L720" i="2" s="1"/>
  <c r="K721" i="2"/>
  <c r="L721" i="2" s="1"/>
  <c r="K722" i="2"/>
  <c r="L722" i="2" s="1"/>
  <c r="K723" i="2"/>
  <c r="L723" i="2" s="1"/>
  <c r="K724" i="2"/>
  <c r="L724" i="2" s="1"/>
  <c r="K725" i="2"/>
  <c r="L725" i="2" s="1"/>
  <c r="K726" i="2"/>
  <c r="L726" i="2" s="1"/>
  <c r="K727" i="2"/>
  <c r="L727" i="2" s="1"/>
  <c r="K728" i="2"/>
  <c r="L728" i="2" s="1"/>
  <c r="K729" i="2"/>
  <c r="L729" i="2" s="1"/>
  <c r="K730" i="2"/>
  <c r="L730" i="2" s="1"/>
  <c r="K731" i="2"/>
  <c r="L731" i="2" s="1"/>
  <c r="K732" i="2"/>
  <c r="L732" i="2" s="1"/>
  <c r="K733" i="2"/>
  <c r="L733" i="2" s="1"/>
  <c r="K734" i="2"/>
  <c r="L734" i="2" s="1"/>
  <c r="K735" i="2"/>
  <c r="L735" i="2" s="1"/>
  <c r="K736" i="2"/>
  <c r="L736" i="2" s="1"/>
  <c r="K737" i="2"/>
  <c r="L737" i="2" s="1"/>
  <c r="K738" i="2"/>
  <c r="L738" i="2" s="1"/>
  <c r="K739" i="2"/>
  <c r="L739" i="2" s="1"/>
  <c r="K740" i="2"/>
  <c r="L740" i="2" s="1"/>
  <c r="K3" i="3"/>
  <c r="L3" i="3" s="1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K51" i="3"/>
  <c r="L51" i="3" s="1"/>
  <c r="K52" i="3"/>
  <c r="L52" i="3" s="1"/>
  <c r="K53" i="3"/>
  <c r="L53" i="3" s="1"/>
  <c r="K54" i="3"/>
  <c r="L54" i="3" s="1"/>
  <c r="K55" i="3"/>
  <c r="L55" i="3" s="1"/>
  <c r="K56" i="3"/>
  <c r="L56" i="3" s="1"/>
  <c r="K57" i="3"/>
  <c r="L57" i="3" s="1"/>
  <c r="K58" i="3"/>
  <c r="L58" i="3" s="1"/>
  <c r="K59" i="3"/>
  <c r="L59" i="3" s="1"/>
  <c r="K60" i="3"/>
  <c r="L60" i="3" s="1"/>
  <c r="K61" i="3"/>
  <c r="L61" i="3" s="1"/>
  <c r="K62" i="3"/>
  <c r="L62" i="3" s="1"/>
  <c r="K63" i="3"/>
  <c r="L63" i="3" s="1"/>
  <c r="K64" i="3"/>
  <c r="L64" i="3" s="1"/>
  <c r="K65" i="3"/>
  <c r="L65" i="3" s="1"/>
  <c r="K66" i="3"/>
  <c r="K67" i="3"/>
  <c r="L67" i="3" s="1"/>
  <c r="K68" i="3"/>
  <c r="L68" i="3" s="1"/>
  <c r="K69" i="3"/>
  <c r="L69" i="3" s="1"/>
  <c r="K70" i="3"/>
  <c r="L70" i="3" s="1"/>
  <c r="K71" i="3"/>
  <c r="L71" i="3" s="1"/>
  <c r="K72" i="3"/>
  <c r="L72" i="3" s="1"/>
  <c r="K73" i="3"/>
  <c r="L73" i="3" s="1"/>
  <c r="K74" i="3"/>
  <c r="L74" i="3" s="1"/>
  <c r="K75" i="3"/>
  <c r="L75" i="3" s="1"/>
  <c r="K76" i="3"/>
  <c r="L76" i="3" s="1"/>
  <c r="K77" i="3"/>
  <c r="L77" i="3" s="1"/>
  <c r="K78" i="3"/>
  <c r="L78" i="3" s="1"/>
  <c r="K79" i="3"/>
  <c r="L79" i="3" s="1"/>
  <c r="K80" i="3"/>
  <c r="L80" i="3" s="1"/>
  <c r="K81" i="3"/>
  <c r="L81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K88" i="3"/>
  <c r="L88" i="3" s="1"/>
  <c r="K89" i="3"/>
  <c r="L89" i="3" s="1"/>
  <c r="K90" i="3"/>
  <c r="L90" i="3" s="1"/>
  <c r="K91" i="3"/>
  <c r="L91" i="3" s="1"/>
  <c r="K92" i="3"/>
  <c r="L92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117" i="3"/>
  <c r="L117" i="3" s="1"/>
  <c r="K118" i="3"/>
  <c r="L118" i="3" s="1"/>
  <c r="K119" i="3"/>
  <c r="L119" i="3" s="1"/>
  <c r="K120" i="3"/>
  <c r="L120" i="3" s="1"/>
  <c r="K121" i="3"/>
  <c r="L121" i="3" s="1"/>
  <c r="K122" i="3"/>
  <c r="L122" i="3" s="1"/>
  <c r="K123" i="3"/>
  <c r="L123" i="3" s="1"/>
  <c r="K124" i="3"/>
  <c r="L124" i="3" s="1"/>
  <c r="K125" i="3"/>
  <c r="L125" i="3" s="1"/>
  <c r="K126" i="3"/>
  <c r="L126" i="3" s="1"/>
  <c r="K127" i="3"/>
  <c r="L127" i="3" s="1"/>
  <c r="K128" i="3"/>
  <c r="L128" i="3" s="1"/>
  <c r="K129" i="3"/>
  <c r="L129" i="3" s="1"/>
  <c r="K130" i="3"/>
  <c r="L130" i="3" s="1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139" i="3"/>
  <c r="L139" i="3" s="1"/>
  <c r="K140" i="3"/>
  <c r="L140" i="3" s="1"/>
  <c r="K141" i="3"/>
  <c r="L141" i="3" s="1"/>
  <c r="K142" i="3"/>
  <c r="L142" i="3" s="1"/>
  <c r="K143" i="3"/>
  <c r="L143" i="3" s="1"/>
  <c r="K144" i="3"/>
  <c r="L144" i="3" s="1"/>
  <c r="K145" i="3"/>
  <c r="L145" i="3" s="1"/>
  <c r="K146" i="3"/>
  <c r="L146" i="3" s="1"/>
  <c r="K147" i="3"/>
  <c r="L147" i="3" s="1"/>
  <c r="K148" i="3"/>
  <c r="L148" i="3" s="1"/>
  <c r="K149" i="3"/>
  <c r="L149" i="3" s="1"/>
  <c r="K150" i="3"/>
  <c r="L150" i="3" s="1"/>
  <c r="K151" i="3"/>
  <c r="L151" i="3" s="1"/>
  <c r="K152" i="3"/>
  <c r="L152" i="3" s="1"/>
  <c r="K153" i="3"/>
  <c r="L153" i="3" s="1"/>
  <c r="K154" i="3"/>
  <c r="L154" i="3" s="1"/>
  <c r="K155" i="3"/>
  <c r="L155" i="3" s="1"/>
  <c r="K156" i="3"/>
  <c r="L156" i="3" s="1"/>
  <c r="K157" i="3"/>
  <c r="L157" i="3" s="1"/>
  <c r="K158" i="3"/>
  <c r="L158" i="3" s="1"/>
  <c r="K159" i="3"/>
  <c r="L159" i="3" s="1"/>
  <c r="K160" i="3"/>
  <c r="L160" i="3" s="1"/>
  <c r="K161" i="3"/>
  <c r="L161" i="3" s="1"/>
  <c r="K162" i="3"/>
  <c r="L162" i="3" s="1"/>
  <c r="K163" i="3"/>
  <c r="L163" i="3" s="1"/>
  <c r="K164" i="3"/>
  <c r="L164" i="3" s="1"/>
  <c r="K165" i="3"/>
  <c r="L165" i="3" s="1"/>
  <c r="K166" i="3"/>
  <c r="L166" i="3" s="1"/>
  <c r="K167" i="3"/>
  <c r="L167" i="3" s="1"/>
  <c r="K168" i="3"/>
  <c r="L168" i="3" s="1"/>
  <c r="K169" i="3"/>
  <c r="L169" i="3" s="1"/>
  <c r="K170" i="3"/>
  <c r="L170" i="3" s="1"/>
  <c r="K171" i="3"/>
  <c r="L171" i="3" s="1"/>
  <c r="K172" i="3"/>
  <c r="L172" i="3" s="1"/>
  <c r="K173" i="3"/>
  <c r="L173" i="3" s="1"/>
  <c r="K174" i="3"/>
  <c r="L174" i="3" s="1"/>
  <c r="K175" i="3"/>
  <c r="L175" i="3" s="1"/>
  <c r="K176" i="3"/>
  <c r="L176" i="3" s="1"/>
  <c r="K177" i="3"/>
  <c r="L177" i="3" s="1"/>
  <c r="K178" i="3"/>
  <c r="L178" i="3" s="1"/>
  <c r="K179" i="3"/>
  <c r="L179" i="3" s="1"/>
  <c r="K180" i="3"/>
  <c r="L180" i="3" s="1"/>
  <c r="K181" i="3"/>
  <c r="L181" i="3" s="1"/>
  <c r="K182" i="3"/>
  <c r="L182" i="3" s="1"/>
  <c r="K183" i="3"/>
  <c r="L183" i="3" s="1"/>
  <c r="K184" i="3"/>
  <c r="L184" i="3" s="1"/>
  <c r="K185" i="3"/>
  <c r="L185" i="3" s="1"/>
  <c r="K186" i="3"/>
  <c r="L186" i="3" s="1"/>
  <c r="K187" i="3"/>
  <c r="L187" i="3" s="1"/>
  <c r="K188" i="3"/>
  <c r="L188" i="3" s="1"/>
  <c r="K189" i="3"/>
  <c r="L189" i="3" s="1"/>
  <c r="K190" i="3"/>
  <c r="L190" i="3" s="1"/>
  <c r="K191" i="3"/>
  <c r="L191" i="3" s="1"/>
  <c r="K192" i="3"/>
  <c r="L192" i="3" s="1"/>
  <c r="K193" i="3"/>
  <c r="L193" i="3" s="1"/>
  <c r="K194" i="3"/>
  <c r="L194" i="3" s="1"/>
  <c r="K195" i="3"/>
  <c r="L195" i="3" s="1"/>
  <c r="K196" i="3"/>
  <c r="L196" i="3" s="1"/>
  <c r="K197" i="3"/>
  <c r="L197" i="3" s="1"/>
  <c r="K198" i="3"/>
  <c r="L198" i="3" s="1"/>
  <c r="K199" i="3"/>
  <c r="L199" i="3" s="1"/>
  <c r="K200" i="3"/>
  <c r="L200" i="3" s="1"/>
  <c r="K201" i="3"/>
  <c r="L201" i="3" s="1"/>
  <c r="K202" i="3"/>
  <c r="L202" i="3" s="1"/>
  <c r="K203" i="3"/>
  <c r="L203" i="3" s="1"/>
  <c r="K204" i="3"/>
  <c r="L204" i="3" s="1"/>
  <c r="K205" i="3"/>
  <c r="L205" i="3" s="1"/>
  <c r="K206" i="3"/>
  <c r="L206" i="3" s="1"/>
  <c r="K207" i="3"/>
  <c r="L207" i="3" s="1"/>
  <c r="K208" i="3"/>
  <c r="L208" i="3" s="1"/>
  <c r="K209" i="3"/>
  <c r="L209" i="3" s="1"/>
  <c r="K210" i="3"/>
  <c r="L210" i="3" s="1"/>
  <c r="K211" i="3"/>
  <c r="L211" i="3" s="1"/>
  <c r="K212" i="3"/>
  <c r="L212" i="3" s="1"/>
  <c r="K213" i="3"/>
  <c r="L213" i="3" s="1"/>
  <c r="K214" i="3"/>
  <c r="L214" i="3" s="1"/>
  <c r="K215" i="3"/>
  <c r="L215" i="3" s="1"/>
  <c r="K216" i="3"/>
  <c r="L216" i="3" s="1"/>
  <c r="K217" i="3"/>
  <c r="L217" i="3" s="1"/>
  <c r="K218" i="3"/>
  <c r="L218" i="3" s="1"/>
  <c r="K219" i="3"/>
  <c r="L219" i="3" s="1"/>
  <c r="K220" i="3"/>
  <c r="L220" i="3" s="1"/>
  <c r="K221" i="3"/>
  <c r="L221" i="3" s="1"/>
  <c r="K222" i="3"/>
  <c r="L222" i="3" s="1"/>
  <c r="K223" i="3"/>
  <c r="L223" i="3" s="1"/>
  <c r="K224" i="3"/>
  <c r="L224" i="3" s="1"/>
  <c r="K225" i="3"/>
  <c r="L225" i="3" s="1"/>
  <c r="K226" i="3"/>
  <c r="L226" i="3" s="1"/>
  <c r="K227" i="3"/>
  <c r="L227" i="3" s="1"/>
  <c r="K228" i="3"/>
  <c r="L228" i="3" s="1"/>
  <c r="K229" i="3"/>
  <c r="L229" i="3" s="1"/>
  <c r="K230" i="3"/>
  <c r="L230" i="3" s="1"/>
  <c r="K231" i="3"/>
  <c r="L231" i="3" s="1"/>
  <c r="K232" i="3"/>
  <c r="L232" i="3" s="1"/>
  <c r="K233" i="3"/>
  <c r="L233" i="3" s="1"/>
  <c r="K234" i="3"/>
  <c r="L234" i="3" s="1"/>
  <c r="K235" i="3"/>
  <c r="L235" i="3" s="1"/>
  <c r="K236" i="3"/>
  <c r="L236" i="3" s="1"/>
  <c r="K237" i="3"/>
  <c r="L237" i="3" s="1"/>
  <c r="K238" i="3"/>
  <c r="L238" i="3" s="1"/>
  <c r="K239" i="3"/>
  <c r="L239" i="3" s="1"/>
  <c r="K240" i="3"/>
  <c r="L240" i="3" s="1"/>
  <c r="K241" i="3"/>
  <c r="L241" i="3" s="1"/>
  <c r="K242" i="3"/>
  <c r="L242" i="3" s="1"/>
  <c r="K243" i="3"/>
  <c r="L243" i="3" s="1"/>
  <c r="K244" i="3"/>
  <c r="L244" i="3" s="1"/>
  <c r="K245" i="3"/>
  <c r="L245" i="3" s="1"/>
  <c r="K246" i="3"/>
  <c r="L246" i="3" s="1"/>
  <c r="K247" i="3"/>
  <c r="L247" i="3" s="1"/>
  <c r="K248" i="3"/>
  <c r="L248" i="3" s="1"/>
  <c r="K249" i="3"/>
  <c r="L249" i="3" s="1"/>
  <c r="K250" i="3"/>
  <c r="L250" i="3" s="1"/>
  <c r="K251" i="3"/>
  <c r="L251" i="3" s="1"/>
  <c r="K252" i="3"/>
  <c r="L252" i="3" s="1"/>
  <c r="K253" i="3"/>
  <c r="L253" i="3" s="1"/>
  <c r="K254" i="3"/>
  <c r="L254" i="3" s="1"/>
  <c r="K255" i="3"/>
  <c r="L255" i="3" s="1"/>
  <c r="K256" i="3"/>
  <c r="L256" i="3" s="1"/>
  <c r="K257" i="3"/>
  <c r="L257" i="3" s="1"/>
  <c r="K258" i="3"/>
  <c r="L258" i="3" s="1"/>
  <c r="K259" i="3"/>
  <c r="L259" i="3" s="1"/>
  <c r="K260" i="3"/>
  <c r="L260" i="3" s="1"/>
  <c r="K261" i="3"/>
  <c r="L261" i="3" s="1"/>
  <c r="K262" i="3"/>
  <c r="L262" i="3" s="1"/>
  <c r="K263" i="3"/>
  <c r="L263" i="3" s="1"/>
  <c r="K264" i="3"/>
  <c r="L264" i="3" s="1"/>
  <c r="K265" i="3"/>
  <c r="L265" i="3" s="1"/>
  <c r="K266" i="3"/>
  <c r="L266" i="3" s="1"/>
  <c r="K267" i="3"/>
  <c r="L267" i="3" s="1"/>
  <c r="K268" i="3"/>
  <c r="L268" i="3" s="1"/>
  <c r="K269" i="3"/>
  <c r="L269" i="3" s="1"/>
  <c r="K270" i="3"/>
  <c r="L270" i="3" s="1"/>
  <c r="K271" i="3"/>
  <c r="L271" i="3" s="1"/>
  <c r="K272" i="3"/>
  <c r="L272" i="3" s="1"/>
  <c r="K273" i="3"/>
  <c r="L273" i="3" s="1"/>
  <c r="K274" i="3"/>
  <c r="L274" i="3" s="1"/>
  <c r="K275" i="3"/>
  <c r="L275" i="3" s="1"/>
  <c r="K276" i="3"/>
  <c r="L276" i="3" s="1"/>
  <c r="K277" i="3"/>
  <c r="L277" i="3" s="1"/>
  <c r="K278" i="3"/>
  <c r="L278" i="3" s="1"/>
  <c r="K279" i="3"/>
  <c r="L279" i="3" s="1"/>
  <c r="K280" i="3"/>
  <c r="L280" i="3" s="1"/>
  <c r="K281" i="3"/>
  <c r="L281" i="3" s="1"/>
  <c r="K282" i="3"/>
  <c r="L282" i="3" s="1"/>
  <c r="K283" i="3"/>
  <c r="L283" i="3" s="1"/>
  <c r="K284" i="3"/>
  <c r="L284" i="3" s="1"/>
  <c r="K285" i="3"/>
  <c r="L285" i="3" s="1"/>
  <c r="K286" i="3"/>
  <c r="L286" i="3" s="1"/>
  <c r="K287" i="3"/>
  <c r="L287" i="3" s="1"/>
  <c r="K288" i="3"/>
  <c r="L288" i="3" s="1"/>
  <c r="K289" i="3"/>
  <c r="L289" i="3" s="1"/>
  <c r="K290" i="3"/>
  <c r="L290" i="3" s="1"/>
  <c r="K291" i="3"/>
  <c r="L291" i="3" s="1"/>
  <c r="K292" i="3"/>
  <c r="L292" i="3" s="1"/>
  <c r="K293" i="3"/>
  <c r="L293" i="3" s="1"/>
  <c r="K294" i="3"/>
  <c r="L294" i="3" s="1"/>
  <c r="K295" i="3"/>
  <c r="L295" i="3" s="1"/>
  <c r="K296" i="3"/>
  <c r="L296" i="3" s="1"/>
  <c r="K297" i="3"/>
  <c r="L297" i="3" s="1"/>
  <c r="K298" i="3"/>
  <c r="L298" i="3" s="1"/>
  <c r="K299" i="3"/>
  <c r="L299" i="3" s="1"/>
  <c r="K300" i="3"/>
  <c r="L300" i="3" s="1"/>
  <c r="K301" i="3"/>
  <c r="L301" i="3" s="1"/>
  <c r="K302" i="3"/>
  <c r="L302" i="3" s="1"/>
  <c r="K303" i="3"/>
  <c r="L303" i="3" s="1"/>
  <c r="K304" i="3"/>
  <c r="L304" i="3" s="1"/>
  <c r="K305" i="3"/>
  <c r="L305" i="3" s="1"/>
  <c r="K306" i="3"/>
  <c r="L306" i="3" s="1"/>
  <c r="K307" i="3"/>
  <c r="L307" i="3" s="1"/>
  <c r="K308" i="3"/>
  <c r="L308" i="3" s="1"/>
  <c r="K309" i="3"/>
  <c r="L309" i="3" s="1"/>
  <c r="K310" i="3"/>
  <c r="L310" i="3" s="1"/>
  <c r="K311" i="3"/>
  <c r="L311" i="3" s="1"/>
  <c r="K312" i="3"/>
  <c r="L312" i="3" s="1"/>
  <c r="K313" i="3"/>
  <c r="L313" i="3" s="1"/>
  <c r="K314" i="3"/>
  <c r="L314" i="3" s="1"/>
  <c r="K315" i="3"/>
  <c r="L315" i="3" s="1"/>
  <c r="K316" i="3"/>
  <c r="L316" i="3" s="1"/>
  <c r="K317" i="3"/>
  <c r="L317" i="3" s="1"/>
  <c r="K318" i="3"/>
  <c r="L318" i="3" s="1"/>
  <c r="K319" i="3"/>
  <c r="L319" i="3" s="1"/>
  <c r="K320" i="3"/>
  <c r="L320" i="3" s="1"/>
  <c r="K321" i="3"/>
  <c r="L321" i="3" s="1"/>
  <c r="K322" i="3"/>
  <c r="L322" i="3" s="1"/>
  <c r="K323" i="3"/>
  <c r="L323" i="3" s="1"/>
  <c r="K324" i="3"/>
  <c r="L324" i="3" s="1"/>
  <c r="K325" i="3"/>
  <c r="L325" i="3" s="1"/>
  <c r="K326" i="3"/>
  <c r="L326" i="3" s="1"/>
  <c r="K327" i="3"/>
  <c r="L327" i="3" s="1"/>
  <c r="K328" i="3"/>
  <c r="L328" i="3" s="1"/>
  <c r="K329" i="3"/>
  <c r="L329" i="3" s="1"/>
  <c r="K330" i="3"/>
  <c r="L330" i="3" s="1"/>
  <c r="K331" i="3"/>
  <c r="L331" i="3" s="1"/>
  <c r="K332" i="3"/>
  <c r="L332" i="3" s="1"/>
  <c r="K333" i="3"/>
  <c r="L333" i="3" s="1"/>
  <c r="K334" i="3"/>
  <c r="L334" i="3" s="1"/>
  <c r="K335" i="3"/>
  <c r="L335" i="3" s="1"/>
  <c r="K336" i="3"/>
  <c r="L336" i="3" s="1"/>
  <c r="K337" i="3"/>
  <c r="L337" i="3" s="1"/>
  <c r="K338" i="3"/>
  <c r="L338" i="3" s="1"/>
  <c r="K339" i="3"/>
  <c r="L339" i="3" s="1"/>
  <c r="K340" i="3"/>
  <c r="L340" i="3" s="1"/>
  <c r="K341" i="3"/>
  <c r="L341" i="3" s="1"/>
  <c r="K342" i="3"/>
  <c r="L342" i="3" s="1"/>
  <c r="K343" i="3"/>
  <c r="L343" i="3" s="1"/>
  <c r="K344" i="3"/>
  <c r="L344" i="3" s="1"/>
  <c r="K345" i="3"/>
  <c r="L345" i="3" s="1"/>
  <c r="K346" i="3"/>
  <c r="L346" i="3" s="1"/>
  <c r="K347" i="3"/>
  <c r="L347" i="3" s="1"/>
  <c r="K348" i="3"/>
  <c r="L348" i="3" s="1"/>
  <c r="K349" i="3"/>
  <c r="L349" i="3" s="1"/>
  <c r="K350" i="3"/>
  <c r="L350" i="3" s="1"/>
  <c r="K351" i="3"/>
  <c r="L351" i="3" s="1"/>
  <c r="K352" i="3"/>
  <c r="L352" i="3" s="1"/>
  <c r="K353" i="3"/>
  <c r="L353" i="3" s="1"/>
  <c r="K354" i="3"/>
  <c r="L354" i="3" s="1"/>
  <c r="K355" i="3"/>
  <c r="L355" i="3" s="1"/>
  <c r="K356" i="3"/>
  <c r="L356" i="3" s="1"/>
  <c r="K357" i="3"/>
  <c r="L357" i="3" s="1"/>
  <c r="K358" i="3"/>
  <c r="L358" i="3" s="1"/>
  <c r="K359" i="3"/>
  <c r="L359" i="3" s="1"/>
  <c r="K360" i="3"/>
  <c r="L360" i="3" s="1"/>
  <c r="K361" i="3"/>
  <c r="L361" i="3" s="1"/>
  <c r="K362" i="3"/>
  <c r="L362" i="3" s="1"/>
  <c r="K363" i="3"/>
  <c r="L363" i="3" s="1"/>
  <c r="K364" i="3"/>
  <c r="L364" i="3" s="1"/>
  <c r="K365" i="3"/>
  <c r="L365" i="3" s="1"/>
  <c r="K366" i="3"/>
  <c r="L366" i="3" s="1"/>
  <c r="K367" i="3"/>
  <c r="L367" i="3" s="1"/>
  <c r="K368" i="3"/>
  <c r="L368" i="3" s="1"/>
  <c r="K369" i="3"/>
  <c r="L369" i="3" s="1"/>
  <c r="K370" i="3"/>
  <c r="L370" i="3" s="1"/>
  <c r="K371" i="3"/>
  <c r="L371" i="3" s="1"/>
  <c r="K372" i="3"/>
  <c r="L372" i="3" s="1"/>
  <c r="K373" i="3"/>
  <c r="L373" i="3" s="1"/>
  <c r="K374" i="3"/>
  <c r="L374" i="3" s="1"/>
  <c r="K375" i="3"/>
  <c r="L375" i="3" s="1"/>
  <c r="K376" i="3"/>
  <c r="L376" i="3" s="1"/>
  <c r="K377" i="3"/>
  <c r="L377" i="3" s="1"/>
  <c r="K378" i="3"/>
  <c r="L378" i="3" s="1"/>
  <c r="K379" i="3"/>
  <c r="L379" i="3" s="1"/>
  <c r="K380" i="3"/>
  <c r="L380" i="3" s="1"/>
  <c r="K381" i="3"/>
  <c r="L381" i="3" s="1"/>
  <c r="K382" i="3"/>
  <c r="L382" i="3" s="1"/>
  <c r="K383" i="3"/>
  <c r="L383" i="3" s="1"/>
  <c r="K384" i="3"/>
  <c r="L384" i="3" s="1"/>
  <c r="K385" i="3"/>
  <c r="L385" i="3" s="1"/>
  <c r="K386" i="3"/>
  <c r="L386" i="3" s="1"/>
  <c r="K387" i="3"/>
  <c r="L387" i="3" s="1"/>
  <c r="K388" i="3"/>
  <c r="L388" i="3" s="1"/>
  <c r="K389" i="3"/>
  <c r="L389" i="3" s="1"/>
  <c r="K390" i="3"/>
  <c r="L390" i="3" s="1"/>
  <c r="K391" i="3"/>
  <c r="L391" i="3" s="1"/>
  <c r="K392" i="3"/>
  <c r="L392" i="3" s="1"/>
  <c r="K393" i="3"/>
  <c r="L393" i="3" s="1"/>
  <c r="K394" i="3"/>
  <c r="L394" i="3" s="1"/>
  <c r="K395" i="3"/>
  <c r="L395" i="3" s="1"/>
  <c r="K396" i="3"/>
  <c r="L396" i="3" s="1"/>
  <c r="K397" i="3"/>
  <c r="L397" i="3" s="1"/>
  <c r="K398" i="3"/>
  <c r="L398" i="3" s="1"/>
  <c r="K399" i="3"/>
  <c r="L399" i="3" s="1"/>
  <c r="K400" i="3"/>
  <c r="L400" i="3" s="1"/>
  <c r="K401" i="3"/>
  <c r="L401" i="3" s="1"/>
  <c r="K402" i="3"/>
  <c r="L402" i="3" s="1"/>
  <c r="K403" i="3"/>
  <c r="L403" i="3" s="1"/>
  <c r="K404" i="3"/>
  <c r="L404" i="3" s="1"/>
  <c r="K405" i="3"/>
  <c r="L405" i="3" s="1"/>
  <c r="K406" i="3"/>
  <c r="L406" i="3" s="1"/>
  <c r="K407" i="3"/>
  <c r="L407" i="3" s="1"/>
  <c r="K408" i="3"/>
  <c r="L408" i="3" s="1"/>
  <c r="K409" i="3"/>
  <c r="L409" i="3" s="1"/>
  <c r="K410" i="3"/>
  <c r="L410" i="3" s="1"/>
  <c r="K411" i="3"/>
  <c r="L411" i="3" s="1"/>
  <c r="K412" i="3"/>
  <c r="L412" i="3" s="1"/>
  <c r="K413" i="3"/>
  <c r="L413" i="3" s="1"/>
  <c r="K414" i="3"/>
  <c r="L414" i="3" s="1"/>
  <c r="K415" i="3"/>
  <c r="L415" i="3" s="1"/>
  <c r="K416" i="3"/>
  <c r="L416" i="3" s="1"/>
  <c r="K417" i="3"/>
  <c r="L417" i="3" s="1"/>
  <c r="K418" i="3"/>
  <c r="L418" i="3" s="1"/>
  <c r="K419" i="3"/>
  <c r="L419" i="3" s="1"/>
  <c r="K420" i="3"/>
  <c r="L420" i="3" s="1"/>
  <c r="K421" i="3"/>
  <c r="L421" i="3" s="1"/>
  <c r="K422" i="3"/>
  <c r="L422" i="3" s="1"/>
  <c r="K423" i="3"/>
  <c r="L423" i="3" s="1"/>
  <c r="K424" i="3"/>
  <c r="L424" i="3" s="1"/>
  <c r="K425" i="3"/>
  <c r="L425" i="3" s="1"/>
  <c r="K426" i="3"/>
  <c r="L426" i="3" s="1"/>
  <c r="K427" i="3"/>
  <c r="L427" i="3" s="1"/>
  <c r="K428" i="3"/>
  <c r="L428" i="3" s="1"/>
  <c r="K429" i="3"/>
  <c r="L429" i="3" s="1"/>
  <c r="K430" i="3"/>
  <c r="L430" i="3" s="1"/>
  <c r="K431" i="3"/>
  <c r="L431" i="3" s="1"/>
  <c r="K432" i="3"/>
  <c r="L432" i="3" s="1"/>
  <c r="K433" i="3"/>
  <c r="L433" i="3" s="1"/>
  <c r="K434" i="3"/>
  <c r="L434" i="3" s="1"/>
  <c r="K435" i="3"/>
  <c r="L435" i="3" s="1"/>
  <c r="K436" i="3"/>
  <c r="L436" i="3" s="1"/>
  <c r="K437" i="3"/>
  <c r="L437" i="3" s="1"/>
  <c r="K438" i="3"/>
  <c r="L438" i="3" s="1"/>
  <c r="K439" i="3"/>
  <c r="L439" i="3" s="1"/>
  <c r="K440" i="3"/>
  <c r="L440" i="3" s="1"/>
  <c r="K441" i="3"/>
  <c r="L441" i="3" s="1"/>
  <c r="K442" i="3"/>
  <c r="L442" i="3" s="1"/>
  <c r="K443" i="3"/>
  <c r="L443" i="3" s="1"/>
  <c r="K444" i="3"/>
  <c r="L444" i="3" s="1"/>
  <c r="K445" i="3"/>
  <c r="L445" i="3" s="1"/>
  <c r="K446" i="3"/>
  <c r="L446" i="3" s="1"/>
  <c r="K447" i="3"/>
  <c r="L447" i="3" s="1"/>
  <c r="K448" i="3"/>
  <c r="L448" i="3" s="1"/>
  <c r="K449" i="3"/>
  <c r="L449" i="3" s="1"/>
  <c r="K450" i="3"/>
  <c r="L450" i="3" s="1"/>
  <c r="K451" i="3"/>
  <c r="L451" i="3" s="1"/>
  <c r="K452" i="3"/>
  <c r="L452" i="3" s="1"/>
  <c r="K453" i="3"/>
  <c r="L453" i="3" s="1"/>
  <c r="K454" i="3"/>
  <c r="L454" i="3" s="1"/>
  <c r="K455" i="3"/>
  <c r="L455" i="3" s="1"/>
  <c r="K456" i="3"/>
  <c r="L456" i="3" s="1"/>
  <c r="K457" i="3"/>
  <c r="L457" i="3" s="1"/>
  <c r="K458" i="3"/>
  <c r="L458" i="3" s="1"/>
  <c r="K459" i="3"/>
  <c r="L459" i="3" s="1"/>
  <c r="K460" i="3"/>
  <c r="L460" i="3" s="1"/>
  <c r="K461" i="3"/>
  <c r="L461" i="3" s="1"/>
  <c r="K462" i="3"/>
  <c r="L462" i="3" s="1"/>
  <c r="K463" i="3"/>
  <c r="L463" i="3" s="1"/>
  <c r="K464" i="3"/>
  <c r="L464" i="3" s="1"/>
  <c r="K465" i="3"/>
  <c r="L465" i="3" s="1"/>
  <c r="K466" i="3"/>
  <c r="L466" i="3" s="1"/>
  <c r="K467" i="3"/>
  <c r="L467" i="3" s="1"/>
  <c r="K468" i="3"/>
  <c r="L468" i="3" s="1"/>
  <c r="K469" i="3"/>
  <c r="L469" i="3" s="1"/>
  <c r="K470" i="3"/>
  <c r="L470" i="3" s="1"/>
  <c r="K471" i="3"/>
  <c r="L471" i="3" s="1"/>
  <c r="K472" i="3"/>
  <c r="L472" i="3" s="1"/>
  <c r="K473" i="3"/>
  <c r="L473" i="3" s="1"/>
  <c r="K474" i="3"/>
  <c r="L474" i="3" s="1"/>
  <c r="K475" i="3"/>
  <c r="L475" i="3" s="1"/>
  <c r="K476" i="3"/>
  <c r="L476" i="3" s="1"/>
  <c r="K477" i="3"/>
  <c r="L477" i="3" s="1"/>
  <c r="K478" i="3"/>
  <c r="L478" i="3" s="1"/>
  <c r="K479" i="3"/>
  <c r="L479" i="3" s="1"/>
  <c r="K480" i="3"/>
  <c r="L480" i="3" s="1"/>
  <c r="K481" i="3"/>
  <c r="L481" i="3" s="1"/>
  <c r="K482" i="3"/>
  <c r="L482" i="3" s="1"/>
  <c r="K483" i="3"/>
  <c r="L483" i="3" s="1"/>
  <c r="K484" i="3"/>
  <c r="L484" i="3" s="1"/>
  <c r="K485" i="3"/>
  <c r="L485" i="3" s="1"/>
  <c r="K486" i="3"/>
  <c r="L486" i="3" s="1"/>
  <c r="K487" i="3"/>
  <c r="L487" i="3" s="1"/>
  <c r="K488" i="3"/>
  <c r="L488" i="3" s="1"/>
  <c r="K489" i="3"/>
  <c r="L489" i="3" s="1"/>
  <c r="K490" i="3"/>
  <c r="L490" i="3" s="1"/>
  <c r="K491" i="3"/>
  <c r="L491" i="3" s="1"/>
  <c r="K492" i="3"/>
  <c r="L492" i="3" s="1"/>
  <c r="K493" i="3"/>
  <c r="L493" i="3" s="1"/>
  <c r="K494" i="3"/>
  <c r="L494" i="3" s="1"/>
  <c r="K495" i="3"/>
  <c r="L495" i="3" s="1"/>
  <c r="K496" i="3"/>
  <c r="L496" i="3" s="1"/>
  <c r="K497" i="3"/>
  <c r="L497" i="3" s="1"/>
  <c r="K498" i="3"/>
  <c r="L498" i="3" s="1"/>
  <c r="K499" i="3"/>
  <c r="L499" i="3" s="1"/>
  <c r="K500" i="3"/>
  <c r="L500" i="3" s="1"/>
  <c r="K501" i="3"/>
  <c r="L501" i="3" s="1"/>
  <c r="K502" i="3"/>
  <c r="L502" i="3" s="1"/>
  <c r="K503" i="3"/>
  <c r="L503" i="3" s="1"/>
  <c r="K504" i="3"/>
  <c r="L504" i="3" s="1"/>
  <c r="K505" i="3"/>
  <c r="L505" i="3" s="1"/>
  <c r="K506" i="3"/>
  <c r="L506" i="3" s="1"/>
  <c r="K507" i="3"/>
  <c r="L507" i="3" s="1"/>
  <c r="K508" i="3"/>
  <c r="L508" i="3" s="1"/>
  <c r="K509" i="3"/>
  <c r="L509" i="3" s="1"/>
  <c r="K510" i="3"/>
  <c r="L510" i="3" s="1"/>
  <c r="K511" i="3"/>
  <c r="L511" i="3" s="1"/>
  <c r="K512" i="3"/>
  <c r="L512" i="3" s="1"/>
  <c r="K513" i="3"/>
  <c r="L513" i="3" s="1"/>
  <c r="K514" i="3"/>
  <c r="L514" i="3" s="1"/>
  <c r="K515" i="3"/>
  <c r="L515" i="3" s="1"/>
  <c r="K516" i="3"/>
  <c r="L516" i="3" s="1"/>
  <c r="K517" i="3"/>
  <c r="L517" i="3" s="1"/>
  <c r="K518" i="3"/>
  <c r="L518" i="3" s="1"/>
  <c r="K519" i="3"/>
  <c r="L519" i="3" s="1"/>
  <c r="K520" i="3"/>
  <c r="L520" i="3" s="1"/>
  <c r="K521" i="3"/>
  <c r="L521" i="3" s="1"/>
  <c r="K522" i="3"/>
  <c r="L522" i="3" s="1"/>
  <c r="K523" i="3"/>
  <c r="L523" i="3" s="1"/>
  <c r="K524" i="3"/>
  <c r="L524" i="3" s="1"/>
  <c r="K525" i="3"/>
  <c r="L525" i="3" s="1"/>
  <c r="K526" i="3"/>
  <c r="L526" i="3" s="1"/>
  <c r="K527" i="3"/>
  <c r="L527" i="3" s="1"/>
  <c r="K528" i="3"/>
  <c r="L528" i="3" s="1"/>
  <c r="K529" i="3"/>
  <c r="L529" i="3" s="1"/>
  <c r="K530" i="3"/>
  <c r="L530" i="3" s="1"/>
  <c r="K531" i="3"/>
  <c r="L531" i="3" s="1"/>
  <c r="K532" i="3"/>
  <c r="L532" i="3" s="1"/>
  <c r="K533" i="3"/>
  <c r="L533" i="3" s="1"/>
  <c r="K534" i="3"/>
  <c r="L534" i="3" s="1"/>
  <c r="K535" i="3"/>
  <c r="L535" i="3" s="1"/>
  <c r="K536" i="3"/>
  <c r="L536" i="3" s="1"/>
  <c r="K537" i="3"/>
  <c r="L537" i="3" s="1"/>
  <c r="K538" i="3"/>
  <c r="L538" i="3" s="1"/>
  <c r="K539" i="3"/>
  <c r="L539" i="3" s="1"/>
  <c r="K540" i="3"/>
  <c r="L540" i="3" s="1"/>
  <c r="K541" i="3"/>
  <c r="L541" i="3" s="1"/>
  <c r="K542" i="3"/>
  <c r="L542" i="3" s="1"/>
  <c r="K543" i="3"/>
  <c r="L543" i="3" s="1"/>
  <c r="K544" i="3"/>
  <c r="L544" i="3" s="1"/>
  <c r="K545" i="3"/>
  <c r="L545" i="3" s="1"/>
  <c r="K546" i="3"/>
  <c r="L546" i="3" s="1"/>
  <c r="K547" i="3"/>
  <c r="L547" i="3" s="1"/>
  <c r="K548" i="3"/>
  <c r="K549" i="3"/>
  <c r="L549" i="3" s="1"/>
  <c r="K550" i="3"/>
  <c r="L550" i="3" s="1"/>
  <c r="K551" i="3"/>
  <c r="L551" i="3" s="1"/>
  <c r="K552" i="3"/>
  <c r="L552" i="3" s="1"/>
  <c r="K553" i="3"/>
  <c r="L553" i="3" s="1"/>
  <c r="K554" i="3"/>
  <c r="L554" i="3" s="1"/>
  <c r="K555" i="3"/>
  <c r="L555" i="3" s="1"/>
  <c r="K556" i="3"/>
  <c r="L556" i="3" s="1"/>
  <c r="K557" i="3"/>
  <c r="L557" i="3" s="1"/>
  <c r="K558" i="3"/>
  <c r="L558" i="3" s="1"/>
  <c r="K559" i="3"/>
  <c r="L559" i="3" s="1"/>
  <c r="K560" i="3"/>
  <c r="L560" i="3" s="1"/>
  <c r="K561" i="3"/>
  <c r="L561" i="3" s="1"/>
  <c r="K562" i="3"/>
  <c r="L562" i="3" s="1"/>
  <c r="K563" i="3"/>
  <c r="L563" i="3" s="1"/>
  <c r="K564" i="3"/>
  <c r="L564" i="3" s="1"/>
  <c r="K565" i="3"/>
  <c r="L565" i="3" s="1"/>
  <c r="K566" i="3"/>
  <c r="L566" i="3" s="1"/>
  <c r="K567" i="3"/>
  <c r="L567" i="3" s="1"/>
  <c r="K568" i="3"/>
  <c r="L568" i="3" s="1"/>
  <c r="K569" i="3"/>
  <c r="L569" i="3" s="1"/>
  <c r="K570" i="3"/>
  <c r="L570" i="3" s="1"/>
  <c r="K571" i="3"/>
  <c r="L571" i="3" s="1"/>
  <c r="K572" i="3"/>
  <c r="L572" i="3" s="1"/>
  <c r="K573" i="3"/>
  <c r="L573" i="3" s="1"/>
  <c r="K574" i="3"/>
  <c r="L574" i="3" s="1"/>
  <c r="K575" i="3"/>
  <c r="L575" i="3" s="1"/>
  <c r="K576" i="3"/>
  <c r="L576" i="3" s="1"/>
  <c r="K577" i="3"/>
  <c r="L577" i="3" s="1"/>
  <c r="K578" i="3"/>
  <c r="L578" i="3" s="1"/>
  <c r="K579" i="3"/>
  <c r="L579" i="3" s="1"/>
  <c r="K580" i="3"/>
  <c r="L580" i="3" s="1"/>
  <c r="K581" i="3"/>
  <c r="L581" i="3" s="1"/>
  <c r="K582" i="3"/>
  <c r="L582" i="3" s="1"/>
  <c r="K583" i="3"/>
  <c r="L583" i="3" s="1"/>
  <c r="K584" i="3"/>
  <c r="L584" i="3" s="1"/>
  <c r="K585" i="3"/>
  <c r="L585" i="3" s="1"/>
  <c r="K586" i="3"/>
  <c r="L586" i="3" s="1"/>
  <c r="K587" i="3"/>
  <c r="L587" i="3" s="1"/>
  <c r="K588" i="3"/>
  <c r="L588" i="3" s="1"/>
  <c r="K589" i="3"/>
  <c r="L589" i="3" s="1"/>
  <c r="K590" i="3"/>
  <c r="L590" i="3" s="1"/>
  <c r="K591" i="3"/>
  <c r="L591" i="3" s="1"/>
  <c r="K592" i="3"/>
  <c r="L592" i="3" s="1"/>
  <c r="K593" i="3"/>
  <c r="L593" i="3" s="1"/>
  <c r="K594" i="3"/>
  <c r="L594" i="3" s="1"/>
  <c r="K595" i="3"/>
  <c r="L595" i="3" s="1"/>
  <c r="K596" i="3"/>
  <c r="L596" i="3" s="1"/>
  <c r="K597" i="3"/>
  <c r="L597" i="3" s="1"/>
  <c r="K598" i="3"/>
  <c r="L598" i="3" s="1"/>
  <c r="K599" i="3"/>
  <c r="L599" i="3" s="1"/>
  <c r="K600" i="3"/>
  <c r="L600" i="3" s="1"/>
  <c r="K601" i="3"/>
  <c r="L601" i="3" s="1"/>
  <c r="K602" i="3"/>
  <c r="L602" i="3" s="1"/>
  <c r="K603" i="3"/>
  <c r="L603" i="3" s="1"/>
  <c r="K604" i="3"/>
  <c r="L604" i="3" s="1"/>
  <c r="K605" i="3"/>
  <c r="L605" i="3" s="1"/>
  <c r="K606" i="3"/>
  <c r="L606" i="3" s="1"/>
  <c r="K607" i="3"/>
  <c r="L607" i="3" s="1"/>
  <c r="K608" i="3"/>
  <c r="L608" i="3" s="1"/>
  <c r="K609" i="3"/>
  <c r="L609" i="3" s="1"/>
  <c r="K610" i="3"/>
  <c r="L610" i="3" s="1"/>
  <c r="K611" i="3"/>
  <c r="L611" i="3" s="1"/>
  <c r="K612" i="3"/>
  <c r="L612" i="3" s="1"/>
  <c r="K613" i="3"/>
  <c r="L613" i="3" s="1"/>
  <c r="K614" i="3"/>
  <c r="L614" i="3" s="1"/>
  <c r="K615" i="3"/>
  <c r="L615" i="3" s="1"/>
  <c r="K616" i="3"/>
  <c r="L616" i="3" s="1"/>
  <c r="K617" i="3"/>
  <c r="L617" i="3" s="1"/>
  <c r="K618" i="3"/>
  <c r="L618" i="3" s="1"/>
  <c r="K619" i="3"/>
  <c r="L619" i="3" s="1"/>
  <c r="K620" i="3"/>
  <c r="L620" i="3" s="1"/>
  <c r="K621" i="3"/>
  <c r="L621" i="3" s="1"/>
  <c r="K622" i="3"/>
  <c r="L622" i="3" s="1"/>
  <c r="K623" i="3"/>
  <c r="L623" i="3" s="1"/>
  <c r="K624" i="3"/>
  <c r="L624" i="3" s="1"/>
  <c r="K625" i="3"/>
  <c r="L625" i="3" s="1"/>
  <c r="K626" i="3"/>
  <c r="L626" i="3" s="1"/>
  <c r="K627" i="3"/>
  <c r="L627" i="3" s="1"/>
  <c r="K628" i="3"/>
  <c r="L628" i="3" s="1"/>
  <c r="K629" i="3"/>
  <c r="L629" i="3" s="1"/>
  <c r="K630" i="3"/>
  <c r="L630" i="3" s="1"/>
  <c r="K631" i="3"/>
  <c r="L631" i="3" s="1"/>
  <c r="K632" i="3"/>
  <c r="L632" i="3" s="1"/>
  <c r="K633" i="3"/>
  <c r="L633" i="3" s="1"/>
  <c r="K634" i="3"/>
  <c r="L634" i="3" s="1"/>
  <c r="K635" i="3"/>
  <c r="L635" i="3" s="1"/>
  <c r="K636" i="3"/>
  <c r="L636" i="3" s="1"/>
  <c r="K637" i="3"/>
  <c r="L637" i="3" s="1"/>
  <c r="K638" i="3"/>
  <c r="L638" i="3" s="1"/>
  <c r="K639" i="3"/>
  <c r="L639" i="3" s="1"/>
  <c r="K640" i="3"/>
  <c r="L640" i="3" s="1"/>
  <c r="K641" i="3"/>
  <c r="L641" i="3" s="1"/>
  <c r="K642" i="3"/>
  <c r="L642" i="3" s="1"/>
  <c r="K643" i="3"/>
  <c r="L643" i="3" s="1"/>
  <c r="K644" i="3"/>
  <c r="L644" i="3" s="1"/>
  <c r="K645" i="3"/>
  <c r="L645" i="3" s="1"/>
  <c r="K646" i="3"/>
  <c r="L646" i="3" s="1"/>
  <c r="K647" i="3"/>
  <c r="L647" i="3" s="1"/>
  <c r="K648" i="3"/>
  <c r="L648" i="3" s="1"/>
  <c r="K649" i="3"/>
  <c r="L649" i="3" s="1"/>
  <c r="K650" i="3"/>
  <c r="L650" i="3" s="1"/>
  <c r="K651" i="3"/>
  <c r="L651" i="3" s="1"/>
  <c r="K652" i="3"/>
  <c r="L652" i="3" s="1"/>
  <c r="K653" i="3"/>
  <c r="L653" i="3" s="1"/>
  <c r="K654" i="3"/>
  <c r="L654" i="3" s="1"/>
  <c r="K655" i="3"/>
  <c r="L655" i="3" s="1"/>
  <c r="K656" i="3"/>
  <c r="L656" i="3" s="1"/>
  <c r="K657" i="3"/>
  <c r="L657" i="3" s="1"/>
  <c r="K658" i="3"/>
  <c r="L658" i="3" s="1"/>
  <c r="K659" i="3"/>
  <c r="L659" i="3" s="1"/>
  <c r="K660" i="3"/>
  <c r="L660" i="3" s="1"/>
  <c r="K661" i="3"/>
  <c r="L661" i="3" s="1"/>
  <c r="K662" i="3"/>
  <c r="L662" i="3" s="1"/>
  <c r="K663" i="3"/>
  <c r="L663" i="3" s="1"/>
  <c r="K664" i="3"/>
  <c r="L664" i="3" s="1"/>
  <c r="K665" i="3"/>
  <c r="L665" i="3" s="1"/>
  <c r="K666" i="3"/>
  <c r="L666" i="3" s="1"/>
  <c r="K667" i="3"/>
  <c r="L667" i="3" s="1"/>
  <c r="K668" i="3"/>
  <c r="L668" i="3" s="1"/>
  <c r="K669" i="3"/>
  <c r="L669" i="3" s="1"/>
  <c r="K670" i="3"/>
  <c r="L670" i="3" s="1"/>
  <c r="K671" i="3"/>
  <c r="L671" i="3" s="1"/>
  <c r="K672" i="3"/>
  <c r="L672" i="3" s="1"/>
  <c r="K673" i="3"/>
  <c r="L673" i="3" s="1"/>
  <c r="K674" i="3"/>
  <c r="L674" i="3" s="1"/>
  <c r="K675" i="3"/>
  <c r="L675" i="3" s="1"/>
  <c r="K676" i="3"/>
  <c r="L676" i="3" s="1"/>
  <c r="K677" i="3"/>
  <c r="L677" i="3" s="1"/>
  <c r="K678" i="3"/>
  <c r="L678" i="3" s="1"/>
  <c r="K679" i="3"/>
  <c r="L679" i="3" s="1"/>
  <c r="K680" i="3"/>
  <c r="L680" i="3" s="1"/>
  <c r="K681" i="3"/>
  <c r="L681" i="3" s="1"/>
  <c r="K682" i="3"/>
  <c r="L682" i="3" s="1"/>
  <c r="K683" i="3"/>
  <c r="L683" i="3" s="1"/>
  <c r="K684" i="3"/>
  <c r="L684" i="3" s="1"/>
  <c r="K685" i="3"/>
  <c r="L685" i="3" s="1"/>
  <c r="K686" i="3"/>
  <c r="L686" i="3" s="1"/>
  <c r="K687" i="3"/>
  <c r="L687" i="3" s="1"/>
  <c r="K688" i="3"/>
  <c r="L688" i="3" s="1"/>
  <c r="K689" i="3"/>
  <c r="L689" i="3" s="1"/>
  <c r="K690" i="3"/>
  <c r="L690" i="3" s="1"/>
  <c r="K691" i="3"/>
  <c r="L691" i="3" s="1"/>
  <c r="K692" i="3"/>
  <c r="L692" i="3" s="1"/>
  <c r="K693" i="3"/>
  <c r="L693" i="3" s="1"/>
  <c r="K694" i="3"/>
  <c r="L694" i="3" s="1"/>
  <c r="K695" i="3"/>
  <c r="L695" i="3" s="1"/>
  <c r="K696" i="3"/>
  <c r="L696" i="3" s="1"/>
  <c r="K697" i="3"/>
  <c r="L697" i="3" s="1"/>
  <c r="K698" i="3"/>
  <c r="L698" i="3" s="1"/>
  <c r="K699" i="3"/>
  <c r="L699" i="3" s="1"/>
  <c r="K700" i="3"/>
  <c r="L700" i="3" s="1"/>
  <c r="K701" i="3"/>
  <c r="L701" i="3" s="1"/>
  <c r="K702" i="3"/>
  <c r="L702" i="3" s="1"/>
  <c r="K703" i="3"/>
  <c r="L703" i="3" s="1"/>
  <c r="K704" i="3"/>
  <c r="L704" i="3" s="1"/>
  <c r="K705" i="3"/>
  <c r="L705" i="3" s="1"/>
  <c r="K706" i="3"/>
  <c r="L706" i="3" s="1"/>
  <c r="K707" i="3"/>
  <c r="L707" i="3" s="1"/>
  <c r="K708" i="3"/>
  <c r="L708" i="3" s="1"/>
  <c r="K709" i="3"/>
  <c r="L709" i="3" s="1"/>
  <c r="K710" i="3"/>
  <c r="L710" i="3" s="1"/>
  <c r="K711" i="3"/>
  <c r="L711" i="3" s="1"/>
  <c r="K712" i="3"/>
  <c r="L712" i="3" s="1"/>
  <c r="K713" i="3"/>
  <c r="L713" i="3" s="1"/>
  <c r="K714" i="3"/>
  <c r="L714" i="3" s="1"/>
  <c r="K715" i="3"/>
  <c r="L715" i="3" s="1"/>
  <c r="K716" i="3"/>
  <c r="L716" i="3" s="1"/>
  <c r="K717" i="3"/>
  <c r="L717" i="3" s="1"/>
  <c r="K718" i="3"/>
  <c r="L718" i="3" s="1"/>
  <c r="K719" i="3"/>
  <c r="L719" i="3" s="1"/>
  <c r="K720" i="3"/>
  <c r="L720" i="3" s="1"/>
  <c r="K721" i="3"/>
  <c r="L721" i="3" s="1"/>
  <c r="K722" i="3"/>
  <c r="L722" i="3" s="1"/>
  <c r="K723" i="3"/>
  <c r="L723" i="3" s="1"/>
  <c r="K724" i="3"/>
  <c r="L724" i="3" s="1"/>
  <c r="K725" i="3"/>
  <c r="L725" i="3" s="1"/>
  <c r="K726" i="3"/>
  <c r="L726" i="3" s="1"/>
  <c r="K727" i="3"/>
  <c r="L727" i="3" s="1"/>
  <c r="K728" i="3"/>
  <c r="L728" i="3" s="1"/>
  <c r="K729" i="3"/>
  <c r="L729" i="3" s="1"/>
  <c r="K730" i="3"/>
  <c r="L730" i="3" s="1"/>
  <c r="K731" i="3"/>
  <c r="L731" i="3" s="1"/>
  <c r="K732" i="3"/>
  <c r="L732" i="3" s="1"/>
  <c r="K733" i="3"/>
  <c r="L733" i="3" s="1"/>
  <c r="K734" i="3"/>
  <c r="L734" i="3" s="1"/>
  <c r="K735" i="3"/>
  <c r="L735" i="3" s="1"/>
  <c r="K736" i="3"/>
  <c r="L736" i="3" s="1"/>
  <c r="K737" i="3"/>
  <c r="L737" i="3" s="1"/>
  <c r="K738" i="3"/>
  <c r="L738" i="3" s="1"/>
  <c r="K739" i="3"/>
  <c r="L739" i="3" s="1"/>
  <c r="K740" i="3"/>
  <c r="L740" i="3" s="1"/>
  <c r="K3" i="4"/>
  <c r="L3" i="4" s="1"/>
  <c r="K4" i="4"/>
  <c r="L4" i="4" s="1"/>
  <c r="K5" i="4"/>
  <c r="L5" i="4" s="1"/>
  <c r="K6" i="4"/>
  <c r="L6" i="4" s="1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K57" i="4"/>
  <c r="L57" i="4" s="1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L66" i="4" s="1"/>
  <c r="K67" i="4"/>
  <c r="L67" i="4" s="1"/>
  <c r="K68" i="4"/>
  <c r="L68" i="4" s="1"/>
  <c r="K69" i="4"/>
  <c r="L69" i="4" s="1"/>
  <c r="K70" i="4"/>
  <c r="L70" i="4" s="1"/>
  <c r="K71" i="4"/>
  <c r="L71" i="4" s="1"/>
  <c r="K72" i="4"/>
  <c r="L72" i="4" s="1"/>
  <c r="K73" i="4"/>
  <c r="L73" i="4" s="1"/>
  <c r="K74" i="4"/>
  <c r="L74" i="4" s="1"/>
  <c r="K75" i="4"/>
  <c r="L75" i="4" s="1"/>
  <c r="K76" i="4"/>
  <c r="L76" i="4" s="1"/>
  <c r="K77" i="4"/>
  <c r="L77" i="4" s="1"/>
  <c r="K78" i="4"/>
  <c r="L78" i="4" s="1"/>
  <c r="K79" i="4"/>
  <c r="L79" i="4" s="1"/>
  <c r="K80" i="4"/>
  <c r="L80" i="4" s="1"/>
  <c r="K81" i="4"/>
  <c r="L81" i="4" s="1"/>
  <c r="K82" i="4"/>
  <c r="L82" i="4" s="1"/>
  <c r="K83" i="4"/>
  <c r="L83" i="4" s="1"/>
  <c r="K84" i="4"/>
  <c r="L84" i="4" s="1"/>
  <c r="K85" i="4"/>
  <c r="L85" i="4" s="1"/>
  <c r="K86" i="4"/>
  <c r="L86" i="4" s="1"/>
  <c r="K87" i="4"/>
  <c r="L87" i="4" s="1"/>
  <c r="K88" i="4"/>
  <c r="L88" i="4" s="1"/>
  <c r="K89" i="4"/>
  <c r="L89" i="4" s="1"/>
  <c r="K90" i="4"/>
  <c r="L90" i="4" s="1"/>
  <c r="K91" i="4"/>
  <c r="L91" i="4" s="1"/>
  <c r="K92" i="4"/>
  <c r="L92" i="4" s="1"/>
  <c r="K93" i="4"/>
  <c r="L93" i="4" s="1"/>
  <c r="K94" i="4"/>
  <c r="L94" i="4" s="1"/>
  <c r="K95" i="4"/>
  <c r="L95" i="4" s="1"/>
  <c r="K96" i="4"/>
  <c r="L96" i="4" s="1"/>
  <c r="K97" i="4"/>
  <c r="L97" i="4" s="1"/>
  <c r="K98" i="4"/>
  <c r="L98" i="4" s="1"/>
  <c r="K99" i="4"/>
  <c r="L99" i="4" s="1"/>
  <c r="K100" i="4"/>
  <c r="L100" i="4" s="1"/>
  <c r="K101" i="4"/>
  <c r="L101" i="4" s="1"/>
  <c r="K102" i="4"/>
  <c r="L102" i="4" s="1"/>
  <c r="K103" i="4"/>
  <c r="L103" i="4" s="1"/>
  <c r="K104" i="4"/>
  <c r="L104" i="4" s="1"/>
  <c r="K105" i="4"/>
  <c r="L105" i="4" s="1"/>
  <c r="K106" i="4"/>
  <c r="L106" i="4" s="1"/>
  <c r="K107" i="4"/>
  <c r="L107" i="4" s="1"/>
  <c r="K108" i="4"/>
  <c r="L108" i="4" s="1"/>
  <c r="K109" i="4"/>
  <c r="L109" i="4" s="1"/>
  <c r="K110" i="4"/>
  <c r="L110" i="4" s="1"/>
  <c r="K111" i="4"/>
  <c r="L111" i="4" s="1"/>
  <c r="K112" i="4"/>
  <c r="L112" i="4" s="1"/>
  <c r="K113" i="4"/>
  <c r="L113" i="4" s="1"/>
  <c r="K114" i="4"/>
  <c r="L114" i="4" s="1"/>
  <c r="K115" i="4"/>
  <c r="L115" i="4" s="1"/>
  <c r="K116" i="4"/>
  <c r="L116" i="4" s="1"/>
  <c r="K117" i="4"/>
  <c r="L117" i="4" s="1"/>
  <c r="K118" i="4"/>
  <c r="L118" i="4" s="1"/>
  <c r="K119" i="4"/>
  <c r="L119" i="4" s="1"/>
  <c r="K120" i="4"/>
  <c r="L120" i="4" s="1"/>
  <c r="K121" i="4"/>
  <c r="L121" i="4" s="1"/>
  <c r="K122" i="4"/>
  <c r="L122" i="4" s="1"/>
  <c r="K123" i="4"/>
  <c r="L123" i="4" s="1"/>
  <c r="K124" i="4"/>
  <c r="L124" i="4" s="1"/>
  <c r="K125" i="4"/>
  <c r="L125" i="4" s="1"/>
  <c r="K126" i="4"/>
  <c r="L126" i="4" s="1"/>
  <c r="K127" i="4"/>
  <c r="L127" i="4" s="1"/>
  <c r="K128" i="4"/>
  <c r="L128" i="4" s="1"/>
  <c r="K129" i="4"/>
  <c r="L129" i="4" s="1"/>
  <c r="K130" i="4"/>
  <c r="L130" i="4" s="1"/>
  <c r="K131" i="4"/>
  <c r="L131" i="4" s="1"/>
  <c r="K132" i="4"/>
  <c r="L132" i="4" s="1"/>
  <c r="K133" i="4"/>
  <c r="L133" i="4" s="1"/>
  <c r="K134" i="4"/>
  <c r="L134" i="4" s="1"/>
  <c r="K135" i="4"/>
  <c r="L135" i="4" s="1"/>
  <c r="K136" i="4"/>
  <c r="L136" i="4" s="1"/>
  <c r="K137" i="4"/>
  <c r="L137" i="4" s="1"/>
  <c r="K138" i="4"/>
  <c r="L138" i="4" s="1"/>
  <c r="K139" i="4"/>
  <c r="L139" i="4" s="1"/>
  <c r="K140" i="4"/>
  <c r="L140" i="4" s="1"/>
  <c r="K141" i="4"/>
  <c r="L141" i="4" s="1"/>
  <c r="K142" i="4"/>
  <c r="L142" i="4" s="1"/>
  <c r="K143" i="4"/>
  <c r="L143" i="4" s="1"/>
  <c r="K144" i="4"/>
  <c r="L144" i="4" s="1"/>
  <c r="K145" i="4"/>
  <c r="L145" i="4" s="1"/>
  <c r="K146" i="4"/>
  <c r="L146" i="4" s="1"/>
  <c r="K147" i="4"/>
  <c r="L147" i="4" s="1"/>
  <c r="K148" i="4"/>
  <c r="L148" i="4" s="1"/>
  <c r="K149" i="4"/>
  <c r="L149" i="4" s="1"/>
  <c r="K150" i="4"/>
  <c r="L150" i="4" s="1"/>
  <c r="K151" i="4"/>
  <c r="L151" i="4" s="1"/>
  <c r="K152" i="4"/>
  <c r="L152" i="4" s="1"/>
  <c r="K153" i="4"/>
  <c r="L153" i="4" s="1"/>
  <c r="K154" i="4"/>
  <c r="L154" i="4" s="1"/>
  <c r="K155" i="4"/>
  <c r="L155" i="4" s="1"/>
  <c r="K156" i="4"/>
  <c r="L156" i="4" s="1"/>
  <c r="K157" i="4"/>
  <c r="L157" i="4" s="1"/>
  <c r="K158" i="4"/>
  <c r="L158" i="4" s="1"/>
  <c r="K159" i="4"/>
  <c r="L159" i="4" s="1"/>
  <c r="K160" i="4"/>
  <c r="L160" i="4" s="1"/>
  <c r="K161" i="4"/>
  <c r="L161" i="4" s="1"/>
  <c r="K162" i="4"/>
  <c r="L162" i="4" s="1"/>
  <c r="K163" i="4"/>
  <c r="L163" i="4" s="1"/>
  <c r="K164" i="4"/>
  <c r="L164" i="4" s="1"/>
  <c r="K165" i="4"/>
  <c r="L165" i="4" s="1"/>
  <c r="K166" i="4"/>
  <c r="L166" i="4" s="1"/>
  <c r="K167" i="4"/>
  <c r="L167" i="4" s="1"/>
  <c r="K168" i="4"/>
  <c r="L168" i="4" s="1"/>
  <c r="K169" i="4"/>
  <c r="L169" i="4" s="1"/>
  <c r="K170" i="4"/>
  <c r="L170" i="4" s="1"/>
  <c r="K171" i="4"/>
  <c r="L171" i="4" s="1"/>
  <c r="K172" i="4"/>
  <c r="L172" i="4" s="1"/>
  <c r="K173" i="4"/>
  <c r="L173" i="4" s="1"/>
  <c r="K174" i="4"/>
  <c r="L174" i="4" s="1"/>
  <c r="K175" i="4"/>
  <c r="L175" i="4" s="1"/>
  <c r="K176" i="4"/>
  <c r="L176" i="4" s="1"/>
  <c r="K177" i="4"/>
  <c r="L177" i="4" s="1"/>
  <c r="K178" i="4"/>
  <c r="L178" i="4" s="1"/>
  <c r="K179" i="4"/>
  <c r="L179" i="4" s="1"/>
  <c r="K180" i="4"/>
  <c r="L180" i="4" s="1"/>
  <c r="K181" i="4"/>
  <c r="L181" i="4" s="1"/>
  <c r="K182" i="4"/>
  <c r="L182" i="4" s="1"/>
  <c r="K183" i="4"/>
  <c r="L183" i="4" s="1"/>
  <c r="K184" i="4"/>
  <c r="L184" i="4" s="1"/>
  <c r="K185" i="4"/>
  <c r="L185" i="4" s="1"/>
  <c r="K186" i="4"/>
  <c r="L186" i="4" s="1"/>
  <c r="K187" i="4"/>
  <c r="L187" i="4" s="1"/>
  <c r="K188" i="4"/>
  <c r="L188" i="4" s="1"/>
  <c r="K189" i="4"/>
  <c r="L189" i="4" s="1"/>
  <c r="K190" i="4"/>
  <c r="L190" i="4" s="1"/>
  <c r="K191" i="4"/>
  <c r="L191" i="4" s="1"/>
  <c r="K192" i="4"/>
  <c r="L192" i="4" s="1"/>
  <c r="K193" i="4"/>
  <c r="L193" i="4" s="1"/>
  <c r="K194" i="4"/>
  <c r="L194" i="4" s="1"/>
  <c r="K195" i="4"/>
  <c r="L195" i="4" s="1"/>
  <c r="K196" i="4"/>
  <c r="L196" i="4" s="1"/>
  <c r="K197" i="4"/>
  <c r="L197" i="4" s="1"/>
  <c r="K198" i="4"/>
  <c r="L198" i="4" s="1"/>
  <c r="K199" i="4"/>
  <c r="L199" i="4" s="1"/>
  <c r="K200" i="4"/>
  <c r="L200" i="4" s="1"/>
  <c r="K201" i="4"/>
  <c r="L201" i="4" s="1"/>
  <c r="K202" i="4"/>
  <c r="L202" i="4" s="1"/>
  <c r="K203" i="4"/>
  <c r="L203" i="4" s="1"/>
  <c r="K204" i="4"/>
  <c r="L204" i="4" s="1"/>
  <c r="K205" i="4"/>
  <c r="L205" i="4" s="1"/>
  <c r="K206" i="4"/>
  <c r="L206" i="4" s="1"/>
  <c r="K207" i="4"/>
  <c r="L207" i="4" s="1"/>
  <c r="K208" i="4"/>
  <c r="L208" i="4" s="1"/>
  <c r="K209" i="4"/>
  <c r="L209" i="4" s="1"/>
  <c r="K210" i="4"/>
  <c r="L210" i="4" s="1"/>
  <c r="K211" i="4"/>
  <c r="L211" i="4" s="1"/>
  <c r="K212" i="4"/>
  <c r="L212" i="4" s="1"/>
  <c r="K213" i="4"/>
  <c r="L213" i="4" s="1"/>
  <c r="K214" i="4"/>
  <c r="L214" i="4" s="1"/>
  <c r="K215" i="4"/>
  <c r="L215" i="4" s="1"/>
  <c r="K216" i="4"/>
  <c r="L216" i="4" s="1"/>
  <c r="K217" i="4"/>
  <c r="L217" i="4" s="1"/>
  <c r="K218" i="4"/>
  <c r="L218" i="4" s="1"/>
  <c r="K219" i="4"/>
  <c r="L219" i="4" s="1"/>
  <c r="K220" i="4"/>
  <c r="L220" i="4" s="1"/>
  <c r="K221" i="4"/>
  <c r="L221" i="4" s="1"/>
  <c r="K222" i="4"/>
  <c r="L222" i="4" s="1"/>
  <c r="K223" i="4"/>
  <c r="L223" i="4" s="1"/>
  <c r="K224" i="4"/>
  <c r="L224" i="4" s="1"/>
  <c r="K225" i="4"/>
  <c r="L225" i="4" s="1"/>
  <c r="K226" i="4"/>
  <c r="L226" i="4" s="1"/>
  <c r="K227" i="4"/>
  <c r="L227" i="4" s="1"/>
  <c r="K228" i="4"/>
  <c r="L228" i="4" s="1"/>
  <c r="K229" i="4"/>
  <c r="L229" i="4" s="1"/>
  <c r="K230" i="4"/>
  <c r="L230" i="4" s="1"/>
  <c r="K231" i="4"/>
  <c r="L231" i="4" s="1"/>
  <c r="K232" i="4"/>
  <c r="L232" i="4" s="1"/>
  <c r="K233" i="4"/>
  <c r="L233" i="4" s="1"/>
  <c r="K234" i="4"/>
  <c r="L234" i="4" s="1"/>
  <c r="K235" i="4"/>
  <c r="L235" i="4" s="1"/>
  <c r="K236" i="4"/>
  <c r="L236" i="4" s="1"/>
  <c r="K237" i="4"/>
  <c r="L237" i="4" s="1"/>
  <c r="K238" i="4"/>
  <c r="L238" i="4" s="1"/>
  <c r="K239" i="4"/>
  <c r="L239" i="4" s="1"/>
  <c r="K240" i="4"/>
  <c r="L240" i="4" s="1"/>
  <c r="K241" i="4"/>
  <c r="L241" i="4" s="1"/>
  <c r="K242" i="4"/>
  <c r="L242" i="4" s="1"/>
  <c r="K243" i="4"/>
  <c r="L243" i="4" s="1"/>
  <c r="K244" i="4"/>
  <c r="L244" i="4" s="1"/>
  <c r="K245" i="4"/>
  <c r="L245" i="4" s="1"/>
  <c r="K246" i="4"/>
  <c r="L246" i="4" s="1"/>
  <c r="K247" i="4"/>
  <c r="L247" i="4" s="1"/>
  <c r="K248" i="4"/>
  <c r="L248" i="4" s="1"/>
  <c r="K249" i="4"/>
  <c r="L249" i="4" s="1"/>
  <c r="K250" i="4"/>
  <c r="L250" i="4" s="1"/>
  <c r="K251" i="4"/>
  <c r="L251" i="4" s="1"/>
  <c r="K252" i="4"/>
  <c r="L252" i="4" s="1"/>
  <c r="K253" i="4"/>
  <c r="L253" i="4" s="1"/>
  <c r="K254" i="4"/>
  <c r="L254" i="4" s="1"/>
  <c r="K255" i="4"/>
  <c r="L255" i="4" s="1"/>
  <c r="K256" i="4"/>
  <c r="L256" i="4" s="1"/>
  <c r="K257" i="4"/>
  <c r="L257" i="4" s="1"/>
  <c r="K258" i="4"/>
  <c r="L258" i="4" s="1"/>
  <c r="K259" i="4"/>
  <c r="L259" i="4" s="1"/>
  <c r="K260" i="4"/>
  <c r="L260" i="4" s="1"/>
  <c r="K261" i="4"/>
  <c r="L261" i="4" s="1"/>
  <c r="K262" i="4"/>
  <c r="L262" i="4" s="1"/>
  <c r="K263" i="4"/>
  <c r="L263" i="4" s="1"/>
  <c r="K264" i="4"/>
  <c r="L264" i="4" s="1"/>
  <c r="K265" i="4"/>
  <c r="L265" i="4" s="1"/>
  <c r="K266" i="4"/>
  <c r="L266" i="4" s="1"/>
  <c r="K267" i="4"/>
  <c r="L267" i="4" s="1"/>
  <c r="K268" i="4"/>
  <c r="L268" i="4" s="1"/>
  <c r="K269" i="4"/>
  <c r="L269" i="4" s="1"/>
  <c r="K270" i="4"/>
  <c r="L270" i="4" s="1"/>
  <c r="K271" i="4"/>
  <c r="L271" i="4" s="1"/>
  <c r="K272" i="4"/>
  <c r="L272" i="4" s="1"/>
  <c r="K273" i="4"/>
  <c r="L273" i="4" s="1"/>
  <c r="K274" i="4"/>
  <c r="L274" i="4" s="1"/>
  <c r="K275" i="4"/>
  <c r="L275" i="4" s="1"/>
  <c r="K276" i="4"/>
  <c r="L276" i="4" s="1"/>
  <c r="K277" i="4"/>
  <c r="L277" i="4" s="1"/>
  <c r="K278" i="4"/>
  <c r="L278" i="4" s="1"/>
  <c r="K279" i="4"/>
  <c r="L279" i="4" s="1"/>
  <c r="K280" i="4"/>
  <c r="L280" i="4" s="1"/>
  <c r="K281" i="4"/>
  <c r="L281" i="4" s="1"/>
  <c r="K282" i="4"/>
  <c r="L282" i="4" s="1"/>
  <c r="K283" i="4"/>
  <c r="L283" i="4" s="1"/>
  <c r="K284" i="4"/>
  <c r="L284" i="4" s="1"/>
  <c r="K285" i="4"/>
  <c r="L285" i="4" s="1"/>
  <c r="K286" i="4"/>
  <c r="L286" i="4" s="1"/>
  <c r="K287" i="4"/>
  <c r="L287" i="4" s="1"/>
  <c r="K288" i="4"/>
  <c r="L288" i="4" s="1"/>
  <c r="K289" i="4"/>
  <c r="L289" i="4" s="1"/>
  <c r="K290" i="4"/>
  <c r="L290" i="4" s="1"/>
  <c r="K291" i="4"/>
  <c r="L291" i="4" s="1"/>
  <c r="K292" i="4"/>
  <c r="L292" i="4" s="1"/>
  <c r="K293" i="4"/>
  <c r="L293" i="4" s="1"/>
  <c r="K294" i="4"/>
  <c r="L294" i="4" s="1"/>
  <c r="K295" i="4"/>
  <c r="L295" i="4" s="1"/>
  <c r="K296" i="4"/>
  <c r="L296" i="4" s="1"/>
  <c r="K297" i="4"/>
  <c r="L297" i="4" s="1"/>
  <c r="K298" i="4"/>
  <c r="L298" i="4" s="1"/>
  <c r="K299" i="4"/>
  <c r="L299" i="4" s="1"/>
  <c r="K300" i="4"/>
  <c r="L300" i="4" s="1"/>
  <c r="K301" i="4"/>
  <c r="L301" i="4" s="1"/>
  <c r="K302" i="4"/>
  <c r="L302" i="4" s="1"/>
  <c r="K303" i="4"/>
  <c r="L303" i="4" s="1"/>
  <c r="K304" i="4"/>
  <c r="L304" i="4" s="1"/>
  <c r="K305" i="4"/>
  <c r="L305" i="4" s="1"/>
  <c r="K306" i="4"/>
  <c r="L306" i="4" s="1"/>
  <c r="K307" i="4"/>
  <c r="L307" i="4" s="1"/>
  <c r="K308" i="4"/>
  <c r="L308" i="4" s="1"/>
  <c r="K309" i="4"/>
  <c r="L309" i="4" s="1"/>
  <c r="K310" i="4"/>
  <c r="L310" i="4" s="1"/>
  <c r="K311" i="4"/>
  <c r="L311" i="4" s="1"/>
  <c r="K312" i="4"/>
  <c r="L312" i="4" s="1"/>
  <c r="K313" i="4"/>
  <c r="L313" i="4" s="1"/>
  <c r="K314" i="4"/>
  <c r="L314" i="4" s="1"/>
  <c r="K315" i="4"/>
  <c r="L315" i="4" s="1"/>
  <c r="K316" i="4"/>
  <c r="L316" i="4" s="1"/>
  <c r="K317" i="4"/>
  <c r="L317" i="4" s="1"/>
  <c r="K318" i="4"/>
  <c r="L318" i="4" s="1"/>
  <c r="K319" i="4"/>
  <c r="L319" i="4" s="1"/>
  <c r="K320" i="4"/>
  <c r="L320" i="4" s="1"/>
  <c r="K321" i="4"/>
  <c r="L321" i="4" s="1"/>
  <c r="K322" i="4"/>
  <c r="L322" i="4" s="1"/>
  <c r="K323" i="4"/>
  <c r="L323" i="4" s="1"/>
  <c r="K324" i="4"/>
  <c r="L324" i="4" s="1"/>
  <c r="K325" i="4"/>
  <c r="L325" i="4" s="1"/>
  <c r="K326" i="4"/>
  <c r="L326" i="4" s="1"/>
  <c r="K327" i="4"/>
  <c r="L327" i="4" s="1"/>
  <c r="K328" i="4"/>
  <c r="L328" i="4" s="1"/>
  <c r="K329" i="4"/>
  <c r="L329" i="4" s="1"/>
  <c r="K330" i="4"/>
  <c r="L330" i="4" s="1"/>
  <c r="K331" i="4"/>
  <c r="L331" i="4" s="1"/>
  <c r="K332" i="4"/>
  <c r="L332" i="4" s="1"/>
  <c r="K333" i="4"/>
  <c r="L333" i="4" s="1"/>
  <c r="K334" i="4"/>
  <c r="L334" i="4" s="1"/>
  <c r="K335" i="4"/>
  <c r="L335" i="4" s="1"/>
  <c r="K336" i="4"/>
  <c r="L336" i="4" s="1"/>
  <c r="K337" i="4"/>
  <c r="L337" i="4" s="1"/>
  <c r="K338" i="4"/>
  <c r="L338" i="4" s="1"/>
  <c r="K339" i="4"/>
  <c r="L339" i="4" s="1"/>
  <c r="K340" i="4"/>
  <c r="L340" i="4" s="1"/>
  <c r="K341" i="4"/>
  <c r="L341" i="4" s="1"/>
  <c r="K342" i="4"/>
  <c r="L342" i="4" s="1"/>
  <c r="K343" i="4"/>
  <c r="L343" i="4" s="1"/>
  <c r="K344" i="4"/>
  <c r="L344" i="4" s="1"/>
  <c r="K345" i="4"/>
  <c r="L345" i="4" s="1"/>
  <c r="K346" i="4"/>
  <c r="L346" i="4" s="1"/>
  <c r="K347" i="4"/>
  <c r="L347" i="4" s="1"/>
  <c r="K348" i="4"/>
  <c r="L348" i="4" s="1"/>
  <c r="K349" i="4"/>
  <c r="L349" i="4" s="1"/>
  <c r="K350" i="4"/>
  <c r="L350" i="4" s="1"/>
  <c r="K351" i="4"/>
  <c r="L351" i="4" s="1"/>
  <c r="K352" i="4"/>
  <c r="L352" i="4" s="1"/>
  <c r="K353" i="4"/>
  <c r="L353" i="4" s="1"/>
  <c r="K354" i="4"/>
  <c r="L354" i="4" s="1"/>
  <c r="K355" i="4"/>
  <c r="L355" i="4" s="1"/>
  <c r="K356" i="4"/>
  <c r="L356" i="4" s="1"/>
  <c r="K357" i="4"/>
  <c r="L357" i="4" s="1"/>
  <c r="K358" i="4"/>
  <c r="L358" i="4" s="1"/>
  <c r="K359" i="4"/>
  <c r="L359" i="4" s="1"/>
  <c r="K360" i="4"/>
  <c r="L360" i="4" s="1"/>
  <c r="K361" i="4"/>
  <c r="L361" i="4" s="1"/>
  <c r="K362" i="4"/>
  <c r="L362" i="4" s="1"/>
  <c r="K363" i="4"/>
  <c r="L363" i="4" s="1"/>
  <c r="K364" i="4"/>
  <c r="L364" i="4" s="1"/>
  <c r="K365" i="4"/>
  <c r="L365" i="4" s="1"/>
  <c r="K366" i="4"/>
  <c r="L366" i="4" s="1"/>
  <c r="K367" i="4"/>
  <c r="L367" i="4" s="1"/>
  <c r="K368" i="4"/>
  <c r="L368" i="4" s="1"/>
  <c r="K369" i="4"/>
  <c r="L369" i="4" s="1"/>
  <c r="K370" i="4"/>
  <c r="L370" i="4" s="1"/>
  <c r="K371" i="4"/>
  <c r="L371" i="4" s="1"/>
  <c r="K372" i="4"/>
  <c r="L372" i="4" s="1"/>
  <c r="K373" i="4"/>
  <c r="L373" i="4" s="1"/>
  <c r="K374" i="4"/>
  <c r="L374" i="4" s="1"/>
  <c r="K375" i="4"/>
  <c r="L375" i="4" s="1"/>
  <c r="K376" i="4"/>
  <c r="L376" i="4" s="1"/>
  <c r="K377" i="4"/>
  <c r="L377" i="4" s="1"/>
  <c r="K378" i="4"/>
  <c r="L378" i="4" s="1"/>
  <c r="K379" i="4"/>
  <c r="L379" i="4" s="1"/>
  <c r="K380" i="4"/>
  <c r="L380" i="4" s="1"/>
  <c r="K381" i="4"/>
  <c r="L381" i="4" s="1"/>
  <c r="K382" i="4"/>
  <c r="L382" i="4" s="1"/>
  <c r="K383" i="4"/>
  <c r="L383" i="4" s="1"/>
  <c r="K384" i="4"/>
  <c r="L384" i="4" s="1"/>
  <c r="K385" i="4"/>
  <c r="L385" i="4" s="1"/>
  <c r="K386" i="4"/>
  <c r="L386" i="4" s="1"/>
  <c r="K387" i="4"/>
  <c r="L387" i="4" s="1"/>
  <c r="K388" i="4"/>
  <c r="L388" i="4" s="1"/>
  <c r="K389" i="4"/>
  <c r="L389" i="4" s="1"/>
  <c r="K390" i="4"/>
  <c r="L390" i="4" s="1"/>
  <c r="K391" i="4"/>
  <c r="L391" i="4" s="1"/>
  <c r="K392" i="4"/>
  <c r="L392" i="4" s="1"/>
  <c r="K393" i="4"/>
  <c r="L393" i="4" s="1"/>
  <c r="K394" i="4"/>
  <c r="L394" i="4" s="1"/>
  <c r="K395" i="4"/>
  <c r="L395" i="4" s="1"/>
  <c r="K396" i="4"/>
  <c r="L396" i="4" s="1"/>
  <c r="K397" i="4"/>
  <c r="L397" i="4" s="1"/>
  <c r="K398" i="4"/>
  <c r="L398" i="4" s="1"/>
  <c r="K399" i="4"/>
  <c r="L399" i="4" s="1"/>
  <c r="K400" i="4"/>
  <c r="L400" i="4" s="1"/>
  <c r="K401" i="4"/>
  <c r="L401" i="4" s="1"/>
  <c r="K402" i="4"/>
  <c r="L402" i="4" s="1"/>
  <c r="K403" i="4"/>
  <c r="L403" i="4" s="1"/>
  <c r="K404" i="4"/>
  <c r="L404" i="4" s="1"/>
  <c r="K405" i="4"/>
  <c r="L405" i="4" s="1"/>
  <c r="K406" i="4"/>
  <c r="L406" i="4" s="1"/>
  <c r="K407" i="4"/>
  <c r="L407" i="4" s="1"/>
  <c r="K408" i="4"/>
  <c r="L408" i="4" s="1"/>
  <c r="K409" i="4"/>
  <c r="L409" i="4" s="1"/>
  <c r="K410" i="4"/>
  <c r="L410" i="4" s="1"/>
  <c r="K411" i="4"/>
  <c r="L411" i="4" s="1"/>
  <c r="K412" i="4"/>
  <c r="L412" i="4" s="1"/>
  <c r="K413" i="4"/>
  <c r="L413" i="4" s="1"/>
  <c r="K414" i="4"/>
  <c r="L414" i="4" s="1"/>
  <c r="K415" i="4"/>
  <c r="L415" i="4" s="1"/>
  <c r="K416" i="4"/>
  <c r="L416" i="4" s="1"/>
  <c r="K417" i="4"/>
  <c r="L417" i="4" s="1"/>
  <c r="K418" i="4"/>
  <c r="L418" i="4" s="1"/>
  <c r="K419" i="4"/>
  <c r="L419" i="4" s="1"/>
  <c r="K420" i="4"/>
  <c r="L420" i="4" s="1"/>
  <c r="K421" i="4"/>
  <c r="L421" i="4" s="1"/>
  <c r="K422" i="4"/>
  <c r="L422" i="4" s="1"/>
  <c r="K423" i="4"/>
  <c r="L423" i="4" s="1"/>
  <c r="K424" i="4"/>
  <c r="L424" i="4" s="1"/>
  <c r="K425" i="4"/>
  <c r="L425" i="4" s="1"/>
  <c r="K426" i="4"/>
  <c r="L426" i="4" s="1"/>
  <c r="K427" i="4"/>
  <c r="L427" i="4" s="1"/>
  <c r="K428" i="4"/>
  <c r="L428" i="4" s="1"/>
  <c r="K429" i="4"/>
  <c r="L429" i="4" s="1"/>
  <c r="K430" i="4"/>
  <c r="L430" i="4" s="1"/>
  <c r="K431" i="4"/>
  <c r="L431" i="4" s="1"/>
  <c r="K432" i="4"/>
  <c r="L432" i="4" s="1"/>
  <c r="K433" i="4"/>
  <c r="L433" i="4" s="1"/>
  <c r="K434" i="4"/>
  <c r="L434" i="4" s="1"/>
  <c r="K435" i="4"/>
  <c r="L435" i="4" s="1"/>
  <c r="K436" i="4"/>
  <c r="L436" i="4" s="1"/>
  <c r="K437" i="4"/>
  <c r="L437" i="4" s="1"/>
  <c r="K438" i="4"/>
  <c r="L438" i="4" s="1"/>
  <c r="K439" i="4"/>
  <c r="L439" i="4" s="1"/>
  <c r="K440" i="4"/>
  <c r="L440" i="4" s="1"/>
  <c r="K441" i="4"/>
  <c r="L441" i="4" s="1"/>
  <c r="K442" i="4"/>
  <c r="L442" i="4" s="1"/>
  <c r="K443" i="4"/>
  <c r="L443" i="4" s="1"/>
  <c r="K444" i="4"/>
  <c r="L444" i="4" s="1"/>
  <c r="K445" i="4"/>
  <c r="L445" i="4" s="1"/>
  <c r="K446" i="4"/>
  <c r="L446" i="4" s="1"/>
  <c r="K447" i="4"/>
  <c r="L447" i="4" s="1"/>
  <c r="K448" i="4"/>
  <c r="L448" i="4" s="1"/>
  <c r="K449" i="4"/>
  <c r="L449" i="4" s="1"/>
  <c r="K450" i="4"/>
  <c r="L450" i="4" s="1"/>
  <c r="K451" i="4"/>
  <c r="L451" i="4" s="1"/>
  <c r="K452" i="4"/>
  <c r="L452" i="4" s="1"/>
  <c r="K453" i="4"/>
  <c r="L453" i="4" s="1"/>
  <c r="K454" i="4"/>
  <c r="L454" i="4" s="1"/>
  <c r="K455" i="4"/>
  <c r="L455" i="4" s="1"/>
  <c r="K456" i="4"/>
  <c r="L456" i="4" s="1"/>
  <c r="K457" i="4"/>
  <c r="L457" i="4" s="1"/>
  <c r="K458" i="4"/>
  <c r="L458" i="4" s="1"/>
  <c r="K459" i="4"/>
  <c r="L459" i="4" s="1"/>
  <c r="K460" i="4"/>
  <c r="L460" i="4" s="1"/>
  <c r="K461" i="4"/>
  <c r="L461" i="4" s="1"/>
  <c r="K462" i="4"/>
  <c r="L462" i="4" s="1"/>
  <c r="K463" i="4"/>
  <c r="L463" i="4" s="1"/>
  <c r="K464" i="4"/>
  <c r="L464" i="4" s="1"/>
  <c r="K465" i="4"/>
  <c r="L465" i="4" s="1"/>
  <c r="K466" i="4"/>
  <c r="L466" i="4" s="1"/>
  <c r="K467" i="4"/>
  <c r="L467" i="4" s="1"/>
  <c r="K468" i="4"/>
  <c r="L468" i="4" s="1"/>
  <c r="K469" i="4"/>
  <c r="L469" i="4" s="1"/>
  <c r="K470" i="4"/>
  <c r="K471" i="4"/>
  <c r="K472" i="4"/>
  <c r="L472" i="4" s="1"/>
  <c r="K473" i="4"/>
  <c r="L473" i="4" s="1"/>
  <c r="K474" i="4"/>
  <c r="L474" i="4" s="1"/>
  <c r="K475" i="4"/>
  <c r="L475" i="4" s="1"/>
  <c r="K476" i="4"/>
  <c r="L476" i="4" s="1"/>
  <c r="K477" i="4"/>
  <c r="L477" i="4" s="1"/>
  <c r="K478" i="4"/>
  <c r="L478" i="4" s="1"/>
  <c r="K479" i="4"/>
  <c r="L479" i="4" s="1"/>
  <c r="K480" i="4"/>
  <c r="L480" i="4" s="1"/>
  <c r="K481" i="4"/>
  <c r="L481" i="4" s="1"/>
  <c r="K482" i="4"/>
  <c r="L482" i="4" s="1"/>
  <c r="K483" i="4"/>
  <c r="L483" i="4" s="1"/>
  <c r="K484" i="4"/>
  <c r="L484" i="4" s="1"/>
  <c r="K485" i="4"/>
  <c r="L485" i="4" s="1"/>
  <c r="K486" i="4"/>
  <c r="L486" i="4" s="1"/>
  <c r="K487" i="4"/>
  <c r="L487" i="4" s="1"/>
  <c r="K488" i="4"/>
  <c r="L488" i="4" s="1"/>
  <c r="K489" i="4"/>
  <c r="L489" i="4" s="1"/>
  <c r="K490" i="4"/>
  <c r="L490" i="4" s="1"/>
  <c r="K491" i="4"/>
  <c r="L491" i="4" s="1"/>
  <c r="K492" i="4"/>
  <c r="L492" i="4" s="1"/>
  <c r="K493" i="4"/>
  <c r="L493" i="4" s="1"/>
  <c r="K494" i="4"/>
  <c r="L494" i="4" s="1"/>
  <c r="K495" i="4"/>
  <c r="L495" i="4" s="1"/>
  <c r="K496" i="4"/>
  <c r="L496" i="4" s="1"/>
  <c r="K497" i="4"/>
  <c r="L497" i="4" s="1"/>
  <c r="K498" i="4"/>
  <c r="L498" i="4" s="1"/>
  <c r="K499" i="4"/>
  <c r="L499" i="4" s="1"/>
  <c r="K500" i="4"/>
  <c r="L500" i="4" s="1"/>
  <c r="K501" i="4"/>
  <c r="L501" i="4" s="1"/>
  <c r="K502" i="4"/>
  <c r="L502" i="4" s="1"/>
  <c r="K503" i="4"/>
  <c r="L503" i="4" s="1"/>
  <c r="K504" i="4"/>
  <c r="L504" i="4" s="1"/>
  <c r="K505" i="4"/>
  <c r="L505" i="4" s="1"/>
  <c r="K506" i="4"/>
  <c r="L506" i="4" s="1"/>
  <c r="K507" i="4"/>
  <c r="L507" i="4" s="1"/>
  <c r="K508" i="4"/>
  <c r="L508" i="4" s="1"/>
  <c r="K509" i="4"/>
  <c r="L509" i="4" s="1"/>
  <c r="K510" i="4"/>
  <c r="L510" i="4" s="1"/>
  <c r="K511" i="4"/>
  <c r="L511" i="4" s="1"/>
  <c r="K512" i="4"/>
  <c r="L512" i="4" s="1"/>
  <c r="K513" i="4"/>
  <c r="L513" i="4" s="1"/>
  <c r="K514" i="4"/>
  <c r="L514" i="4" s="1"/>
  <c r="K515" i="4"/>
  <c r="L515" i="4" s="1"/>
  <c r="K516" i="4"/>
  <c r="L516" i="4" s="1"/>
  <c r="K517" i="4"/>
  <c r="L517" i="4" s="1"/>
  <c r="K518" i="4"/>
  <c r="L518" i="4" s="1"/>
  <c r="K519" i="4"/>
  <c r="L519" i="4" s="1"/>
  <c r="K520" i="4"/>
  <c r="L520" i="4" s="1"/>
  <c r="K521" i="4"/>
  <c r="L521" i="4" s="1"/>
  <c r="K522" i="4"/>
  <c r="L522" i="4" s="1"/>
  <c r="K523" i="4"/>
  <c r="L523" i="4" s="1"/>
  <c r="K524" i="4"/>
  <c r="L524" i="4" s="1"/>
  <c r="K525" i="4"/>
  <c r="L525" i="4" s="1"/>
  <c r="K526" i="4"/>
  <c r="L526" i="4" s="1"/>
  <c r="K527" i="4"/>
  <c r="L527" i="4" s="1"/>
  <c r="K528" i="4"/>
  <c r="L528" i="4" s="1"/>
  <c r="K529" i="4"/>
  <c r="L529" i="4" s="1"/>
  <c r="K530" i="4"/>
  <c r="L530" i="4" s="1"/>
  <c r="K531" i="4"/>
  <c r="L531" i="4" s="1"/>
  <c r="K532" i="4"/>
  <c r="L532" i="4" s="1"/>
  <c r="K533" i="4"/>
  <c r="L533" i="4" s="1"/>
  <c r="K534" i="4"/>
  <c r="L534" i="4" s="1"/>
  <c r="K535" i="4"/>
  <c r="L535" i="4" s="1"/>
  <c r="K536" i="4"/>
  <c r="L536" i="4" s="1"/>
  <c r="K537" i="4"/>
  <c r="L537" i="4" s="1"/>
  <c r="K538" i="4"/>
  <c r="L538" i="4" s="1"/>
  <c r="K539" i="4"/>
  <c r="L539" i="4" s="1"/>
  <c r="K540" i="4"/>
  <c r="L540" i="4" s="1"/>
  <c r="K541" i="4"/>
  <c r="L541" i="4" s="1"/>
  <c r="K542" i="4"/>
  <c r="L542" i="4" s="1"/>
  <c r="K543" i="4"/>
  <c r="L543" i="4" s="1"/>
  <c r="K544" i="4"/>
  <c r="L544" i="4" s="1"/>
  <c r="K545" i="4"/>
  <c r="L545" i="4" s="1"/>
  <c r="K546" i="4"/>
  <c r="L546" i="4" s="1"/>
  <c r="K547" i="4"/>
  <c r="L547" i="4" s="1"/>
  <c r="K548" i="4"/>
  <c r="L548" i="4" s="1"/>
  <c r="K549" i="4"/>
  <c r="L549" i="4" s="1"/>
  <c r="K550" i="4"/>
  <c r="L550" i="4" s="1"/>
  <c r="K551" i="4"/>
  <c r="L551" i="4" s="1"/>
  <c r="K552" i="4"/>
  <c r="L552" i="4" s="1"/>
  <c r="K553" i="4"/>
  <c r="L553" i="4" s="1"/>
  <c r="K554" i="4"/>
  <c r="L554" i="4" s="1"/>
  <c r="K555" i="4"/>
  <c r="L555" i="4" s="1"/>
  <c r="K556" i="4"/>
  <c r="L556" i="4" s="1"/>
  <c r="K557" i="4"/>
  <c r="L557" i="4" s="1"/>
  <c r="K558" i="4"/>
  <c r="L558" i="4" s="1"/>
  <c r="K559" i="4"/>
  <c r="L559" i="4" s="1"/>
  <c r="K560" i="4"/>
  <c r="L560" i="4" s="1"/>
  <c r="K561" i="4"/>
  <c r="L561" i="4" s="1"/>
  <c r="K562" i="4"/>
  <c r="L562" i="4" s="1"/>
  <c r="K563" i="4"/>
  <c r="L563" i="4" s="1"/>
  <c r="K564" i="4"/>
  <c r="L564" i="4" s="1"/>
  <c r="K565" i="4"/>
  <c r="L565" i="4" s="1"/>
  <c r="K566" i="4"/>
  <c r="L566" i="4" s="1"/>
  <c r="K567" i="4"/>
  <c r="L567" i="4" s="1"/>
  <c r="K568" i="4"/>
  <c r="L568" i="4" s="1"/>
  <c r="K569" i="4"/>
  <c r="L569" i="4" s="1"/>
  <c r="K570" i="4"/>
  <c r="L570" i="4" s="1"/>
  <c r="K571" i="4"/>
  <c r="L571" i="4" s="1"/>
  <c r="K572" i="4"/>
  <c r="L572" i="4" s="1"/>
  <c r="K573" i="4"/>
  <c r="L573" i="4" s="1"/>
  <c r="K574" i="4"/>
  <c r="L574" i="4" s="1"/>
  <c r="K575" i="4"/>
  <c r="L575" i="4" s="1"/>
  <c r="K576" i="4"/>
  <c r="L576" i="4" s="1"/>
  <c r="K577" i="4"/>
  <c r="L577" i="4" s="1"/>
  <c r="K578" i="4"/>
  <c r="L578" i="4" s="1"/>
  <c r="K579" i="4"/>
  <c r="L579" i="4" s="1"/>
  <c r="K580" i="4"/>
  <c r="L580" i="4" s="1"/>
  <c r="K581" i="4"/>
  <c r="L581" i="4" s="1"/>
  <c r="K582" i="4"/>
  <c r="L582" i="4" s="1"/>
  <c r="K583" i="4"/>
  <c r="L583" i="4" s="1"/>
  <c r="K584" i="4"/>
  <c r="L584" i="4" s="1"/>
  <c r="K585" i="4"/>
  <c r="L585" i="4" s="1"/>
  <c r="K586" i="4"/>
  <c r="L586" i="4" s="1"/>
  <c r="K587" i="4"/>
  <c r="L587" i="4" s="1"/>
  <c r="K588" i="4"/>
  <c r="L588" i="4" s="1"/>
  <c r="K589" i="4"/>
  <c r="L589" i="4" s="1"/>
  <c r="K590" i="4"/>
  <c r="L590" i="4" s="1"/>
  <c r="K591" i="4"/>
  <c r="L591" i="4" s="1"/>
  <c r="K592" i="4"/>
  <c r="L592" i="4" s="1"/>
  <c r="K593" i="4"/>
  <c r="L593" i="4" s="1"/>
  <c r="K594" i="4"/>
  <c r="L594" i="4" s="1"/>
  <c r="K595" i="4"/>
  <c r="L595" i="4" s="1"/>
  <c r="K596" i="4"/>
  <c r="L596" i="4" s="1"/>
  <c r="K597" i="4"/>
  <c r="L597" i="4" s="1"/>
  <c r="K598" i="4"/>
  <c r="L598" i="4" s="1"/>
  <c r="K599" i="4"/>
  <c r="L599" i="4" s="1"/>
  <c r="K600" i="4"/>
  <c r="L600" i="4" s="1"/>
  <c r="K601" i="4"/>
  <c r="L601" i="4" s="1"/>
  <c r="K602" i="4"/>
  <c r="L602" i="4" s="1"/>
  <c r="K603" i="4"/>
  <c r="L603" i="4" s="1"/>
  <c r="K604" i="4"/>
  <c r="L604" i="4" s="1"/>
  <c r="K605" i="4"/>
  <c r="L605" i="4" s="1"/>
  <c r="K606" i="4"/>
  <c r="L606" i="4" s="1"/>
  <c r="K607" i="4"/>
  <c r="L607" i="4" s="1"/>
  <c r="K608" i="4"/>
  <c r="L608" i="4" s="1"/>
  <c r="K609" i="4"/>
  <c r="L609" i="4" s="1"/>
  <c r="K610" i="4"/>
  <c r="L610" i="4" s="1"/>
  <c r="K611" i="4"/>
  <c r="L611" i="4" s="1"/>
  <c r="K612" i="4"/>
  <c r="L612" i="4" s="1"/>
  <c r="K613" i="4"/>
  <c r="L613" i="4" s="1"/>
  <c r="K614" i="4"/>
  <c r="L614" i="4" s="1"/>
  <c r="K615" i="4"/>
  <c r="L615" i="4" s="1"/>
  <c r="K616" i="4"/>
  <c r="L616" i="4" s="1"/>
  <c r="K617" i="4"/>
  <c r="L617" i="4" s="1"/>
  <c r="K618" i="4"/>
  <c r="L618" i="4" s="1"/>
  <c r="K619" i="4"/>
  <c r="L619" i="4" s="1"/>
  <c r="K620" i="4"/>
  <c r="L620" i="4" s="1"/>
  <c r="K621" i="4"/>
  <c r="L621" i="4" s="1"/>
  <c r="K622" i="4"/>
  <c r="L622" i="4" s="1"/>
  <c r="K623" i="4"/>
  <c r="L623" i="4" s="1"/>
  <c r="K624" i="4"/>
  <c r="L624" i="4" s="1"/>
  <c r="K625" i="4"/>
  <c r="L625" i="4" s="1"/>
  <c r="K626" i="4"/>
  <c r="L626" i="4" s="1"/>
  <c r="K627" i="4"/>
  <c r="L627" i="4" s="1"/>
  <c r="K628" i="4"/>
  <c r="L628" i="4" s="1"/>
  <c r="K629" i="4"/>
  <c r="L629" i="4" s="1"/>
  <c r="K630" i="4"/>
  <c r="L630" i="4" s="1"/>
  <c r="K631" i="4"/>
  <c r="L631" i="4" s="1"/>
  <c r="K632" i="4"/>
  <c r="L632" i="4" s="1"/>
  <c r="K633" i="4"/>
  <c r="L633" i="4" s="1"/>
  <c r="K634" i="4"/>
  <c r="L634" i="4" s="1"/>
  <c r="K635" i="4"/>
  <c r="L635" i="4" s="1"/>
  <c r="K636" i="4"/>
  <c r="L636" i="4" s="1"/>
  <c r="K637" i="4"/>
  <c r="L637" i="4" s="1"/>
  <c r="K638" i="4"/>
  <c r="L638" i="4" s="1"/>
  <c r="K639" i="4"/>
  <c r="L639" i="4" s="1"/>
  <c r="K640" i="4"/>
  <c r="L640" i="4" s="1"/>
  <c r="K641" i="4"/>
  <c r="L641" i="4" s="1"/>
  <c r="K642" i="4"/>
  <c r="L642" i="4" s="1"/>
  <c r="K643" i="4"/>
  <c r="L643" i="4" s="1"/>
  <c r="K644" i="4"/>
  <c r="L644" i="4" s="1"/>
  <c r="K645" i="4"/>
  <c r="L645" i="4" s="1"/>
  <c r="K646" i="4"/>
  <c r="L646" i="4" s="1"/>
  <c r="K647" i="4"/>
  <c r="L647" i="4" s="1"/>
  <c r="K648" i="4"/>
  <c r="L648" i="4" s="1"/>
  <c r="K649" i="4"/>
  <c r="L649" i="4" s="1"/>
  <c r="K650" i="4"/>
  <c r="L650" i="4" s="1"/>
  <c r="K651" i="4"/>
  <c r="L651" i="4" s="1"/>
  <c r="K652" i="4"/>
  <c r="L652" i="4" s="1"/>
  <c r="K653" i="4"/>
  <c r="L653" i="4" s="1"/>
  <c r="K654" i="4"/>
  <c r="L654" i="4" s="1"/>
  <c r="K655" i="4"/>
  <c r="L655" i="4" s="1"/>
  <c r="K656" i="4"/>
  <c r="L656" i="4" s="1"/>
  <c r="K657" i="4"/>
  <c r="L657" i="4" s="1"/>
  <c r="K658" i="4"/>
  <c r="L658" i="4" s="1"/>
  <c r="K659" i="4"/>
  <c r="L659" i="4" s="1"/>
  <c r="K660" i="4"/>
  <c r="L660" i="4" s="1"/>
  <c r="K661" i="4"/>
  <c r="L661" i="4" s="1"/>
  <c r="K662" i="4"/>
  <c r="L662" i="4" s="1"/>
  <c r="K663" i="4"/>
  <c r="L663" i="4" s="1"/>
  <c r="K664" i="4"/>
  <c r="L664" i="4" s="1"/>
  <c r="K665" i="4"/>
  <c r="L665" i="4" s="1"/>
  <c r="K666" i="4"/>
  <c r="L666" i="4" s="1"/>
  <c r="K667" i="4"/>
  <c r="L667" i="4" s="1"/>
  <c r="K668" i="4"/>
  <c r="L668" i="4" s="1"/>
  <c r="K669" i="4"/>
  <c r="L669" i="4" s="1"/>
  <c r="K670" i="4"/>
  <c r="L670" i="4" s="1"/>
  <c r="K671" i="4"/>
  <c r="L671" i="4" s="1"/>
  <c r="K672" i="4"/>
  <c r="L672" i="4" s="1"/>
  <c r="K673" i="4"/>
  <c r="L673" i="4" s="1"/>
  <c r="K674" i="4"/>
  <c r="L674" i="4" s="1"/>
  <c r="K675" i="4"/>
  <c r="L675" i="4" s="1"/>
  <c r="K676" i="4"/>
  <c r="L676" i="4" s="1"/>
  <c r="K677" i="4"/>
  <c r="L677" i="4" s="1"/>
  <c r="K678" i="4"/>
  <c r="L678" i="4" s="1"/>
  <c r="K679" i="4"/>
  <c r="L679" i="4" s="1"/>
  <c r="K680" i="4"/>
  <c r="L680" i="4" s="1"/>
  <c r="K681" i="4"/>
  <c r="L681" i="4" s="1"/>
  <c r="K682" i="4"/>
  <c r="L682" i="4" s="1"/>
  <c r="K683" i="4"/>
  <c r="L683" i="4" s="1"/>
  <c r="K684" i="4"/>
  <c r="L684" i="4" s="1"/>
  <c r="K685" i="4"/>
  <c r="L685" i="4" s="1"/>
  <c r="K686" i="4"/>
  <c r="L686" i="4" s="1"/>
  <c r="K687" i="4"/>
  <c r="L687" i="4" s="1"/>
  <c r="K688" i="4"/>
  <c r="L688" i="4" s="1"/>
  <c r="K689" i="4"/>
  <c r="L689" i="4" s="1"/>
  <c r="K690" i="4"/>
  <c r="L690" i="4" s="1"/>
  <c r="K691" i="4"/>
  <c r="L691" i="4" s="1"/>
  <c r="K692" i="4"/>
  <c r="L692" i="4" s="1"/>
  <c r="K693" i="4"/>
  <c r="L693" i="4" s="1"/>
  <c r="K694" i="4"/>
  <c r="L694" i="4" s="1"/>
  <c r="K695" i="4"/>
  <c r="L695" i="4" s="1"/>
  <c r="K696" i="4"/>
  <c r="L696" i="4" s="1"/>
  <c r="K697" i="4"/>
  <c r="L697" i="4" s="1"/>
  <c r="K698" i="4"/>
  <c r="L698" i="4" s="1"/>
  <c r="K699" i="4"/>
  <c r="L699" i="4" s="1"/>
  <c r="K700" i="4"/>
  <c r="L700" i="4" s="1"/>
  <c r="K701" i="4"/>
  <c r="L701" i="4" s="1"/>
  <c r="K702" i="4"/>
  <c r="L702" i="4" s="1"/>
  <c r="K703" i="4"/>
  <c r="L703" i="4" s="1"/>
  <c r="K704" i="4"/>
  <c r="L704" i="4" s="1"/>
  <c r="K705" i="4"/>
  <c r="L705" i="4" s="1"/>
  <c r="K706" i="4"/>
  <c r="L706" i="4" s="1"/>
  <c r="K707" i="4"/>
  <c r="L707" i="4" s="1"/>
  <c r="K708" i="4"/>
  <c r="L708" i="4" s="1"/>
  <c r="K709" i="4"/>
  <c r="L709" i="4" s="1"/>
  <c r="K710" i="4"/>
  <c r="L710" i="4" s="1"/>
  <c r="K711" i="4"/>
  <c r="L711" i="4" s="1"/>
  <c r="K712" i="4"/>
  <c r="L712" i="4" s="1"/>
  <c r="K713" i="4"/>
  <c r="L713" i="4" s="1"/>
  <c r="K714" i="4"/>
  <c r="L714" i="4" s="1"/>
  <c r="K715" i="4"/>
  <c r="L715" i="4" s="1"/>
  <c r="K716" i="4"/>
  <c r="L716" i="4" s="1"/>
  <c r="K717" i="4"/>
  <c r="L717" i="4" s="1"/>
  <c r="K718" i="4"/>
  <c r="L718" i="4" s="1"/>
  <c r="K719" i="4"/>
  <c r="L719" i="4" s="1"/>
  <c r="K720" i="4"/>
  <c r="L720" i="4" s="1"/>
  <c r="K721" i="4"/>
  <c r="L721" i="4" s="1"/>
  <c r="K722" i="4"/>
  <c r="L722" i="4" s="1"/>
  <c r="K723" i="4"/>
  <c r="L723" i="4" s="1"/>
  <c r="K724" i="4"/>
  <c r="L724" i="4" s="1"/>
  <c r="K725" i="4"/>
  <c r="L725" i="4" s="1"/>
  <c r="K726" i="4"/>
  <c r="L726" i="4" s="1"/>
  <c r="K727" i="4"/>
  <c r="L727" i="4" s="1"/>
  <c r="K728" i="4"/>
  <c r="L728" i="4" s="1"/>
  <c r="K729" i="4"/>
  <c r="L729" i="4" s="1"/>
  <c r="K730" i="4"/>
  <c r="L730" i="4" s="1"/>
  <c r="K731" i="4"/>
  <c r="L731" i="4" s="1"/>
  <c r="K732" i="4"/>
  <c r="L732" i="4" s="1"/>
  <c r="K733" i="4"/>
  <c r="L733" i="4" s="1"/>
  <c r="K734" i="4"/>
  <c r="L734" i="4" s="1"/>
  <c r="K735" i="4"/>
  <c r="L735" i="4" s="1"/>
  <c r="K736" i="4"/>
  <c r="L736" i="4" s="1"/>
  <c r="K737" i="4"/>
  <c r="L737" i="4" s="1"/>
  <c r="K738" i="4"/>
  <c r="L738" i="4" s="1"/>
  <c r="K739" i="4"/>
  <c r="L739" i="4" s="1"/>
  <c r="K740" i="4"/>
  <c r="L740" i="4" s="1"/>
  <c r="K3" i="5"/>
  <c r="L3" i="5" s="1"/>
  <c r="K4" i="5"/>
  <c r="L4" i="5" s="1"/>
  <c r="K5" i="5"/>
  <c r="L5" i="5" s="1"/>
  <c r="K6" i="5"/>
  <c r="L6" i="5" s="1"/>
  <c r="K7" i="5"/>
  <c r="L7" i="5" s="1"/>
  <c r="K8" i="5"/>
  <c r="L8" i="5" s="1"/>
  <c r="K9" i="5"/>
  <c r="L9" i="5" s="1"/>
  <c r="K10" i="5"/>
  <c r="L10" i="5" s="1"/>
  <c r="K11" i="5"/>
  <c r="L11" i="5" s="1"/>
  <c r="K12" i="5"/>
  <c r="L12" i="5" s="1"/>
  <c r="K13" i="5"/>
  <c r="L13" i="5" s="1"/>
  <c r="K14" i="5"/>
  <c r="L14" i="5" s="1"/>
  <c r="K15" i="5"/>
  <c r="L15" i="5" s="1"/>
  <c r="K16" i="5"/>
  <c r="L16" i="5" s="1"/>
  <c r="K17" i="5"/>
  <c r="L17" i="5" s="1"/>
  <c r="K18" i="5"/>
  <c r="L18" i="5" s="1"/>
  <c r="K19" i="5"/>
  <c r="L19" i="5" s="1"/>
  <c r="K20" i="5"/>
  <c r="L20" i="5" s="1"/>
  <c r="K21" i="5"/>
  <c r="L21" i="5" s="1"/>
  <c r="K22" i="5"/>
  <c r="L22" i="5" s="1"/>
  <c r="K23" i="5"/>
  <c r="L23" i="5" s="1"/>
  <c r="K24" i="5"/>
  <c r="L24" i="5" s="1"/>
  <c r="K25" i="5"/>
  <c r="L25" i="5" s="1"/>
  <c r="K26" i="5"/>
  <c r="L26" i="5" s="1"/>
  <c r="K27" i="5"/>
  <c r="L27" i="5" s="1"/>
  <c r="K28" i="5"/>
  <c r="L28" i="5" s="1"/>
  <c r="K29" i="5"/>
  <c r="L29" i="5" s="1"/>
  <c r="K30" i="5"/>
  <c r="L30" i="5" s="1"/>
  <c r="K31" i="5"/>
  <c r="L31" i="5" s="1"/>
  <c r="K32" i="5"/>
  <c r="L32" i="5" s="1"/>
  <c r="K33" i="5"/>
  <c r="L33" i="5" s="1"/>
  <c r="K34" i="5"/>
  <c r="L34" i="5" s="1"/>
  <c r="K35" i="5"/>
  <c r="L35" i="5" s="1"/>
  <c r="K36" i="5"/>
  <c r="L36" i="5" s="1"/>
  <c r="K37" i="5"/>
  <c r="L37" i="5" s="1"/>
  <c r="K38" i="5"/>
  <c r="L38" i="5" s="1"/>
  <c r="K39" i="5"/>
  <c r="L39" i="5" s="1"/>
  <c r="K40" i="5"/>
  <c r="L40" i="5" s="1"/>
  <c r="K41" i="5"/>
  <c r="L41" i="5" s="1"/>
  <c r="K42" i="5"/>
  <c r="L42" i="5" s="1"/>
  <c r="K43" i="5"/>
  <c r="L43" i="5" s="1"/>
  <c r="K44" i="5"/>
  <c r="L44" i="5" s="1"/>
  <c r="K45" i="5"/>
  <c r="L45" i="5" s="1"/>
  <c r="K46" i="5"/>
  <c r="L46" i="5" s="1"/>
  <c r="K47" i="5"/>
  <c r="L47" i="5" s="1"/>
  <c r="K48" i="5"/>
  <c r="L48" i="5" s="1"/>
  <c r="K49" i="5"/>
  <c r="L49" i="5" s="1"/>
  <c r="K50" i="5"/>
  <c r="L50" i="5" s="1"/>
  <c r="K51" i="5"/>
  <c r="L51" i="5" s="1"/>
  <c r="K52" i="5"/>
  <c r="L52" i="5" s="1"/>
  <c r="K53" i="5"/>
  <c r="L53" i="5" s="1"/>
  <c r="K54" i="5"/>
  <c r="L54" i="5" s="1"/>
  <c r="K55" i="5"/>
  <c r="L55" i="5" s="1"/>
  <c r="K56" i="5"/>
  <c r="L56" i="5" s="1"/>
  <c r="K57" i="5"/>
  <c r="L57" i="5" s="1"/>
  <c r="K58" i="5"/>
  <c r="L58" i="5" s="1"/>
  <c r="K59" i="5"/>
  <c r="L59" i="5" s="1"/>
  <c r="K60" i="5"/>
  <c r="L60" i="5" s="1"/>
  <c r="K61" i="5"/>
  <c r="L61" i="5" s="1"/>
  <c r="K62" i="5"/>
  <c r="L62" i="5" s="1"/>
  <c r="K63" i="5"/>
  <c r="L63" i="5" s="1"/>
  <c r="K64" i="5"/>
  <c r="L64" i="5" s="1"/>
  <c r="K65" i="5"/>
  <c r="L65" i="5" s="1"/>
  <c r="K66" i="5"/>
  <c r="L66" i="5" s="1"/>
  <c r="K67" i="5"/>
  <c r="L67" i="5" s="1"/>
  <c r="K68" i="5"/>
  <c r="L68" i="5" s="1"/>
  <c r="K69" i="5"/>
  <c r="L69" i="5" s="1"/>
  <c r="K70" i="5"/>
  <c r="L70" i="5" s="1"/>
  <c r="K71" i="5"/>
  <c r="L71" i="5" s="1"/>
  <c r="K72" i="5"/>
  <c r="L72" i="5" s="1"/>
  <c r="K73" i="5"/>
  <c r="L73" i="5" s="1"/>
  <c r="K74" i="5"/>
  <c r="L74" i="5" s="1"/>
  <c r="K75" i="5"/>
  <c r="L75" i="5" s="1"/>
  <c r="K76" i="5"/>
  <c r="L76" i="5" s="1"/>
  <c r="K77" i="5"/>
  <c r="L77" i="5" s="1"/>
  <c r="K78" i="5"/>
  <c r="L78" i="5" s="1"/>
  <c r="K79" i="5"/>
  <c r="L79" i="5" s="1"/>
  <c r="K80" i="5"/>
  <c r="L80" i="5" s="1"/>
  <c r="K81" i="5"/>
  <c r="L81" i="5" s="1"/>
  <c r="K82" i="5"/>
  <c r="L82" i="5" s="1"/>
  <c r="K83" i="5"/>
  <c r="L83" i="5" s="1"/>
  <c r="K84" i="5"/>
  <c r="L84" i="5" s="1"/>
  <c r="K85" i="5"/>
  <c r="L85" i="5" s="1"/>
  <c r="K86" i="5"/>
  <c r="L86" i="5" s="1"/>
  <c r="K87" i="5"/>
  <c r="L87" i="5" s="1"/>
  <c r="K88" i="5"/>
  <c r="L88" i="5" s="1"/>
  <c r="K89" i="5"/>
  <c r="L89" i="5" s="1"/>
  <c r="K90" i="5"/>
  <c r="L90" i="5" s="1"/>
  <c r="K91" i="5"/>
  <c r="L91" i="5" s="1"/>
  <c r="K92" i="5"/>
  <c r="L92" i="5" s="1"/>
  <c r="K93" i="5"/>
  <c r="L93" i="5" s="1"/>
  <c r="K94" i="5"/>
  <c r="L94" i="5" s="1"/>
  <c r="K95" i="5"/>
  <c r="L95" i="5" s="1"/>
  <c r="K96" i="5"/>
  <c r="L96" i="5" s="1"/>
  <c r="K97" i="5"/>
  <c r="L97" i="5" s="1"/>
  <c r="K98" i="5"/>
  <c r="L98" i="5" s="1"/>
  <c r="K99" i="5"/>
  <c r="L99" i="5" s="1"/>
  <c r="K100" i="5"/>
  <c r="L100" i="5" s="1"/>
  <c r="K101" i="5"/>
  <c r="L101" i="5" s="1"/>
  <c r="K102" i="5"/>
  <c r="L102" i="5" s="1"/>
  <c r="K103" i="5"/>
  <c r="L103" i="5" s="1"/>
  <c r="K104" i="5"/>
  <c r="L104" i="5" s="1"/>
  <c r="K105" i="5"/>
  <c r="L105" i="5" s="1"/>
  <c r="K106" i="5"/>
  <c r="L106" i="5" s="1"/>
  <c r="K107" i="5"/>
  <c r="L107" i="5" s="1"/>
  <c r="K108" i="5"/>
  <c r="L108" i="5" s="1"/>
  <c r="K109" i="5"/>
  <c r="L109" i="5" s="1"/>
  <c r="K110" i="5"/>
  <c r="L110" i="5" s="1"/>
  <c r="K111" i="5"/>
  <c r="L111" i="5" s="1"/>
  <c r="K112" i="5"/>
  <c r="L112" i="5" s="1"/>
  <c r="K113" i="5"/>
  <c r="L113" i="5" s="1"/>
  <c r="K114" i="5"/>
  <c r="L114" i="5" s="1"/>
  <c r="K115" i="5"/>
  <c r="L115" i="5" s="1"/>
  <c r="K116" i="5"/>
  <c r="L116" i="5" s="1"/>
  <c r="K117" i="5"/>
  <c r="L117" i="5" s="1"/>
  <c r="K118" i="5"/>
  <c r="L118" i="5" s="1"/>
  <c r="K119" i="5"/>
  <c r="L119" i="5" s="1"/>
  <c r="K120" i="5"/>
  <c r="L120" i="5" s="1"/>
  <c r="K121" i="5"/>
  <c r="L121" i="5" s="1"/>
  <c r="K122" i="5"/>
  <c r="L122" i="5" s="1"/>
  <c r="K123" i="5"/>
  <c r="L123" i="5" s="1"/>
  <c r="K124" i="5"/>
  <c r="L124" i="5" s="1"/>
  <c r="K125" i="5"/>
  <c r="L125" i="5" s="1"/>
  <c r="K126" i="5"/>
  <c r="L126" i="5" s="1"/>
  <c r="K127" i="5"/>
  <c r="L127" i="5" s="1"/>
  <c r="K128" i="5"/>
  <c r="L128" i="5" s="1"/>
  <c r="K129" i="5"/>
  <c r="L129" i="5" s="1"/>
  <c r="K130" i="5"/>
  <c r="L130" i="5" s="1"/>
  <c r="K131" i="5"/>
  <c r="L131" i="5" s="1"/>
  <c r="K132" i="5"/>
  <c r="L132" i="5" s="1"/>
  <c r="K133" i="5"/>
  <c r="L133" i="5" s="1"/>
  <c r="K134" i="5"/>
  <c r="L134" i="5" s="1"/>
  <c r="K135" i="5"/>
  <c r="L135" i="5" s="1"/>
  <c r="K136" i="5"/>
  <c r="L136" i="5" s="1"/>
  <c r="K137" i="5"/>
  <c r="L137" i="5" s="1"/>
  <c r="K138" i="5"/>
  <c r="L138" i="5" s="1"/>
  <c r="K139" i="5"/>
  <c r="L139" i="5" s="1"/>
  <c r="K140" i="5"/>
  <c r="L140" i="5" s="1"/>
  <c r="K141" i="5"/>
  <c r="L141" i="5" s="1"/>
  <c r="K142" i="5"/>
  <c r="L142" i="5" s="1"/>
  <c r="K143" i="5"/>
  <c r="L143" i="5" s="1"/>
  <c r="K144" i="5"/>
  <c r="L144" i="5" s="1"/>
  <c r="K145" i="5"/>
  <c r="L145" i="5" s="1"/>
  <c r="K146" i="5"/>
  <c r="L146" i="5" s="1"/>
  <c r="K147" i="5"/>
  <c r="L147" i="5" s="1"/>
  <c r="K148" i="5"/>
  <c r="L148" i="5" s="1"/>
  <c r="K149" i="5"/>
  <c r="L149" i="5" s="1"/>
  <c r="K150" i="5"/>
  <c r="L150" i="5" s="1"/>
  <c r="K151" i="5"/>
  <c r="L151" i="5" s="1"/>
  <c r="K152" i="5"/>
  <c r="L152" i="5" s="1"/>
  <c r="K153" i="5"/>
  <c r="L153" i="5" s="1"/>
  <c r="K154" i="5"/>
  <c r="L154" i="5" s="1"/>
  <c r="K155" i="5"/>
  <c r="L155" i="5" s="1"/>
  <c r="K156" i="5"/>
  <c r="L156" i="5" s="1"/>
  <c r="K157" i="5"/>
  <c r="L157" i="5" s="1"/>
  <c r="K158" i="5"/>
  <c r="L158" i="5" s="1"/>
  <c r="K159" i="5"/>
  <c r="L159" i="5" s="1"/>
  <c r="K160" i="5"/>
  <c r="L160" i="5" s="1"/>
  <c r="K161" i="5"/>
  <c r="L161" i="5" s="1"/>
  <c r="K162" i="5"/>
  <c r="L162" i="5" s="1"/>
  <c r="K163" i="5"/>
  <c r="L163" i="5" s="1"/>
  <c r="K164" i="5"/>
  <c r="L164" i="5" s="1"/>
  <c r="K165" i="5"/>
  <c r="L165" i="5" s="1"/>
  <c r="K166" i="5"/>
  <c r="L166" i="5" s="1"/>
  <c r="K167" i="5"/>
  <c r="L167" i="5" s="1"/>
  <c r="K168" i="5"/>
  <c r="L168" i="5" s="1"/>
  <c r="K169" i="5"/>
  <c r="L169" i="5" s="1"/>
  <c r="K170" i="5"/>
  <c r="L170" i="5" s="1"/>
  <c r="K171" i="5"/>
  <c r="L171" i="5" s="1"/>
  <c r="K172" i="5"/>
  <c r="L172" i="5" s="1"/>
  <c r="K173" i="5"/>
  <c r="L173" i="5" s="1"/>
  <c r="K174" i="5"/>
  <c r="L174" i="5" s="1"/>
  <c r="K175" i="5"/>
  <c r="L175" i="5" s="1"/>
  <c r="K176" i="5"/>
  <c r="L176" i="5" s="1"/>
  <c r="K177" i="5"/>
  <c r="L177" i="5" s="1"/>
  <c r="K178" i="5"/>
  <c r="L178" i="5" s="1"/>
  <c r="K179" i="5"/>
  <c r="L179" i="5" s="1"/>
  <c r="K180" i="5"/>
  <c r="L180" i="5" s="1"/>
  <c r="K181" i="5"/>
  <c r="L181" i="5" s="1"/>
  <c r="K182" i="5"/>
  <c r="L182" i="5" s="1"/>
  <c r="K183" i="5"/>
  <c r="L183" i="5" s="1"/>
  <c r="K184" i="5"/>
  <c r="L184" i="5" s="1"/>
  <c r="K185" i="5"/>
  <c r="L185" i="5" s="1"/>
  <c r="K186" i="5"/>
  <c r="L186" i="5" s="1"/>
  <c r="K187" i="5"/>
  <c r="L187" i="5" s="1"/>
  <c r="K188" i="5"/>
  <c r="L188" i="5" s="1"/>
  <c r="K189" i="5"/>
  <c r="L189" i="5" s="1"/>
  <c r="K190" i="5"/>
  <c r="L190" i="5" s="1"/>
  <c r="K191" i="5"/>
  <c r="L191" i="5" s="1"/>
  <c r="K192" i="5"/>
  <c r="L192" i="5" s="1"/>
  <c r="K193" i="5"/>
  <c r="L193" i="5" s="1"/>
  <c r="K194" i="5"/>
  <c r="L194" i="5" s="1"/>
  <c r="K195" i="5"/>
  <c r="L195" i="5" s="1"/>
  <c r="K196" i="5"/>
  <c r="L196" i="5" s="1"/>
  <c r="K197" i="5"/>
  <c r="L197" i="5" s="1"/>
  <c r="K198" i="5"/>
  <c r="L198" i="5" s="1"/>
  <c r="K199" i="5"/>
  <c r="L199" i="5" s="1"/>
  <c r="K200" i="5"/>
  <c r="L200" i="5" s="1"/>
  <c r="K201" i="5"/>
  <c r="L201" i="5" s="1"/>
  <c r="K202" i="5"/>
  <c r="L202" i="5" s="1"/>
  <c r="K203" i="5"/>
  <c r="L203" i="5" s="1"/>
  <c r="K204" i="5"/>
  <c r="L204" i="5" s="1"/>
  <c r="K205" i="5"/>
  <c r="L205" i="5" s="1"/>
  <c r="K206" i="5"/>
  <c r="L206" i="5" s="1"/>
  <c r="K207" i="5"/>
  <c r="L207" i="5" s="1"/>
  <c r="K208" i="5"/>
  <c r="L208" i="5" s="1"/>
  <c r="K209" i="5"/>
  <c r="L209" i="5" s="1"/>
  <c r="K210" i="5"/>
  <c r="L210" i="5" s="1"/>
  <c r="K211" i="5"/>
  <c r="L211" i="5" s="1"/>
  <c r="K212" i="5"/>
  <c r="L212" i="5" s="1"/>
  <c r="K213" i="5"/>
  <c r="L213" i="5" s="1"/>
  <c r="K214" i="5"/>
  <c r="L214" i="5" s="1"/>
  <c r="K215" i="5"/>
  <c r="L215" i="5" s="1"/>
  <c r="K216" i="5"/>
  <c r="L216" i="5" s="1"/>
  <c r="K217" i="5"/>
  <c r="L217" i="5" s="1"/>
  <c r="K218" i="5"/>
  <c r="L218" i="5" s="1"/>
  <c r="K219" i="5"/>
  <c r="L219" i="5" s="1"/>
  <c r="K220" i="5"/>
  <c r="L220" i="5" s="1"/>
  <c r="K221" i="5"/>
  <c r="L221" i="5" s="1"/>
  <c r="K222" i="5"/>
  <c r="L222" i="5" s="1"/>
  <c r="K223" i="5"/>
  <c r="L223" i="5" s="1"/>
  <c r="K224" i="5"/>
  <c r="L224" i="5" s="1"/>
  <c r="K225" i="5"/>
  <c r="L225" i="5" s="1"/>
  <c r="K226" i="5"/>
  <c r="L226" i="5" s="1"/>
  <c r="K227" i="5"/>
  <c r="L227" i="5" s="1"/>
  <c r="K228" i="5"/>
  <c r="L228" i="5" s="1"/>
  <c r="K229" i="5"/>
  <c r="L229" i="5" s="1"/>
  <c r="K230" i="5"/>
  <c r="L230" i="5" s="1"/>
  <c r="K231" i="5"/>
  <c r="L231" i="5" s="1"/>
  <c r="K232" i="5"/>
  <c r="L232" i="5" s="1"/>
  <c r="K233" i="5"/>
  <c r="L233" i="5" s="1"/>
  <c r="K234" i="5"/>
  <c r="L234" i="5" s="1"/>
  <c r="K235" i="5"/>
  <c r="L235" i="5" s="1"/>
  <c r="K236" i="5"/>
  <c r="L236" i="5" s="1"/>
  <c r="K237" i="5"/>
  <c r="L237" i="5" s="1"/>
  <c r="K238" i="5"/>
  <c r="L238" i="5" s="1"/>
  <c r="K239" i="5"/>
  <c r="L239" i="5" s="1"/>
  <c r="K240" i="5"/>
  <c r="L240" i="5" s="1"/>
  <c r="K241" i="5"/>
  <c r="L241" i="5" s="1"/>
  <c r="K242" i="5"/>
  <c r="L242" i="5" s="1"/>
  <c r="K243" i="5"/>
  <c r="L243" i="5" s="1"/>
  <c r="K244" i="5"/>
  <c r="L244" i="5" s="1"/>
  <c r="K245" i="5"/>
  <c r="L245" i="5" s="1"/>
  <c r="K246" i="5"/>
  <c r="L246" i="5" s="1"/>
  <c r="K247" i="5"/>
  <c r="L247" i="5" s="1"/>
  <c r="K248" i="5"/>
  <c r="L248" i="5" s="1"/>
  <c r="K249" i="5"/>
  <c r="L249" i="5" s="1"/>
  <c r="K250" i="5"/>
  <c r="L250" i="5" s="1"/>
  <c r="K251" i="5"/>
  <c r="L251" i="5" s="1"/>
  <c r="K252" i="5"/>
  <c r="L252" i="5" s="1"/>
  <c r="K253" i="5"/>
  <c r="L253" i="5" s="1"/>
  <c r="K254" i="5"/>
  <c r="L254" i="5" s="1"/>
  <c r="K255" i="5"/>
  <c r="L255" i="5" s="1"/>
  <c r="K256" i="5"/>
  <c r="L256" i="5" s="1"/>
  <c r="K257" i="5"/>
  <c r="L257" i="5" s="1"/>
  <c r="K258" i="5"/>
  <c r="L258" i="5" s="1"/>
  <c r="K259" i="5"/>
  <c r="L259" i="5" s="1"/>
  <c r="K260" i="5"/>
  <c r="L260" i="5" s="1"/>
  <c r="K261" i="5"/>
  <c r="L261" i="5" s="1"/>
  <c r="K262" i="5"/>
  <c r="L262" i="5" s="1"/>
  <c r="K263" i="5"/>
  <c r="L263" i="5" s="1"/>
  <c r="K264" i="5"/>
  <c r="L264" i="5" s="1"/>
  <c r="K265" i="5"/>
  <c r="L265" i="5" s="1"/>
  <c r="K266" i="5"/>
  <c r="L266" i="5" s="1"/>
  <c r="K267" i="5"/>
  <c r="L267" i="5" s="1"/>
  <c r="K268" i="5"/>
  <c r="L268" i="5" s="1"/>
  <c r="K269" i="5"/>
  <c r="L269" i="5" s="1"/>
  <c r="K270" i="5"/>
  <c r="L270" i="5" s="1"/>
  <c r="K271" i="5"/>
  <c r="L271" i="5" s="1"/>
  <c r="K272" i="5"/>
  <c r="L272" i="5" s="1"/>
  <c r="K273" i="5"/>
  <c r="L273" i="5" s="1"/>
  <c r="K274" i="5"/>
  <c r="L274" i="5" s="1"/>
  <c r="K275" i="5"/>
  <c r="L275" i="5" s="1"/>
  <c r="K276" i="5"/>
  <c r="L276" i="5" s="1"/>
  <c r="K277" i="5"/>
  <c r="L277" i="5" s="1"/>
  <c r="K278" i="5"/>
  <c r="L278" i="5" s="1"/>
  <c r="K279" i="5"/>
  <c r="L279" i="5" s="1"/>
  <c r="K280" i="5"/>
  <c r="L280" i="5" s="1"/>
  <c r="K281" i="5"/>
  <c r="L281" i="5" s="1"/>
  <c r="K282" i="5"/>
  <c r="K283" i="5"/>
  <c r="L283" i="5" s="1"/>
  <c r="K284" i="5"/>
  <c r="L284" i="5" s="1"/>
  <c r="K285" i="5"/>
  <c r="L285" i="5" s="1"/>
  <c r="K286" i="5"/>
  <c r="L286" i="5" s="1"/>
  <c r="K287" i="5"/>
  <c r="L287" i="5" s="1"/>
  <c r="K288" i="5"/>
  <c r="L288" i="5" s="1"/>
  <c r="K289" i="5"/>
  <c r="L289" i="5" s="1"/>
  <c r="K290" i="5"/>
  <c r="L290" i="5" s="1"/>
  <c r="K291" i="5"/>
  <c r="L291" i="5" s="1"/>
  <c r="K292" i="5"/>
  <c r="L292" i="5" s="1"/>
  <c r="K293" i="5"/>
  <c r="L293" i="5" s="1"/>
  <c r="K294" i="5"/>
  <c r="L294" i="5" s="1"/>
  <c r="K295" i="5"/>
  <c r="L295" i="5" s="1"/>
  <c r="K296" i="5"/>
  <c r="L296" i="5" s="1"/>
  <c r="K297" i="5"/>
  <c r="L297" i="5" s="1"/>
  <c r="K298" i="5"/>
  <c r="L298" i="5" s="1"/>
  <c r="K299" i="5"/>
  <c r="L299" i="5" s="1"/>
  <c r="K300" i="5"/>
  <c r="L300" i="5" s="1"/>
  <c r="K301" i="5"/>
  <c r="L301" i="5" s="1"/>
  <c r="K302" i="5"/>
  <c r="L302" i="5" s="1"/>
  <c r="K303" i="5"/>
  <c r="L303" i="5" s="1"/>
  <c r="K304" i="5"/>
  <c r="L304" i="5" s="1"/>
  <c r="K305" i="5"/>
  <c r="L305" i="5" s="1"/>
  <c r="K306" i="5"/>
  <c r="L306" i="5" s="1"/>
  <c r="K307" i="5"/>
  <c r="L307" i="5" s="1"/>
  <c r="K308" i="5"/>
  <c r="L308" i="5" s="1"/>
  <c r="K309" i="5"/>
  <c r="L309" i="5" s="1"/>
  <c r="K310" i="5"/>
  <c r="L310" i="5" s="1"/>
  <c r="K311" i="5"/>
  <c r="L311" i="5" s="1"/>
  <c r="K312" i="5"/>
  <c r="L312" i="5" s="1"/>
  <c r="K313" i="5"/>
  <c r="L313" i="5" s="1"/>
  <c r="K314" i="5"/>
  <c r="L314" i="5" s="1"/>
  <c r="K315" i="5"/>
  <c r="L315" i="5" s="1"/>
  <c r="K316" i="5"/>
  <c r="L316" i="5" s="1"/>
  <c r="K317" i="5"/>
  <c r="L317" i="5" s="1"/>
  <c r="K318" i="5"/>
  <c r="L318" i="5" s="1"/>
  <c r="K319" i="5"/>
  <c r="L319" i="5" s="1"/>
  <c r="K320" i="5"/>
  <c r="L320" i="5" s="1"/>
  <c r="K321" i="5"/>
  <c r="L321" i="5" s="1"/>
  <c r="K322" i="5"/>
  <c r="L322" i="5" s="1"/>
  <c r="K323" i="5"/>
  <c r="L323" i="5" s="1"/>
  <c r="K324" i="5"/>
  <c r="L324" i="5" s="1"/>
  <c r="K325" i="5"/>
  <c r="L325" i="5" s="1"/>
  <c r="K326" i="5"/>
  <c r="L326" i="5" s="1"/>
  <c r="K327" i="5"/>
  <c r="L327" i="5" s="1"/>
  <c r="K328" i="5"/>
  <c r="L328" i="5" s="1"/>
  <c r="K329" i="5"/>
  <c r="L329" i="5" s="1"/>
  <c r="K330" i="5"/>
  <c r="L330" i="5" s="1"/>
  <c r="K331" i="5"/>
  <c r="L331" i="5" s="1"/>
  <c r="K332" i="5"/>
  <c r="K333" i="5"/>
  <c r="L333" i="5" s="1"/>
  <c r="K334" i="5"/>
  <c r="L334" i="5" s="1"/>
  <c r="K335" i="5"/>
  <c r="L335" i="5" s="1"/>
  <c r="K336" i="5"/>
  <c r="L336" i="5" s="1"/>
  <c r="K337" i="5"/>
  <c r="L337" i="5" s="1"/>
  <c r="K338" i="5"/>
  <c r="L338" i="5" s="1"/>
  <c r="K339" i="5"/>
  <c r="L339" i="5" s="1"/>
  <c r="K340" i="5"/>
  <c r="L340" i="5" s="1"/>
  <c r="K341" i="5"/>
  <c r="L341" i="5" s="1"/>
  <c r="K342" i="5"/>
  <c r="L342" i="5" s="1"/>
  <c r="K343" i="5"/>
  <c r="L343" i="5" s="1"/>
  <c r="K344" i="5"/>
  <c r="L344" i="5" s="1"/>
  <c r="K345" i="5"/>
  <c r="L345" i="5" s="1"/>
  <c r="K346" i="5"/>
  <c r="L346" i="5" s="1"/>
  <c r="K347" i="5"/>
  <c r="L347" i="5" s="1"/>
  <c r="K348" i="5"/>
  <c r="L348" i="5" s="1"/>
  <c r="K349" i="5"/>
  <c r="L349" i="5" s="1"/>
  <c r="K350" i="5"/>
  <c r="L350" i="5" s="1"/>
  <c r="K351" i="5"/>
  <c r="L351" i="5" s="1"/>
  <c r="K352" i="5"/>
  <c r="L352" i="5" s="1"/>
  <c r="K353" i="5"/>
  <c r="L353" i="5" s="1"/>
  <c r="K354" i="5"/>
  <c r="L354" i="5" s="1"/>
  <c r="K355" i="5"/>
  <c r="L355" i="5" s="1"/>
  <c r="K356" i="5"/>
  <c r="L356" i="5" s="1"/>
  <c r="K357" i="5"/>
  <c r="K358" i="5"/>
  <c r="L358" i="5" s="1"/>
  <c r="K359" i="5"/>
  <c r="L359" i="5" s="1"/>
  <c r="K360" i="5"/>
  <c r="L360" i="5" s="1"/>
  <c r="K361" i="5"/>
  <c r="L361" i="5" s="1"/>
  <c r="K362" i="5"/>
  <c r="L362" i="5" s="1"/>
  <c r="K363" i="5"/>
  <c r="L363" i="5" s="1"/>
  <c r="K364" i="5"/>
  <c r="L364" i="5" s="1"/>
  <c r="K365" i="5"/>
  <c r="L365" i="5" s="1"/>
  <c r="K366" i="5"/>
  <c r="L366" i="5" s="1"/>
  <c r="K367" i="5"/>
  <c r="L367" i="5" s="1"/>
  <c r="K368" i="5"/>
  <c r="L368" i="5" s="1"/>
  <c r="K369" i="5"/>
  <c r="L369" i="5" s="1"/>
  <c r="K370" i="5"/>
  <c r="L370" i="5" s="1"/>
  <c r="K371" i="5"/>
  <c r="L371" i="5" s="1"/>
  <c r="K372" i="5"/>
  <c r="L372" i="5" s="1"/>
  <c r="K373" i="5"/>
  <c r="L373" i="5" s="1"/>
  <c r="K374" i="5"/>
  <c r="L374" i="5" s="1"/>
  <c r="K375" i="5"/>
  <c r="L375" i="5" s="1"/>
  <c r="K376" i="5"/>
  <c r="L376" i="5" s="1"/>
  <c r="K377" i="5"/>
  <c r="L377" i="5" s="1"/>
  <c r="K378" i="5"/>
  <c r="L378" i="5" s="1"/>
  <c r="K379" i="5"/>
  <c r="L379" i="5" s="1"/>
  <c r="K380" i="5"/>
  <c r="L380" i="5" s="1"/>
  <c r="K381" i="5"/>
  <c r="L381" i="5" s="1"/>
  <c r="K382" i="5"/>
  <c r="L382" i="5" s="1"/>
  <c r="K383" i="5"/>
  <c r="L383" i="5" s="1"/>
  <c r="K384" i="5"/>
  <c r="L384" i="5" s="1"/>
  <c r="K385" i="5"/>
  <c r="L385" i="5" s="1"/>
  <c r="K386" i="5"/>
  <c r="L386" i="5" s="1"/>
  <c r="K387" i="5"/>
  <c r="L387" i="5" s="1"/>
  <c r="K388" i="5"/>
  <c r="L388" i="5" s="1"/>
  <c r="K389" i="5"/>
  <c r="L389" i="5" s="1"/>
  <c r="K390" i="5"/>
  <c r="L390" i="5" s="1"/>
  <c r="K391" i="5"/>
  <c r="L391" i="5" s="1"/>
  <c r="K392" i="5"/>
  <c r="L392" i="5" s="1"/>
  <c r="K393" i="5"/>
  <c r="L393" i="5" s="1"/>
  <c r="K394" i="5"/>
  <c r="L394" i="5" s="1"/>
  <c r="K395" i="5"/>
  <c r="L395" i="5" s="1"/>
  <c r="K396" i="5"/>
  <c r="L396" i="5" s="1"/>
  <c r="K397" i="5"/>
  <c r="L397" i="5" s="1"/>
  <c r="K398" i="5"/>
  <c r="L398" i="5" s="1"/>
  <c r="K399" i="5"/>
  <c r="L399" i="5" s="1"/>
  <c r="K400" i="5"/>
  <c r="L400" i="5" s="1"/>
  <c r="K401" i="5"/>
  <c r="L401" i="5" s="1"/>
  <c r="K402" i="5"/>
  <c r="L402" i="5" s="1"/>
  <c r="K403" i="5"/>
  <c r="L403" i="5" s="1"/>
  <c r="K404" i="5"/>
  <c r="L404" i="5" s="1"/>
  <c r="K405" i="5"/>
  <c r="L405" i="5" s="1"/>
  <c r="K406" i="5"/>
  <c r="L406" i="5" s="1"/>
  <c r="K407" i="5"/>
  <c r="L407" i="5" s="1"/>
  <c r="K408" i="5"/>
  <c r="L408" i="5" s="1"/>
  <c r="K409" i="5"/>
  <c r="L409" i="5" s="1"/>
  <c r="K410" i="5"/>
  <c r="L410" i="5" s="1"/>
  <c r="K411" i="5"/>
  <c r="L411" i="5" s="1"/>
  <c r="K412" i="5"/>
  <c r="L412" i="5" s="1"/>
  <c r="K413" i="5"/>
  <c r="L413" i="5" s="1"/>
  <c r="K414" i="5"/>
  <c r="L414" i="5" s="1"/>
  <c r="K415" i="5"/>
  <c r="L415" i="5" s="1"/>
  <c r="K416" i="5"/>
  <c r="L416" i="5" s="1"/>
  <c r="K417" i="5"/>
  <c r="L417" i="5" s="1"/>
  <c r="K418" i="5"/>
  <c r="L418" i="5" s="1"/>
  <c r="K419" i="5"/>
  <c r="L419" i="5" s="1"/>
  <c r="K420" i="5"/>
  <c r="L420" i="5" s="1"/>
  <c r="K421" i="5"/>
  <c r="L421" i="5" s="1"/>
  <c r="K422" i="5"/>
  <c r="L422" i="5" s="1"/>
  <c r="K423" i="5"/>
  <c r="L423" i="5" s="1"/>
  <c r="K424" i="5"/>
  <c r="L424" i="5" s="1"/>
  <c r="K425" i="5"/>
  <c r="L425" i="5" s="1"/>
  <c r="K426" i="5"/>
  <c r="L426" i="5" s="1"/>
  <c r="K427" i="5"/>
  <c r="L427" i="5" s="1"/>
  <c r="K428" i="5"/>
  <c r="L428" i="5" s="1"/>
  <c r="K429" i="5"/>
  <c r="L429" i="5" s="1"/>
  <c r="K430" i="5"/>
  <c r="L430" i="5" s="1"/>
  <c r="K431" i="5"/>
  <c r="L431" i="5" s="1"/>
  <c r="K432" i="5"/>
  <c r="L432" i="5" s="1"/>
  <c r="K433" i="5"/>
  <c r="L433" i="5" s="1"/>
  <c r="K434" i="5"/>
  <c r="L434" i="5" s="1"/>
  <c r="K435" i="5"/>
  <c r="L435" i="5" s="1"/>
  <c r="K436" i="5"/>
  <c r="L436" i="5" s="1"/>
  <c r="K437" i="5"/>
  <c r="L437" i="5" s="1"/>
  <c r="K438" i="5"/>
  <c r="L438" i="5" s="1"/>
  <c r="K439" i="5"/>
  <c r="L439" i="5" s="1"/>
  <c r="K440" i="5"/>
  <c r="L440" i="5" s="1"/>
  <c r="K441" i="5"/>
  <c r="L441" i="5" s="1"/>
  <c r="K442" i="5"/>
  <c r="L442" i="5" s="1"/>
  <c r="K443" i="5"/>
  <c r="L443" i="5" s="1"/>
  <c r="K444" i="5"/>
  <c r="L444" i="5" s="1"/>
  <c r="K445" i="5"/>
  <c r="L445" i="5" s="1"/>
  <c r="K446" i="5"/>
  <c r="L446" i="5" s="1"/>
  <c r="K447" i="5"/>
  <c r="L447" i="5" s="1"/>
  <c r="K448" i="5"/>
  <c r="L448" i="5" s="1"/>
  <c r="K449" i="5"/>
  <c r="L449" i="5" s="1"/>
  <c r="K450" i="5"/>
  <c r="L450" i="5" s="1"/>
  <c r="K451" i="5"/>
  <c r="L451" i="5" s="1"/>
  <c r="K452" i="5"/>
  <c r="K453" i="5"/>
  <c r="L453" i="5" s="1"/>
  <c r="K454" i="5"/>
  <c r="L454" i="5" s="1"/>
  <c r="K455" i="5"/>
  <c r="L455" i="5" s="1"/>
  <c r="K456" i="5"/>
  <c r="L456" i="5" s="1"/>
  <c r="K457" i="5"/>
  <c r="L457" i="5" s="1"/>
  <c r="K458" i="5"/>
  <c r="L458" i="5" s="1"/>
  <c r="K459" i="5"/>
  <c r="L459" i="5" s="1"/>
  <c r="K460" i="5"/>
  <c r="L460" i="5" s="1"/>
  <c r="K461" i="5"/>
  <c r="L461" i="5" s="1"/>
  <c r="K462" i="5"/>
  <c r="L462" i="5" s="1"/>
  <c r="K463" i="5"/>
  <c r="L463" i="5" s="1"/>
  <c r="K464" i="5"/>
  <c r="L464" i="5" s="1"/>
  <c r="K465" i="5"/>
  <c r="K466" i="5"/>
  <c r="L466" i="5" s="1"/>
  <c r="K467" i="5"/>
  <c r="L467" i="5" s="1"/>
  <c r="K468" i="5"/>
  <c r="L468" i="5" s="1"/>
  <c r="K469" i="5"/>
  <c r="L469" i="5" s="1"/>
  <c r="K470" i="5"/>
  <c r="L470" i="5" s="1"/>
  <c r="K471" i="5"/>
  <c r="L471" i="5" s="1"/>
  <c r="K472" i="5"/>
  <c r="L472" i="5" s="1"/>
  <c r="K473" i="5"/>
  <c r="L473" i="5" s="1"/>
  <c r="K474" i="5"/>
  <c r="L474" i="5" s="1"/>
  <c r="K475" i="5"/>
  <c r="L475" i="5" s="1"/>
  <c r="K476" i="5"/>
  <c r="L476" i="5" s="1"/>
  <c r="K477" i="5"/>
  <c r="L477" i="5" s="1"/>
  <c r="K478" i="5"/>
  <c r="L478" i="5" s="1"/>
  <c r="K479" i="5"/>
  <c r="L479" i="5" s="1"/>
  <c r="K480" i="5"/>
  <c r="L480" i="5" s="1"/>
  <c r="K481" i="5"/>
  <c r="L481" i="5" s="1"/>
  <c r="K482" i="5"/>
  <c r="L482" i="5" s="1"/>
  <c r="K483" i="5"/>
  <c r="L483" i="5" s="1"/>
  <c r="K484" i="5"/>
  <c r="L484" i="5" s="1"/>
  <c r="K485" i="5"/>
  <c r="L485" i="5" s="1"/>
  <c r="K486" i="5"/>
  <c r="L486" i="5" s="1"/>
  <c r="K487" i="5"/>
  <c r="L487" i="5" s="1"/>
  <c r="K488" i="5"/>
  <c r="L488" i="5" s="1"/>
  <c r="K489" i="5"/>
  <c r="L489" i="5" s="1"/>
  <c r="K490" i="5"/>
  <c r="L490" i="5" s="1"/>
  <c r="K491" i="5"/>
  <c r="L491" i="5" s="1"/>
  <c r="K492" i="5"/>
  <c r="L492" i="5" s="1"/>
  <c r="K493" i="5"/>
  <c r="L493" i="5" s="1"/>
  <c r="K494" i="5"/>
  <c r="L494" i="5" s="1"/>
  <c r="K495" i="5"/>
  <c r="L495" i="5" s="1"/>
  <c r="K496" i="5"/>
  <c r="L496" i="5" s="1"/>
  <c r="K497" i="5"/>
  <c r="L497" i="5" s="1"/>
  <c r="K498" i="5"/>
  <c r="L498" i="5" s="1"/>
  <c r="K499" i="5"/>
  <c r="L499" i="5" s="1"/>
  <c r="K500" i="5"/>
  <c r="L500" i="5" s="1"/>
  <c r="K501" i="5"/>
  <c r="L501" i="5" s="1"/>
  <c r="K502" i="5"/>
  <c r="L502" i="5" s="1"/>
  <c r="K503" i="5"/>
  <c r="L503" i="5" s="1"/>
  <c r="K504" i="5"/>
  <c r="L504" i="5" s="1"/>
  <c r="K505" i="5"/>
  <c r="L505" i="5" s="1"/>
  <c r="K506" i="5"/>
  <c r="L506" i="5" s="1"/>
  <c r="K507" i="5"/>
  <c r="L507" i="5" s="1"/>
  <c r="K508" i="5"/>
  <c r="L508" i="5" s="1"/>
  <c r="K509" i="5"/>
  <c r="L509" i="5" s="1"/>
  <c r="K510" i="5"/>
  <c r="L510" i="5" s="1"/>
  <c r="K511" i="5"/>
  <c r="L511" i="5" s="1"/>
  <c r="K512" i="5"/>
  <c r="L512" i="5" s="1"/>
  <c r="K513" i="5"/>
  <c r="L513" i="5" s="1"/>
  <c r="K514" i="5"/>
  <c r="L514" i="5" s="1"/>
  <c r="K515" i="5"/>
  <c r="L515" i="5" s="1"/>
  <c r="K516" i="5"/>
  <c r="L516" i="5" s="1"/>
  <c r="K517" i="5"/>
  <c r="L517" i="5" s="1"/>
  <c r="K518" i="5"/>
  <c r="L518" i="5" s="1"/>
  <c r="K519" i="5"/>
  <c r="L519" i="5" s="1"/>
  <c r="K520" i="5"/>
  <c r="L520" i="5" s="1"/>
  <c r="K521" i="5"/>
  <c r="L521" i="5" s="1"/>
  <c r="K522" i="5"/>
  <c r="L522" i="5" s="1"/>
  <c r="K523" i="5"/>
  <c r="L523" i="5" s="1"/>
  <c r="K524" i="5"/>
  <c r="L524" i="5" s="1"/>
  <c r="K525" i="5"/>
  <c r="L525" i="5" s="1"/>
  <c r="K526" i="5"/>
  <c r="L526" i="5" s="1"/>
  <c r="K527" i="5"/>
  <c r="L527" i="5" s="1"/>
  <c r="K528" i="5"/>
  <c r="L528" i="5" s="1"/>
  <c r="K529" i="5"/>
  <c r="L529" i="5" s="1"/>
  <c r="K530" i="5"/>
  <c r="L530" i="5" s="1"/>
  <c r="K531" i="5"/>
  <c r="L531" i="5" s="1"/>
  <c r="K532" i="5"/>
  <c r="L532" i="5" s="1"/>
  <c r="K533" i="5"/>
  <c r="L533" i="5" s="1"/>
  <c r="K534" i="5"/>
  <c r="L534" i="5" s="1"/>
  <c r="K535" i="5"/>
  <c r="L535" i="5" s="1"/>
  <c r="K536" i="5"/>
  <c r="L536" i="5" s="1"/>
  <c r="K537" i="5"/>
  <c r="L537" i="5" s="1"/>
  <c r="K538" i="5"/>
  <c r="L538" i="5" s="1"/>
  <c r="K539" i="5"/>
  <c r="L539" i="5" s="1"/>
  <c r="K540" i="5"/>
  <c r="L540" i="5" s="1"/>
  <c r="K541" i="5"/>
  <c r="L541" i="5" s="1"/>
  <c r="K542" i="5"/>
  <c r="L542" i="5" s="1"/>
  <c r="K543" i="5"/>
  <c r="L543" i="5" s="1"/>
  <c r="K544" i="5"/>
  <c r="L544" i="5" s="1"/>
  <c r="K545" i="5"/>
  <c r="L545" i="5" s="1"/>
  <c r="K546" i="5"/>
  <c r="L546" i="5" s="1"/>
  <c r="K547" i="5"/>
  <c r="L547" i="5" s="1"/>
  <c r="K548" i="5"/>
  <c r="L548" i="5" s="1"/>
  <c r="K549" i="5"/>
  <c r="L549" i="5" s="1"/>
  <c r="K550" i="5"/>
  <c r="L550" i="5" s="1"/>
  <c r="K551" i="5"/>
  <c r="L551" i="5" s="1"/>
  <c r="K552" i="5"/>
  <c r="L552" i="5" s="1"/>
  <c r="K553" i="5"/>
  <c r="L553" i="5" s="1"/>
  <c r="K554" i="5"/>
  <c r="L554" i="5" s="1"/>
  <c r="K555" i="5"/>
  <c r="L555" i="5" s="1"/>
  <c r="K556" i="5"/>
  <c r="L556" i="5" s="1"/>
  <c r="K557" i="5"/>
  <c r="L557" i="5" s="1"/>
  <c r="K558" i="5"/>
  <c r="L558" i="5" s="1"/>
  <c r="K559" i="5"/>
  <c r="L559" i="5" s="1"/>
  <c r="K560" i="5"/>
  <c r="L560" i="5" s="1"/>
  <c r="K561" i="5"/>
  <c r="L561" i="5" s="1"/>
  <c r="K562" i="5"/>
  <c r="L562" i="5" s="1"/>
  <c r="K563" i="5"/>
  <c r="L563" i="5" s="1"/>
  <c r="K564" i="5"/>
  <c r="L564" i="5" s="1"/>
  <c r="K565" i="5"/>
  <c r="L565" i="5" s="1"/>
  <c r="K566" i="5"/>
  <c r="L566" i="5" s="1"/>
  <c r="K567" i="5"/>
  <c r="L567" i="5" s="1"/>
  <c r="K568" i="5"/>
  <c r="L568" i="5" s="1"/>
  <c r="K569" i="5"/>
  <c r="L569" i="5" s="1"/>
  <c r="K570" i="5"/>
  <c r="L570" i="5" s="1"/>
  <c r="K571" i="5"/>
  <c r="L571" i="5" s="1"/>
  <c r="K572" i="5"/>
  <c r="L572" i="5" s="1"/>
  <c r="K573" i="5"/>
  <c r="L573" i="5" s="1"/>
  <c r="K574" i="5"/>
  <c r="L574" i="5" s="1"/>
  <c r="K575" i="5"/>
  <c r="L575" i="5" s="1"/>
  <c r="K576" i="5"/>
  <c r="L576" i="5" s="1"/>
  <c r="K577" i="5"/>
  <c r="L577" i="5" s="1"/>
  <c r="K578" i="5"/>
  <c r="L578" i="5" s="1"/>
  <c r="K579" i="5"/>
  <c r="L579" i="5" s="1"/>
  <c r="K580" i="5"/>
  <c r="L580" i="5" s="1"/>
  <c r="K581" i="5"/>
  <c r="L581" i="5" s="1"/>
  <c r="K582" i="5"/>
  <c r="L582" i="5" s="1"/>
  <c r="K583" i="5"/>
  <c r="L583" i="5" s="1"/>
  <c r="K584" i="5"/>
  <c r="L584" i="5" s="1"/>
  <c r="K585" i="5"/>
  <c r="L585" i="5" s="1"/>
  <c r="K586" i="5"/>
  <c r="L586" i="5" s="1"/>
  <c r="K587" i="5"/>
  <c r="L587" i="5" s="1"/>
  <c r="K588" i="5"/>
  <c r="L588" i="5" s="1"/>
  <c r="K589" i="5"/>
  <c r="L589" i="5" s="1"/>
  <c r="K590" i="5"/>
  <c r="L590" i="5" s="1"/>
  <c r="K591" i="5"/>
  <c r="L591" i="5" s="1"/>
  <c r="K592" i="5"/>
  <c r="L592" i="5" s="1"/>
  <c r="K593" i="5"/>
  <c r="L593" i="5" s="1"/>
  <c r="K594" i="5"/>
  <c r="L594" i="5" s="1"/>
  <c r="K595" i="5"/>
  <c r="L595" i="5" s="1"/>
  <c r="K596" i="5"/>
  <c r="L596" i="5" s="1"/>
  <c r="K597" i="5"/>
  <c r="L597" i="5" s="1"/>
  <c r="K598" i="5"/>
  <c r="L598" i="5" s="1"/>
  <c r="K599" i="5"/>
  <c r="L599" i="5" s="1"/>
  <c r="K600" i="5"/>
  <c r="L600" i="5" s="1"/>
  <c r="K601" i="5"/>
  <c r="L601" i="5" s="1"/>
  <c r="K602" i="5"/>
  <c r="L602" i="5" s="1"/>
  <c r="K603" i="5"/>
  <c r="L603" i="5" s="1"/>
  <c r="K604" i="5"/>
  <c r="L604" i="5" s="1"/>
  <c r="K605" i="5"/>
  <c r="L605" i="5" s="1"/>
  <c r="K606" i="5"/>
  <c r="L606" i="5" s="1"/>
  <c r="K607" i="5"/>
  <c r="L607" i="5" s="1"/>
  <c r="K608" i="5"/>
  <c r="L608" i="5" s="1"/>
  <c r="K609" i="5"/>
  <c r="L609" i="5" s="1"/>
  <c r="K610" i="5"/>
  <c r="L610" i="5" s="1"/>
  <c r="K611" i="5"/>
  <c r="L611" i="5" s="1"/>
  <c r="K612" i="5"/>
  <c r="L612" i="5" s="1"/>
  <c r="K613" i="5"/>
  <c r="L613" i="5" s="1"/>
  <c r="K614" i="5"/>
  <c r="L614" i="5" s="1"/>
  <c r="K615" i="5"/>
  <c r="L615" i="5" s="1"/>
  <c r="K616" i="5"/>
  <c r="L616" i="5" s="1"/>
  <c r="K617" i="5"/>
  <c r="L617" i="5" s="1"/>
  <c r="K618" i="5"/>
  <c r="L618" i="5" s="1"/>
  <c r="K619" i="5"/>
  <c r="L619" i="5" s="1"/>
  <c r="K620" i="5"/>
  <c r="L620" i="5" s="1"/>
  <c r="K621" i="5"/>
  <c r="L621" i="5" s="1"/>
  <c r="K622" i="5"/>
  <c r="L622" i="5" s="1"/>
  <c r="K623" i="5"/>
  <c r="L623" i="5" s="1"/>
  <c r="K624" i="5"/>
  <c r="L624" i="5" s="1"/>
  <c r="K625" i="5"/>
  <c r="L625" i="5" s="1"/>
  <c r="K626" i="5"/>
  <c r="L626" i="5" s="1"/>
  <c r="K627" i="5"/>
  <c r="L627" i="5" s="1"/>
  <c r="K628" i="5"/>
  <c r="L628" i="5" s="1"/>
  <c r="K629" i="5"/>
  <c r="L629" i="5" s="1"/>
  <c r="K630" i="5"/>
  <c r="L630" i="5" s="1"/>
  <c r="K631" i="5"/>
  <c r="L631" i="5" s="1"/>
  <c r="K632" i="5"/>
  <c r="L632" i="5" s="1"/>
  <c r="K633" i="5"/>
  <c r="L633" i="5" s="1"/>
  <c r="K634" i="5"/>
  <c r="L634" i="5" s="1"/>
  <c r="K635" i="5"/>
  <c r="L635" i="5" s="1"/>
  <c r="K636" i="5"/>
  <c r="L636" i="5" s="1"/>
  <c r="K637" i="5"/>
  <c r="L637" i="5" s="1"/>
  <c r="K638" i="5"/>
  <c r="L638" i="5" s="1"/>
  <c r="K639" i="5"/>
  <c r="L639" i="5" s="1"/>
  <c r="K640" i="5"/>
  <c r="L640" i="5" s="1"/>
  <c r="K641" i="5"/>
  <c r="L641" i="5" s="1"/>
  <c r="K642" i="5"/>
  <c r="L642" i="5" s="1"/>
  <c r="K643" i="5"/>
  <c r="L643" i="5" s="1"/>
  <c r="K644" i="5"/>
  <c r="L644" i="5" s="1"/>
  <c r="K645" i="5"/>
  <c r="L645" i="5" s="1"/>
  <c r="K646" i="5"/>
  <c r="L646" i="5" s="1"/>
  <c r="K647" i="5"/>
  <c r="L647" i="5" s="1"/>
  <c r="K648" i="5"/>
  <c r="L648" i="5" s="1"/>
  <c r="K649" i="5"/>
  <c r="L649" i="5" s="1"/>
  <c r="K650" i="5"/>
  <c r="L650" i="5" s="1"/>
  <c r="K651" i="5"/>
  <c r="L651" i="5" s="1"/>
  <c r="K652" i="5"/>
  <c r="L652" i="5" s="1"/>
  <c r="K653" i="5"/>
  <c r="L653" i="5" s="1"/>
  <c r="K654" i="5"/>
  <c r="L654" i="5" s="1"/>
  <c r="K655" i="5"/>
  <c r="L655" i="5" s="1"/>
  <c r="K656" i="5"/>
  <c r="L656" i="5" s="1"/>
  <c r="K657" i="5"/>
  <c r="L657" i="5" s="1"/>
  <c r="K658" i="5"/>
  <c r="L658" i="5" s="1"/>
  <c r="K659" i="5"/>
  <c r="L659" i="5" s="1"/>
  <c r="K660" i="5"/>
  <c r="L660" i="5" s="1"/>
  <c r="K661" i="5"/>
  <c r="L661" i="5" s="1"/>
  <c r="K662" i="5"/>
  <c r="L662" i="5" s="1"/>
  <c r="K663" i="5"/>
  <c r="L663" i="5" s="1"/>
  <c r="K664" i="5"/>
  <c r="L664" i="5" s="1"/>
  <c r="K665" i="5"/>
  <c r="L665" i="5" s="1"/>
  <c r="K666" i="5"/>
  <c r="L666" i="5" s="1"/>
  <c r="K667" i="5"/>
  <c r="L667" i="5" s="1"/>
  <c r="K668" i="5"/>
  <c r="L668" i="5" s="1"/>
  <c r="K669" i="5"/>
  <c r="L669" i="5" s="1"/>
  <c r="K670" i="5"/>
  <c r="L670" i="5" s="1"/>
  <c r="K671" i="5"/>
  <c r="L671" i="5" s="1"/>
  <c r="K672" i="5"/>
  <c r="L672" i="5" s="1"/>
  <c r="K673" i="5"/>
  <c r="L673" i="5" s="1"/>
  <c r="K674" i="5"/>
  <c r="L674" i="5" s="1"/>
  <c r="K675" i="5"/>
  <c r="L675" i="5" s="1"/>
  <c r="K676" i="5"/>
  <c r="L676" i="5" s="1"/>
  <c r="K677" i="5"/>
  <c r="L677" i="5" s="1"/>
  <c r="K678" i="5"/>
  <c r="L678" i="5" s="1"/>
  <c r="K679" i="5"/>
  <c r="L679" i="5" s="1"/>
  <c r="K680" i="5"/>
  <c r="L680" i="5" s="1"/>
  <c r="K681" i="5"/>
  <c r="K682" i="5"/>
  <c r="L682" i="5" s="1"/>
  <c r="K683" i="5"/>
  <c r="L683" i="5" s="1"/>
  <c r="K684" i="5"/>
  <c r="L684" i="5" s="1"/>
  <c r="K685" i="5"/>
  <c r="L685" i="5" s="1"/>
  <c r="K686" i="5"/>
  <c r="L686" i="5" s="1"/>
  <c r="K687" i="5"/>
  <c r="L687" i="5" s="1"/>
  <c r="K688" i="5"/>
  <c r="L688" i="5" s="1"/>
  <c r="K689" i="5"/>
  <c r="L689" i="5" s="1"/>
  <c r="K690" i="5"/>
  <c r="L690" i="5" s="1"/>
  <c r="K691" i="5"/>
  <c r="L691" i="5" s="1"/>
  <c r="K692" i="5"/>
  <c r="L692" i="5" s="1"/>
  <c r="K693" i="5"/>
  <c r="L693" i="5" s="1"/>
  <c r="K694" i="5"/>
  <c r="L694" i="5" s="1"/>
  <c r="K695" i="5"/>
  <c r="L695" i="5" s="1"/>
  <c r="K696" i="5"/>
  <c r="L696" i="5" s="1"/>
  <c r="K697" i="5"/>
  <c r="L697" i="5" s="1"/>
  <c r="K698" i="5"/>
  <c r="L698" i="5" s="1"/>
  <c r="K699" i="5"/>
  <c r="L699" i="5" s="1"/>
  <c r="K700" i="5"/>
  <c r="L700" i="5" s="1"/>
  <c r="K701" i="5"/>
  <c r="L701" i="5" s="1"/>
  <c r="K702" i="5"/>
  <c r="L702" i="5" s="1"/>
  <c r="K703" i="5"/>
  <c r="L703" i="5" s="1"/>
  <c r="K704" i="5"/>
  <c r="L704" i="5" s="1"/>
  <c r="K705" i="5"/>
  <c r="L705" i="5" s="1"/>
  <c r="K706" i="5"/>
  <c r="L706" i="5" s="1"/>
  <c r="K707" i="5"/>
  <c r="L707" i="5" s="1"/>
  <c r="K708" i="5"/>
  <c r="L708" i="5" s="1"/>
  <c r="K709" i="5"/>
  <c r="L709" i="5" s="1"/>
  <c r="K710" i="5"/>
  <c r="L710" i="5" s="1"/>
  <c r="K711" i="5"/>
  <c r="L711" i="5" s="1"/>
  <c r="K712" i="5"/>
  <c r="L712" i="5" s="1"/>
  <c r="K713" i="5"/>
  <c r="L713" i="5" s="1"/>
  <c r="K714" i="5"/>
  <c r="L714" i="5" s="1"/>
  <c r="K715" i="5"/>
  <c r="L715" i="5" s="1"/>
  <c r="K716" i="5"/>
  <c r="L716" i="5" s="1"/>
  <c r="K717" i="5"/>
  <c r="L717" i="5" s="1"/>
  <c r="K718" i="5"/>
  <c r="L718" i="5" s="1"/>
  <c r="K719" i="5"/>
  <c r="L719" i="5" s="1"/>
  <c r="K720" i="5"/>
  <c r="L720" i="5" s="1"/>
  <c r="K721" i="5"/>
  <c r="L721" i="5" s="1"/>
  <c r="K722" i="5"/>
  <c r="L722" i="5" s="1"/>
  <c r="K723" i="5"/>
  <c r="L723" i="5" s="1"/>
  <c r="K724" i="5"/>
  <c r="L724" i="5" s="1"/>
  <c r="K725" i="5"/>
  <c r="L725" i="5" s="1"/>
  <c r="K726" i="5"/>
  <c r="L726" i="5" s="1"/>
  <c r="K727" i="5"/>
  <c r="L727" i="5" s="1"/>
  <c r="K728" i="5"/>
  <c r="L728" i="5" s="1"/>
  <c r="K729" i="5"/>
  <c r="L729" i="5" s="1"/>
  <c r="K730" i="5"/>
  <c r="L730" i="5" s="1"/>
  <c r="K731" i="5"/>
  <c r="L731" i="5" s="1"/>
  <c r="K732" i="5"/>
  <c r="L732" i="5" s="1"/>
  <c r="K733" i="5"/>
  <c r="L733" i="5" s="1"/>
  <c r="K734" i="5"/>
  <c r="L734" i="5" s="1"/>
  <c r="K735" i="5"/>
  <c r="L735" i="5" s="1"/>
  <c r="K736" i="5"/>
  <c r="L736" i="5" s="1"/>
  <c r="K737" i="5"/>
  <c r="L737" i="5" s="1"/>
  <c r="K738" i="5"/>
  <c r="L738" i="5" s="1"/>
  <c r="K739" i="5"/>
  <c r="L739" i="5" s="1"/>
  <c r="K740" i="5"/>
  <c r="L740" i="5" s="1"/>
  <c r="K3" i="6"/>
  <c r="L3" i="6" s="1"/>
  <c r="K4" i="6"/>
  <c r="L4" i="6" s="1"/>
  <c r="K5" i="6"/>
  <c r="L5" i="6" s="1"/>
  <c r="K6" i="6"/>
  <c r="L6" i="6" s="1"/>
  <c r="K7" i="6"/>
  <c r="L7" i="6" s="1"/>
  <c r="K8" i="6"/>
  <c r="L8" i="6" s="1"/>
  <c r="K9" i="6"/>
  <c r="L9" i="6" s="1"/>
  <c r="K10" i="6"/>
  <c r="L10" i="6" s="1"/>
  <c r="K11" i="6"/>
  <c r="L11" i="6" s="1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2" i="6"/>
  <c r="L152" i="6" s="1"/>
  <c r="K153" i="6"/>
  <c r="L153" i="6" s="1"/>
  <c r="K154" i="6"/>
  <c r="L154" i="6" s="1"/>
  <c r="K155" i="6"/>
  <c r="L155" i="6" s="1"/>
  <c r="K156" i="6"/>
  <c r="L156" i="6" s="1"/>
  <c r="K157" i="6"/>
  <c r="L157" i="6" s="1"/>
  <c r="K158" i="6"/>
  <c r="K159" i="6"/>
  <c r="K160" i="6"/>
  <c r="K161" i="6"/>
  <c r="L161" i="6" s="1"/>
  <c r="K162" i="6"/>
  <c r="L162" i="6" s="1"/>
  <c r="K163" i="6"/>
  <c r="L163" i="6" s="1"/>
  <c r="K164" i="6"/>
  <c r="L164" i="6" s="1"/>
  <c r="K165" i="6"/>
  <c r="L165" i="6" s="1"/>
  <c r="K166" i="6"/>
  <c r="L166" i="6" s="1"/>
  <c r="K167" i="6"/>
  <c r="L167" i="6" s="1"/>
  <c r="K168" i="6"/>
  <c r="L168" i="6" s="1"/>
  <c r="K169" i="6"/>
  <c r="L169" i="6" s="1"/>
  <c r="K170" i="6"/>
  <c r="L170" i="6" s="1"/>
  <c r="K171" i="6"/>
  <c r="L171" i="6" s="1"/>
  <c r="K172" i="6"/>
  <c r="L172" i="6" s="1"/>
  <c r="K173" i="6"/>
  <c r="L173" i="6" s="1"/>
  <c r="K174" i="6"/>
  <c r="L174" i="6" s="1"/>
  <c r="K175" i="6"/>
  <c r="L175" i="6" s="1"/>
  <c r="K176" i="6"/>
  <c r="L176" i="6" s="1"/>
  <c r="K177" i="6"/>
  <c r="L177" i="6" s="1"/>
  <c r="K178" i="6"/>
  <c r="L178" i="6" s="1"/>
  <c r="K179" i="6"/>
  <c r="L179" i="6" s="1"/>
  <c r="K180" i="6"/>
  <c r="L180" i="6" s="1"/>
  <c r="K181" i="6"/>
  <c r="L181" i="6" s="1"/>
  <c r="K182" i="6"/>
  <c r="L182" i="6" s="1"/>
  <c r="K183" i="6"/>
  <c r="L183" i="6" s="1"/>
  <c r="K184" i="6"/>
  <c r="L184" i="6" s="1"/>
  <c r="K185" i="6"/>
  <c r="L185" i="6" s="1"/>
  <c r="K186" i="6"/>
  <c r="L186" i="6" s="1"/>
  <c r="K187" i="6"/>
  <c r="L187" i="6" s="1"/>
  <c r="K188" i="6"/>
  <c r="L188" i="6" s="1"/>
  <c r="K189" i="6"/>
  <c r="L189" i="6" s="1"/>
  <c r="K190" i="6"/>
  <c r="L190" i="6" s="1"/>
  <c r="K191" i="6"/>
  <c r="L191" i="6" s="1"/>
  <c r="K192" i="6"/>
  <c r="L192" i="6" s="1"/>
  <c r="K193" i="6"/>
  <c r="L193" i="6" s="1"/>
  <c r="K194" i="6"/>
  <c r="L194" i="6" s="1"/>
  <c r="K195" i="6"/>
  <c r="L195" i="6" s="1"/>
  <c r="K196" i="6"/>
  <c r="L196" i="6" s="1"/>
  <c r="K197" i="6"/>
  <c r="L197" i="6" s="1"/>
  <c r="K198" i="6"/>
  <c r="L198" i="6" s="1"/>
  <c r="K199" i="6"/>
  <c r="L199" i="6" s="1"/>
  <c r="K200" i="6"/>
  <c r="L200" i="6" s="1"/>
  <c r="K201" i="6"/>
  <c r="L201" i="6" s="1"/>
  <c r="K202" i="6"/>
  <c r="L202" i="6" s="1"/>
  <c r="K203" i="6"/>
  <c r="L203" i="6" s="1"/>
  <c r="K204" i="6"/>
  <c r="L204" i="6" s="1"/>
  <c r="K205" i="6"/>
  <c r="L205" i="6" s="1"/>
  <c r="K206" i="6"/>
  <c r="L206" i="6" s="1"/>
  <c r="K207" i="6"/>
  <c r="L207" i="6" s="1"/>
  <c r="K208" i="6"/>
  <c r="L208" i="6" s="1"/>
  <c r="K209" i="6"/>
  <c r="L209" i="6" s="1"/>
  <c r="K210" i="6"/>
  <c r="L210" i="6" s="1"/>
  <c r="K211" i="6"/>
  <c r="L211" i="6" s="1"/>
  <c r="K212" i="6"/>
  <c r="L212" i="6" s="1"/>
  <c r="K213" i="6"/>
  <c r="L213" i="6" s="1"/>
  <c r="K214" i="6"/>
  <c r="L214" i="6" s="1"/>
  <c r="K215" i="6"/>
  <c r="L215" i="6" s="1"/>
  <c r="K216" i="6"/>
  <c r="L216" i="6" s="1"/>
  <c r="K217" i="6"/>
  <c r="L217" i="6" s="1"/>
  <c r="K218" i="6"/>
  <c r="L218" i="6" s="1"/>
  <c r="K219" i="6"/>
  <c r="L219" i="6" s="1"/>
  <c r="K220" i="6"/>
  <c r="L220" i="6" s="1"/>
  <c r="K221" i="6"/>
  <c r="L221" i="6" s="1"/>
  <c r="K222" i="6"/>
  <c r="L222" i="6" s="1"/>
  <c r="K223" i="6"/>
  <c r="L223" i="6" s="1"/>
  <c r="K224" i="6"/>
  <c r="L224" i="6" s="1"/>
  <c r="K225" i="6"/>
  <c r="L225" i="6" s="1"/>
  <c r="K226" i="6"/>
  <c r="L226" i="6" s="1"/>
  <c r="K227" i="6"/>
  <c r="L227" i="6" s="1"/>
  <c r="K228" i="6"/>
  <c r="L228" i="6" s="1"/>
  <c r="K229" i="6"/>
  <c r="L229" i="6" s="1"/>
  <c r="K230" i="6"/>
  <c r="L230" i="6" s="1"/>
  <c r="K231" i="6"/>
  <c r="L231" i="6" s="1"/>
  <c r="K232" i="6"/>
  <c r="L232" i="6" s="1"/>
  <c r="K233" i="6"/>
  <c r="L233" i="6" s="1"/>
  <c r="K234" i="6"/>
  <c r="L234" i="6" s="1"/>
  <c r="K235" i="6"/>
  <c r="L235" i="6" s="1"/>
  <c r="K236" i="6"/>
  <c r="L236" i="6" s="1"/>
  <c r="K237" i="6"/>
  <c r="L237" i="6" s="1"/>
  <c r="K238" i="6"/>
  <c r="L238" i="6" s="1"/>
  <c r="K239" i="6"/>
  <c r="L239" i="6" s="1"/>
  <c r="K240" i="6"/>
  <c r="L240" i="6" s="1"/>
  <c r="K241" i="6"/>
  <c r="L241" i="6" s="1"/>
  <c r="K242" i="6"/>
  <c r="L242" i="6" s="1"/>
  <c r="K243" i="6"/>
  <c r="L243" i="6" s="1"/>
  <c r="K244" i="6"/>
  <c r="L244" i="6" s="1"/>
  <c r="K245" i="6"/>
  <c r="L245" i="6" s="1"/>
  <c r="K246" i="6"/>
  <c r="L246" i="6" s="1"/>
  <c r="K247" i="6"/>
  <c r="L247" i="6" s="1"/>
  <c r="K248" i="6"/>
  <c r="L248" i="6" s="1"/>
  <c r="K249" i="6"/>
  <c r="L249" i="6" s="1"/>
  <c r="K250" i="6"/>
  <c r="L250" i="6" s="1"/>
  <c r="K251" i="6"/>
  <c r="L251" i="6" s="1"/>
  <c r="K252" i="6"/>
  <c r="L252" i="6" s="1"/>
  <c r="K253" i="6"/>
  <c r="L253" i="6" s="1"/>
  <c r="K254" i="6"/>
  <c r="L254" i="6" s="1"/>
  <c r="K255" i="6"/>
  <c r="K256" i="6"/>
  <c r="L256" i="6" s="1"/>
  <c r="K257" i="6"/>
  <c r="L257" i="6" s="1"/>
  <c r="K258" i="6"/>
  <c r="L258" i="6" s="1"/>
  <c r="K259" i="6"/>
  <c r="L259" i="6" s="1"/>
  <c r="K260" i="6"/>
  <c r="L260" i="6" s="1"/>
  <c r="K261" i="6"/>
  <c r="L261" i="6" s="1"/>
  <c r="K262" i="6"/>
  <c r="L262" i="6" s="1"/>
  <c r="K263" i="6"/>
  <c r="L263" i="6" s="1"/>
  <c r="K264" i="6"/>
  <c r="L264" i="6" s="1"/>
  <c r="K265" i="6"/>
  <c r="L265" i="6" s="1"/>
  <c r="K266" i="6"/>
  <c r="L266" i="6" s="1"/>
  <c r="K267" i="6"/>
  <c r="L267" i="6" s="1"/>
  <c r="K268" i="6"/>
  <c r="L268" i="6" s="1"/>
  <c r="K269" i="6"/>
  <c r="L269" i="6" s="1"/>
  <c r="K270" i="6"/>
  <c r="L270" i="6" s="1"/>
  <c r="K271" i="6"/>
  <c r="L271" i="6" s="1"/>
  <c r="K272" i="6"/>
  <c r="L272" i="6" s="1"/>
  <c r="K273" i="6"/>
  <c r="L273" i="6" s="1"/>
  <c r="K274" i="6"/>
  <c r="L274" i="6" s="1"/>
  <c r="K275" i="6"/>
  <c r="L275" i="6" s="1"/>
  <c r="K276" i="6"/>
  <c r="L276" i="6" s="1"/>
  <c r="K277" i="6"/>
  <c r="L277" i="6" s="1"/>
  <c r="K278" i="6"/>
  <c r="L278" i="6" s="1"/>
  <c r="K279" i="6"/>
  <c r="L279" i="6" s="1"/>
  <c r="K280" i="6"/>
  <c r="L280" i="6" s="1"/>
  <c r="K281" i="6"/>
  <c r="L281" i="6" s="1"/>
  <c r="K282" i="6"/>
  <c r="L282" i="6" s="1"/>
  <c r="K283" i="6"/>
  <c r="L283" i="6" s="1"/>
  <c r="K284" i="6"/>
  <c r="L284" i="6" s="1"/>
  <c r="K285" i="6"/>
  <c r="L285" i="6" s="1"/>
  <c r="K286" i="6"/>
  <c r="L286" i="6" s="1"/>
  <c r="K287" i="6"/>
  <c r="L287" i="6" s="1"/>
  <c r="K288" i="6"/>
  <c r="L288" i="6" s="1"/>
  <c r="K289" i="6"/>
  <c r="L289" i="6" s="1"/>
  <c r="K290" i="6"/>
  <c r="L290" i="6" s="1"/>
  <c r="K291" i="6"/>
  <c r="L291" i="6" s="1"/>
  <c r="K292" i="6"/>
  <c r="L292" i="6" s="1"/>
  <c r="K293" i="6"/>
  <c r="L293" i="6" s="1"/>
  <c r="K294" i="6"/>
  <c r="L294" i="6" s="1"/>
  <c r="K295" i="6"/>
  <c r="L295" i="6" s="1"/>
  <c r="K296" i="6"/>
  <c r="L296" i="6" s="1"/>
  <c r="K297" i="6"/>
  <c r="L297" i="6" s="1"/>
  <c r="K298" i="6"/>
  <c r="L298" i="6" s="1"/>
  <c r="K299" i="6"/>
  <c r="L299" i="6" s="1"/>
  <c r="K300" i="6"/>
  <c r="L300" i="6" s="1"/>
  <c r="K301" i="6"/>
  <c r="L301" i="6" s="1"/>
  <c r="K302" i="6"/>
  <c r="L302" i="6" s="1"/>
  <c r="K303" i="6"/>
  <c r="L303" i="6" s="1"/>
  <c r="K304" i="6"/>
  <c r="L304" i="6" s="1"/>
  <c r="K305" i="6"/>
  <c r="L305" i="6" s="1"/>
  <c r="K306" i="6"/>
  <c r="L306" i="6" s="1"/>
  <c r="K307" i="6"/>
  <c r="L307" i="6" s="1"/>
  <c r="K308" i="6"/>
  <c r="L308" i="6" s="1"/>
  <c r="K309" i="6"/>
  <c r="L309" i="6" s="1"/>
  <c r="K310" i="6"/>
  <c r="L310" i="6" s="1"/>
  <c r="K311" i="6"/>
  <c r="L311" i="6" s="1"/>
  <c r="K312" i="6"/>
  <c r="L312" i="6" s="1"/>
  <c r="K313" i="6"/>
  <c r="L313" i="6" s="1"/>
  <c r="K314" i="6"/>
  <c r="L314" i="6" s="1"/>
  <c r="K315" i="6"/>
  <c r="L315" i="6" s="1"/>
  <c r="K316" i="6"/>
  <c r="L316" i="6" s="1"/>
  <c r="K317" i="6"/>
  <c r="L317" i="6" s="1"/>
  <c r="K318" i="6"/>
  <c r="L318" i="6" s="1"/>
  <c r="K319" i="6"/>
  <c r="L319" i="6" s="1"/>
  <c r="K320" i="6"/>
  <c r="L320" i="6" s="1"/>
  <c r="K321" i="6"/>
  <c r="L321" i="6" s="1"/>
  <c r="K322" i="6"/>
  <c r="L322" i="6" s="1"/>
  <c r="K323" i="6"/>
  <c r="L323" i="6" s="1"/>
  <c r="K324" i="6"/>
  <c r="L324" i="6" s="1"/>
  <c r="K325" i="6"/>
  <c r="L325" i="6" s="1"/>
  <c r="K326" i="6"/>
  <c r="L326" i="6" s="1"/>
  <c r="K327" i="6"/>
  <c r="L327" i="6" s="1"/>
  <c r="K328" i="6"/>
  <c r="L328" i="6" s="1"/>
  <c r="K329" i="6"/>
  <c r="L329" i="6" s="1"/>
  <c r="K330" i="6"/>
  <c r="L330" i="6" s="1"/>
  <c r="K331" i="6"/>
  <c r="L331" i="6" s="1"/>
  <c r="K332" i="6"/>
  <c r="L332" i="6" s="1"/>
  <c r="K333" i="6"/>
  <c r="L333" i="6" s="1"/>
  <c r="K334" i="6"/>
  <c r="L334" i="6" s="1"/>
  <c r="K335" i="6"/>
  <c r="L335" i="6" s="1"/>
  <c r="K336" i="6"/>
  <c r="L336" i="6" s="1"/>
  <c r="K337" i="6"/>
  <c r="L337" i="6" s="1"/>
  <c r="K338" i="6"/>
  <c r="L338" i="6" s="1"/>
  <c r="K339" i="6"/>
  <c r="L339" i="6" s="1"/>
  <c r="K340" i="6"/>
  <c r="L340" i="6" s="1"/>
  <c r="K341" i="6"/>
  <c r="L341" i="6" s="1"/>
  <c r="K342" i="6"/>
  <c r="L342" i="6" s="1"/>
  <c r="K343" i="6"/>
  <c r="L343" i="6" s="1"/>
  <c r="K344" i="6"/>
  <c r="L344" i="6" s="1"/>
  <c r="K345" i="6"/>
  <c r="L345" i="6" s="1"/>
  <c r="K346" i="6"/>
  <c r="L346" i="6" s="1"/>
  <c r="K347" i="6"/>
  <c r="L347" i="6" s="1"/>
  <c r="K348" i="6"/>
  <c r="L348" i="6" s="1"/>
  <c r="K349" i="6"/>
  <c r="L349" i="6" s="1"/>
  <c r="K350" i="6"/>
  <c r="L350" i="6" s="1"/>
  <c r="K351" i="6"/>
  <c r="L351" i="6" s="1"/>
  <c r="K352" i="6"/>
  <c r="L352" i="6" s="1"/>
  <c r="K353" i="6"/>
  <c r="L353" i="6" s="1"/>
  <c r="K354" i="6"/>
  <c r="L354" i="6" s="1"/>
  <c r="K355" i="6"/>
  <c r="L355" i="6" s="1"/>
  <c r="K356" i="6"/>
  <c r="L356" i="6" s="1"/>
  <c r="K357" i="6"/>
  <c r="L357" i="6" s="1"/>
  <c r="K358" i="6"/>
  <c r="L358" i="6" s="1"/>
  <c r="K359" i="6"/>
  <c r="L359" i="6" s="1"/>
  <c r="K360" i="6"/>
  <c r="L360" i="6" s="1"/>
  <c r="K361" i="6"/>
  <c r="L361" i="6" s="1"/>
  <c r="K362" i="6"/>
  <c r="L362" i="6" s="1"/>
  <c r="K363" i="6"/>
  <c r="L363" i="6" s="1"/>
  <c r="K364" i="6"/>
  <c r="L364" i="6" s="1"/>
  <c r="K365" i="6"/>
  <c r="L365" i="6" s="1"/>
  <c r="K366" i="6"/>
  <c r="L366" i="6" s="1"/>
  <c r="K367" i="6"/>
  <c r="L367" i="6" s="1"/>
  <c r="K368" i="6"/>
  <c r="L368" i="6" s="1"/>
  <c r="K369" i="6"/>
  <c r="L369" i="6" s="1"/>
  <c r="K370" i="6"/>
  <c r="L370" i="6" s="1"/>
  <c r="K371" i="6"/>
  <c r="L371" i="6" s="1"/>
  <c r="K372" i="6"/>
  <c r="L372" i="6" s="1"/>
  <c r="K373" i="6"/>
  <c r="L373" i="6" s="1"/>
  <c r="K374" i="6"/>
  <c r="K375" i="6"/>
  <c r="L375" i="6" s="1"/>
  <c r="K376" i="6"/>
  <c r="L376" i="6" s="1"/>
  <c r="K377" i="6"/>
  <c r="L377" i="6" s="1"/>
  <c r="K378" i="6"/>
  <c r="L378" i="6" s="1"/>
  <c r="K379" i="6"/>
  <c r="L379" i="6" s="1"/>
  <c r="K380" i="6"/>
  <c r="L380" i="6" s="1"/>
  <c r="K381" i="6"/>
  <c r="L381" i="6" s="1"/>
  <c r="K382" i="6"/>
  <c r="L382" i="6" s="1"/>
  <c r="K383" i="6"/>
  <c r="L383" i="6" s="1"/>
  <c r="K384" i="6"/>
  <c r="K385" i="6"/>
  <c r="L385" i="6" s="1"/>
  <c r="K386" i="6"/>
  <c r="L386" i="6" s="1"/>
  <c r="K387" i="6"/>
  <c r="L387" i="6" s="1"/>
  <c r="K388" i="6"/>
  <c r="L388" i="6" s="1"/>
  <c r="K389" i="6"/>
  <c r="L389" i="6" s="1"/>
  <c r="K390" i="6"/>
  <c r="L390" i="6" s="1"/>
  <c r="K391" i="6"/>
  <c r="L391" i="6" s="1"/>
  <c r="K392" i="6"/>
  <c r="L392" i="6" s="1"/>
  <c r="K393" i="6"/>
  <c r="L393" i="6" s="1"/>
  <c r="K394" i="6"/>
  <c r="L394" i="6" s="1"/>
  <c r="K395" i="6"/>
  <c r="L395" i="6" s="1"/>
  <c r="K396" i="6"/>
  <c r="L396" i="6" s="1"/>
  <c r="K397" i="6"/>
  <c r="L397" i="6" s="1"/>
  <c r="K398" i="6"/>
  <c r="L398" i="6" s="1"/>
  <c r="K399" i="6"/>
  <c r="L399" i="6" s="1"/>
  <c r="K400" i="6"/>
  <c r="L400" i="6" s="1"/>
  <c r="K401" i="6"/>
  <c r="L401" i="6" s="1"/>
  <c r="K402" i="6"/>
  <c r="L402" i="6" s="1"/>
  <c r="K403" i="6"/>
  <c r="L403" i="6" s="1"/>
  <c r="K404" i="6"/>
  <c r="L404" i="6" s="1"/>
  <c r="K405" i="6"/>
  <c r="L405" i="6" s="1"/>
  <c r="K406" i="6"/>
  <c r="L406" i="6" s="1"/>
  <c r="K407" i="6"/>
  <c r="L407" i="6" s="1"/>
  <c r="K408" i="6"/>
  <c r="L408" i="6" s="1"/>
  <c r="K409" i="6"/>
  <c r="L409" i="6" s="1"/>
  <c r="K410" i="6"/>
  <c r="L410" i="6" s="1"/>
  <c r="K411" i="6"/>
  <c r="L411" i="6" s="1"/>
  <c r="K412" i="6"/>
  <c r="L412" i="6" s="1"/>
  <c r="K413" i="6"/>
  <c r="L413" i="6" s="1"/>
  <c r="K414" i="6"/>
  <c r="L414" i="6" s="1"/>
  <c r="K415" i="6"/>
  <c r="L415" i="6" s="1"/>
  <c r="K416" i="6"/>
  <c r="L416" i="6" s="1"/>
  <c r="K417" i="6"/>
  <c r="L417" i="6" s="1"/>
  <c r="K418" i="6"/>
  <c r="L418" i="6" s="1"/>
  <c r="K419" i="6"/>
  <c r="L419" i="6" s="1"/>
  <c r="K420" i="6"/>
  <c r="L420" i="6" s="1"/>
  <c r="K421" i="6"/>
  <c r="L421" i="6" s="1"/>
  <c r="K422" i="6"/>
  <c r="L422" i="6" s="1"/>
  <c r="K423" i="6"/>
  <c r="L423" i="6" s="1"/>
  <c r="K424" i="6"/>
  <c r="L424" i="6" s="1"/>
  <c r="K425" i="6"/>
  <c r="L425" i="6" s="1"/>
  <c r="K426" i="6"/>
  <c r="L426" i="6" s="1"/>
  <c r="K427" i="6"/>
  <c r="L427" i="6" s="1"/>
  <c r="K428" i="6"/>
  <c r="L428" i="6" s="1"/>
  <c r="K429" i="6"/>
  <c r="L429" i="6" s="1"/>
  <c r="K430" i="6"/>
  <c r="L430" i="6" s="1"/>
  <c r="K431" i="6"/>
  <c r="L431" i="6" s="1"/>
  <c r="K432" i="6"/>
  <c r="L432" i="6" s="1"/>
  <c r="K433" i="6"/>
  <c r="L433" i="6" s="1"/>
  <c r="K434" i="6"/>
  <c r="L434" i="6" s="1"/>
  <c r="K435" i="6"/>
  <c r="L435" i="6" s="1"/>
  <c r="K436" i="6"/>
  <c r="L436" i="6" s="1"/>
  <c r="K437" i="6"/>
  <c r="L437" i="6" s="1"/>
  <c r="K438" i="6"/>
  <c r="L438" i="6" s="1"/>
  <c r="K439" i="6"/>
  <c r="L439" i="6" s="1"/>
  <c r="K440" i="6"/>
  <c r="L440" i="6" s="1"/>
  <c r="K441" i="6"/>
  <c r="L441" i="6" s="1"/>
  <c r="K442" i="6"/>
  <c r="L442" i="6" s="1"/>
  <c r="K443" i="6"/>
  <c r="L443" i="6" s="1"/>
  <c r="K444" i="6"/>
  <c r="L444" i="6" s="1"/>
  <c r="K445" i="6"/>
  <c r="L445" i="6" s="1"/>
  <c r="K446" i="6"/>
  <c r="L446" i="6" s="1"/>
  <c r="K447" i="6"/>
  <c r="L447" i="6" s="1"/>
  <c r="K448" i="6"/>
  <c r="L448" i="6" s="1"/>
  <c r="K449" i="6"/>
  <c r="L449" i="6" s="1"/>
  <c r="K450" i="6"/>
  <c r="L450" i="6" s="1"/>
  <c r="K451" i="6"/>
  <c r="L451" i="6" s="1"/>
  <c r="K452" i="6"/>
  <c r="L452" i="6" s="1"/>
  <c r="K453" i="6"/>
  <c r="L453" i="6" s="1"/>
  <c r="K454" i="6"/>
  <c r="L454" i="6" s="1"/>
  <c r="K455" i="6"/>
  <c r="L455" i="6" s="1"/>
  <c r="K456" i="6"/>
  <c r="L456" i="6" s="1"/>
  <c r="K457" i="6"/>
  <c r="L457" i="6" s="1"/>
  <c r="K458" i="6"/>
  <c r="L458" i="6" s="1"/>
  <c r="K459" i="6"/>
  <c r="L459" i="6" s="1"/>
  <c r="K460" i="6"/>
  <c r="L460" i="6" s="1"/>
  <c r="K461" i="6"/>
  <c r="L461" i="6" s="1"/>
  <c r="K462" i="6"/>
  <c r="L462" i="6" s="1"/>
  <c r="K463" i="6"/>
  <c r="L463" i="6" s="1"/>
  <c r="K464" i="6"/>
  <c r="L464" i="6" s="1"/>
  <c r="K465" i="6"/>
  <c r="L465" i="6" s="1"/>
  <c r="K466" i="6"/>
  <c r="L466" i="6" s="1"/>
  <c r="K467" i="6"/>
  <c r="L467" i="6" s="1"/>
  <c r="K468" i="6"/>
  <c r="L468" i="6" s="1"/>
  <c r="K469" i="6"/>
  <c r="L469" i="6" s="1"/>
  <c r="K470" i="6"/>
  <c r="L470" i="6" s="1"/>
  <c r="K471" i="6"/>
  <c r="L471" i="6" s="1"/>
  <c r="K472" i="6"/>
  <c r="L472" i="6" s="1"/>
  <c r="K473" i="6"/>
  <c r="L473" i="6" s="1"/>
  <c r="K474" i="6"/>
  <c r="L474" i="6" s="1"/>
  <c r="K475" i="6"/>
  <c r="L475" i="6" s="1"/>
  <c r="K476" i="6"/>
  <c r="L476" i="6" s="1"/>
  <c r="K477" i="6"/>
  <c r="L477" i="6" s="1"/>
  <c r="K478" i="6"/>
  <c r="L478" i="6" s="1"/>
  <c r="K479" i="6"/>
  <c r="L479" i="6" s="1"/>
  <c r="K480" i="6"/>
  <c r="L480" i="6" s="1"/>
  <c r="K481" i="6"/>
  <c r="L481" i="6" s="1"/>
  <c r="K482" i="6"/>
  <c r="L482" i="6" s="1"/>
  <c r="K483" i="6"/>
  <c r="L483" i="6" s="1"/>
  <c r="K484" i="6"/>
  <c r="L484" i="6" s="1"/>
  <c r="K485" i="6"/>
  <c r="L485" i="6" s="1"/>
  <c r="K486" i="6"/>
  <c r="L486" i="6" s="1"/>
  <c r="K487" i="6"/>
  <c r="L487" i="6" s="1"/>
  <c r="K488" i="6"/>
  <c r="L488" i="6" s="1"/>
  <c r="K489" i="6"/>
  <c r="L489" i="6" s="1"/>
  <c r="K490" i="6"/>
  <c r="L490" i="6" s="1"/>
  <c r="K491" i="6"/>
  <c r="L491" i="6" s="1"/>
  <c r="K492" i="6"/>
  <c r="L492" i="6" s="1"/>
  <c r="K493" i="6"/>
  <c r="L493" i="6" s="1"/>
  <c r="K494" i="6"/>
  <c r="L494" i="6" s="1"/>
  <c r="K495" i="6"/>
  <c r="L495" i="6" s="1"/>
  <c r="K496" i="6"/>
  <c r="L496" i="6" s="1"/>
  <c r="K497" i="6"/>
  <c r="L497" i="6" s="1"/>
  <c r="K498" i="6"/>
  <c r="L498" i="6" s="1"/>
  <c r="K499" i="6"/>
  <c r="L499" i="6" s="1"/>
  <c r="K500" i="6"/>
  <c r="L500" i="6" s="1"/>
  <c r="K501" i="6"/>
  <c r="L501" i="6" s="1"/>
  <c r="K502" i="6"/>
  <c r="L502" i="6" s="1"/>
  <c r="K503" i="6"/>
  <c r="L503" i="6" s="1"/>
  <c r="K504" i="6"/>
  <c r="L504" i="6" s="1"/>
  <c r="K505" i="6"/>
  <c r="L505" i="6" s="1"/>
  <c r="K506" i="6"/>
  <c r="L506" i="6" s="1"/>
  <c r="K507" i="6"/>
  <c r="L507" i="6" s="1"/>
  <c r="K508" i="6"/>
  <c r="L508" i="6" s="1"/>
  <c r="K509" i="6"/>
  <c r="L509" i="6" s="1"/>
  <c r="K510" i="6"/>
  <c r="L510" i="6" s="1"/>
  <c r="K511" i="6"/>
  <c r="L511" i="6" s="1"/>
  <c r="K512" i="6"/>
  <c r="L512" i="6" s="1"/>
  <c r="K513" i="6"/>
  <c r="L513" i="6" s="1"/>
  <c r="K514" i="6"/>
  <c r="L514" i="6" s="1"/>
  <c r="K515" i="6"/>
  <c r="L515" i="6" s="1"/>
  <c r="K516" i="6"/>
  <c r="L516" i="6" s="1"/>
  <c r="K517" i="6"/>
  <c r="L517" i="6" s="1"/>
  <c r="K518" i="6"/>
  <c r="L518" i="6" s="1"/>
  <c r="K519" i="6"/>
  <c r="L519" i="6" s="1"/>
  <c r="K520" i="6"/>
  <c r="L520" i="6" s="1"/>
  <c r="K521" i="6"/>
  <c r="L521" i="6" s="1"/>
  <c r="K522" i="6"/>
  <c r="L522" i="6" s="1"/>
  <c r="K523" i="6"/>
  <c r="L523" i="6" s="1"/>
  <c r="K524" i="6"/>
  <c r="L524" i="6" s="1"/>
  <c r="K525" i="6"/>
  <c r="L525" i="6" s="1"/>
  <c r="K526" i="6"/>
  <c r="L526" i="6" s="1"/>
  <c r="K527" i="6"/>
  <c r="L527" i="6" s="1"/>
  <c r="K528" i="6"/>
  <c r="L528" i="6" s="1"/>
  <c r="K529" i="6"/>
  <c r="L529" i="6" s="1"/>
  <c r="K530" i="6"/>
  <c r="K531" i="6"/>
  <c r="K532" i="6"/>
  <c r="L532" i="6" s="1"/>
  <c r="K533" i="6"/>
  <c r="L533" i="6" s="1"/>
  <c r="K534" i="6"/>
  <c r="L534" i="6" s="1"/>
  <c r="K535" i="6"/>
  <c r="L535" i="6" s="1"/>
  <c r="K536" i="6"/>
  <c r="L536" i="6" s="1"/>
  <c r="K537" i="6"/>
  <c r="L537" i="6" s="1"/>
  <c r="K538" i="6"/>
  <c r="L538" i="6" s="1"/>
  <c r="K539" i="6"/>
  <c r="L539" i="6" s="1"/>
  <c r="K540" i="6"/>
  <c r="L540" i="6" s="1"/>
  <c r="K541" i="6"/>
  <c r="L541" i="6" s="1"/>
  <c r="K542" i="6"/>
  <c r="L542" i="6" s="1"/>
  <c r="K543" i="6"/>
  <c r="L543" i="6" s="1"/>
  <c r="K544" i="6"/>
  <c r="L544" i="6" s="1"/>
  <c r="K545" i="6"/>
  <c r="L545" i="6" s="1"/>
  <c r="K546" i="6"/>
  <c r="L546" i="6" s="1"/>
  <c r="K547" i="6"/>
  <c r="L547" i="6" s="1"/>
  <c r="K548" i="6"/>
  <c r="L548" i="6" s="1"/>
  <c r="K549" i="6"/>
  <c r="L549" i="6" s="1"/>
  <c r="K550" i="6"/>
  <c r="L550" i="6" s="1"/>
  <c r="K551" i="6"/>
  <c r="L551" i="6" s="1"/>
  <c r="K552" i="6"/>
  <c r="L552" i="6" s="1"/>
  <c r="K553" i="6"/>
  <c r="L553" i="6" s="1"/>
  <c r="K554" i="6"/>
  <c r="L554" i="6" s="1"/>
  <c r="K555" i="6"/>
  <c r="L555" i="6" s="1"/>
  <c r="K556" i="6"/>
  <c r="L556" i="6" s="1"/>
  <c r="K557" i="6"/>
  <c r="L557" i="6" s="1"/>
  <c r="K558" i="6"/>
  <c r="L558" i="6" s="1"/>
  <c r="K559" i="6"/>
  <c r="L559" i="6" s="1"/>
  <c r="K560" i="6"/>
  <c r="L560" i="6" s="1"/>
  <c r="K561" i="6"/>
  <c r="L561" i="6" s="1"/>
  <c r="K562" i="6"/>
  <c r="L562" i="6" s="1"/>
  <c r="K563" i="6"/>
  <c r="L563" i="6" s="1"/>
  <c r="K564" i="6"/>
  <c r="L564" i="6" s="1"/>
  <c r="K565" i="6"/>
  <c r="L565" i="6" s="1"/>
  <c r="K566" i="6"/>
  <c r="L566" i="6" s="1"/>
  <c r="K567" i="6"/>
  <c r="L567" i="6" s="1"/>
  <c r="K568" i="6"/>
  <c r="L568" i="6" s="1"/>
  <c r="K569" i="6"/>
  <c r="L569" i="6" s="1"/>
  <c r="K570" i="6"/>
  <c r="L570" i="6" s="1"/>
  <c r="K571" i="6"/>
  <c r="L571" i="6" s="1"/>
  <c r="K572" i="6"/>
  <c r="L572" i="6" s="1"/>
  <c r="K573" i="6"/>
  <c r="L573" i="6" s="1"/>
  <c r="K574" i="6"/>
  <c r="L574" i="6" s="1"/>
  <c r="K575" i="6"/>
  <c r="L575" i="6" s="1"/>
  <c r="K576" i="6"/>
  <c r="L576" i="6" s="1"/>
  <c r="K577" i="6"/>
  <c r="L577" i="6" s="1"/>
  <c r="K578" i="6"/>
  <c r="L578" i="6" s="1"/>
  <c r="K579" i="6"/>
  <c r="L579" i="6" s="1"/>
  <c r="K580" i="6"/>
  <c r="L580" i="6" s="1"/>
  <c r="K581" i="6"/>
  <c r="L581" i="6" s="1"/>
  <c r="K582" i="6"/>
  <c r="L582" i="6" s="1"/>
  <c r="K583" i="6"/>
  <c r="L583" i="6" s="1"/>
  <c r="K584" i="6"/>
  <c r="L584" i="6" s="1"/>
  <c r="K585" i="6"/>
  <c r="L585" i="6" s="1"/>
  <c r="K586" i="6"/>
  <c r="L586" i="6" s="1"/>
  <c r="K587" i="6"/>
  <c r="L587" i="6" s="1"/>
  <c r="K588" i="6"/>
  <c r="L588" i="6" s="1"/>
  <c r="K589" i="6"/>
  <c r="L589" i="6" s="1"/>
  <c r="K590" i="6"/>
  <c r="L590" i="6" s="1"/>
  <c r="K591" i="6"/>
  <c r="L591" i="6" s="1"/>
  <c r="K592" i="6"/>
  <c r="L592" i="6" s="1"/>
  <c r="K593" i="6"/>
  <c r="L593" i="6" s="1"/>
  <c r="K594" i="6"/>
  <c r="L594" i="6" s="1"/>
  <c r="K595" i="6"/>
  <c r="L595" i="6" s="1"/>
  <c r="K596" i="6"/>
  <c r="L596" i="6" s="1"/>
  <c r="K597" i="6"/>
  <c r="L597" i="6" s="1"/>
  <c r="K598" i="6"/>
  <c r="L598" i="6" s="1"/>
  <c r="K599" i="6"/>
  <c r="L599" i="6" s="1"/>
  <c r="K600" i="6"/>
  <c r="L600" i="6" s="1"/>
  <c r="K601" i="6"/>
  <c r="L601" i="6" s="1"/>
  <c r="K602" i="6"/>
  <c r="L602" i="6" s="1"/>
  <c r="K603" i="6"/>
  <c r="L603" i="6" s="1"/>
  <c r="K604" i="6"/>
  <c r="L604" i="6" s="1"/>
  <c r="K605" i="6"/>
  <c r="L605" i="6" s="1"/>
  <c r="K606" i="6"/>
  <c r="L606" i="6" s="1"/>
  <c r="K607" i="6"/>
  <c r="L607" i="6" s="1"/>
  <c r="K608" i="6"/>
  <c r="L608" i="6" s="1"/>
  <c r="K609" i="6"/>
  <c r="L609" i="6" s="1"/>
  <c r="K610" i="6"/>
  <c r="L610" i="6" s="1"/>
  <c r="K611" i="6"/>
  <c r="L611" i="6" s="1"/>
  <c r="K612" i="6"/>
  <c r="L612" i="6" s="1"/>
  <c r="K613" i="6"/>
  <c r="L613" i="6" s="1"/>
  <c r="K614" i="6"/>
  <c r="L614" i="6" s="1"/>
  <c r="K615" i="6"/>
  <c r="L615" i="6" s="1"/>
  <c r="K616" i="6"/>
  <c r="L616" i="6" s="1"/>
  <c r="K617" i="6"/>
  <c r="L617" i="6" s="1"/>
  <c r="K618" i="6"/>
  <c r="L618" i="6" s="1"/>
  <c r="K619" i="6"/>
  <c r="L619" i="6" s="1"/>
  <c r="K620" i="6"/>
  <c r="L620" i="6" s="1"/>
  <c r="K621" i="6"/>
  <c r="L621" i="6" s="1"/>
  <c r="K622" i="6"/>
  <c r="L622" i="6" s="1"/>
  <c r="K623" i="6"/>
  <c r="L623" i="6" s="1"/>
  <c r="K624" i="6"/>
  <c r="L624" i="6" s="1"/>
  <c r="K625" i="6"/>
  <c r="L625" i="6" s="1"/>
  <c r="K626" i="6"/>
  <c r="L626" i="6" s="1"/>
  <c r="K627" i="6"/>
  <c r="K628" i="6"/>
  <c r="L628" i="6" s="1"/>
  <c r="K629" i="6"/>
  <c r="L629" i="6" s="1"/>
  <c r="K630" i="6"/>
  <c r="L630" i="6" s="1"/>
  <c r="K631" i="6"/>
  <c r="L631" i="6" s="1"/>
  <c r="K632" i="6"/>
  <c r="L632" i="6" s="1"/>
  <c r="K633" i="6"/>
  <c r="L633" i="6" s="1"/>
  <c r="K634" i="6"/>
  <c r="L634" i="6" s="1"/>
  <c r="K635" i="6"/>
  <c r="L635" i="6" s="1"/>
  <c r="K636" i="6"/>
  <c r="L636" i="6" s="1"/>
  <c r="K637" i="6"/>
  <c r="L637" i="6" s="1"/>
  <c r="K638" i="6"/>
  <c r="L638" i="6" s="1"/>
  <c r="K639" i="6"/>
  <c r="L639" i="6" s="1"/>
  <c r="K640" i="6"/>
  <c r="L640" i="6" s="1"/>
  <c r="K641" i="6"/>
  <c r="L641" i="6" s="1"/>
  <c r="K642" i="6"/>
  <c r="L642" i="6" s="1"/>
  <c r="K643" i="6"/>
  <c r="L643" i="6" s="1"/>
  <c r="K644" i="6"/>
  <c r="L644" i="6" s="1"/>
  <c r="K645" i="6"/>
  <c r="L645" i="6" s="1"/>
  <c r="K646" i="6"/>
  <c r="L646" i="6" s="1"/>
  <c r="K647" i="6"/>
  <c r="L647" i="6" s="1"/>
  <c r="K648" i="6"/>
  <c r="L648" i="6" s="1"/>
  <c r="K649" i="6"/>
  <c r="L649" i="6" s="1"/>
  <c r="K650" i="6"/>
  <c r="L650" i="6" s="1"/>
  <c r="K651" i="6"/>
  <c r="L651" i="6" s="1"/>
  <c r="K652" i="6"/>
  <c r="L652" i="6" s="1"/>
  <c r="K653" i="6"/>
  <c r="L653" i="6" s="1"/>
  <c r="K654" i="6"/>
  <c r="L654" i="6" s="1"/>
  <c r="K655" i="6"/>
  <c r="L655" i="6" s="1"/>
  <c r="K656" i="6"/>
  <c r="L656" i="6" s="1"/>
  <c r="K657" i="6"/>
  <c r="L657" i="6" s="1"/>
  <c r="K658" i="6"/>
  <c r="L658" i="6" s="1"/>
  <c r="K659" i="6"/>
  <c r="L659" i="6" s="1"/>
  <c r="K660" i="6"/>
  <c r="L660" i="6" s="1"/>
  <c r="K661" i="6"/>
  <c r="L661" i="6" s="1"/>
  <c r="K662" i="6"/>
  <c r="L662" i="6" s="1"/>
  <c r="K663" i="6"/>
  <c r="L663" i="6" s="1"/>
  <c r="K664" i="6"/>
  <c r="L664" i="6" s="1"/>
  <c r="K665" i="6"/>
  <c r="L665" i="6" s="1"/>
  <c r="K666" i="6"/>
  <c r="L666" i="6" s="1"/>
  <c r="K667" i="6"/>
  <c r="L667" i="6" s="1"/>
  <c r="K668" i="6"/>
  <c r="L668" i="6" s="1"/>
  <c r="K669" i="6"/>
  <c r="L669" i="6" s="1"/>
  <c r="K670" i="6"/>
  <c r="L670" i="6" s="1"/>
  <c r="K671" i="6"/>
  <c r="L671" i="6" s="1"/>
  <c r="K672" i="6"/>
  <c r="L672" i="6" s="1"/>
  <c r="K673" i="6"/>
  <c r="L673" i="6" s="1"/>
  <c r="K674" i="6"/>
  <c r="L674" i="6" s="1"/>
  <c r="K675" i="6"/>
  <c r="L675" i="6" s="1"/>
  <c r="K676" i="6"/>
  <c r="L676" i="6" s="1"/>
  <c r="K677" i="6"/>
  <c r="L677" i="6" s="1"/>
  <c r="K678" i="6"/>
  <c r="L678" i="6" s="1"/>
  <c r="K679" i="6"/>
  <c r="L679" i="6" s="1"/>
  <c r="K680" i="6"/>
  <c r="L680" i="6" s="1"/>
  <c r="K681" i="6"/>
  <c r="L681" i="6" s="1"/>
  <c r="K682" i="6"/>
  <c r="L682" i="6" s="1"/>
  <c r="K683" i="6"/>
  <c r="L683" i="6" s="1"/>
  <c r="K684" i="6"/>
  <c r="L684" i="6" s="1"/>
  <c r="K685" i="6"/>
  <c r="L685" i="6" s="1"/>
  <c r="K686" i="6"/>
  <c r="L686" i="6" s="1"/>
  <c r="K687" i="6"/>
  <c r="L687" i="6" s="1"/>
  <c r="K688" i="6"/>
  <c r="L688" i="6" s="1"/>
  <c r="K689" i="6"/>
  <c r="L689" i="6" s="1"/>
  <c r="K690" i="6"/>
  <c r="L690" i="6" s="1"/>
  <c r="K691" i="6"/>
  <c r="L691" i="6" s="1"/>
  <c r="K692" i="6"/>
  <c r="L692" i="6" s="1"/>
  <c r="K693" i="6"/>
  <c r="L693" i="6" s="1"/>
  <c r="K694" i="6"/>
  <c r="L694" i="6" s="1"/>
  <c r="K695" i="6"/>
  <c r="L695" i="6" s="1"/>
  <c r="K696" i="6"/>
  <c r="L696" i="6" s="1"/>
  <c r="K697" i="6"/>
  <c r="L697" i="6" s="1"/>
  <c r="K698" i="6"/>
  <c r="L698" i="6" s="1"/>
  <c r="K699" i="6"/>
  <c r="K700" i="6"/>
  <c r="L700" i="6" s="1"/>
  <c r="K701" i="6"/>
  <c r="L701" i="6" s="1"/>
  <c r="K702" i="6"/>
  <c r="L702" i="6" s="1"/>
  <c r="K703" i="6"/>
  <c r="L703" i="6" s="1"/>
  <c r="K704" i="6"/>
  <c r="L704" i="6" s="1"/>
  <c r="K705" i="6"/>
  <c r="L705" i="6" s="1"/>
  <c r="K706" i="6"/>
  <c r="L706" i="6" s="1"/>
  <c r="K707" i="6"/>
  <c r="L707" i="6" s="1"/>
  <c r="K708" i="6"/>
  <c r="L708" i="6" s="1"/>
  <c r="K709" i="6"/>
  <c r="L709" i="6" s="1"/>
  <c r="K710" i="6"/>
  <c r="L710" i="6" s="1"/>
  <c r="K711" i="6"/>
  <c r="L711" i="6" s="1"/>
  <c r="K712" i="6"/>
  <c r="L712" i="6" s="1"/>
  <c r="K713" i="6"/>
  <c r="L713" i="6" s="1"/>
  <c r="K714" i="6"/>
  <c r="L714" i="6" s="1"/>
  <c r="K715" i="6"/>
  <c r="L715" i="6" s="1"/>
  <c r="K716" i="6"/>
  <c r="L716" i="6" s="1"/>
  <c r="K717" i="6"/>
  <c r="L717" i="6" s="1"/>
  <c r="K718" i="6"/>
  <c r="L718" i="6" s="1"/>
  <c r="K719" i="6"/>
  <c r="L719" i="6" s="1"/>
  <c r="K720" i="6"/>
  <c r="L720" i="6" s="1"/>
  <c r="K721" i="6"/>
  <c r="L721" i="6" s="1"/>
  <c r="K722" i="6"/>
  <c r="L722" i="6" s="1"/>
  <c r="K723" i="6"/>
  <c r="L723" i="6" s="1"/>
  <c r="K724" i="6"/>
  <c r="L724" i="6" s="1"/>
  <c r="K725" i="6"/>
  <c r="L725" i="6" s="1"/>
  <c r="K726" i="6"/>
  <c r="L726" i="6" s="1"/>
  <c r="K727" i="6"/>
  <c r="L727" i="6" s="1"/>
  <c r="K728" i="6"/>
  <c r="L728" i="6" s="1"/>
  <c r="K729" i="6"/>
  <c r="L729" i="6" s="1"/>
  <c r="K730" i="6"/>
  <c r="L730" i="6" s="1"/>
  <c r="K731" i="6"/>
  <c r="L731" i="6" s="1"/>
  <c r="K732" i="6"/>
  <c r="L732" i="6" s="1"/>
  <c r="K733" i="6"/>
  <c r="L733" i="6" s="1"/>
  <c r="K734" i="6"/>
  <c r="L734" i="6" s="1"/>
  <c r="K735" i="6"/>
  <c r="L735" i="6" s="1"/>
  <c r="K736" i="6"/>
  <c r="L736" i="6" s="1"/>
  <c r="K737" i="6"/>
  <c r="L737" i="6" s="1"/>
  <c r="K738" i="6"/>
  <c r="L738" i="6" s="1"/>
  <c r="K739" i="6"/>
  <c r="L739" i="6" s="1"/>
  <c r="K740" i="6"/>
  <c r="L740" i="6" s="1"/>
  <c r="K3" i="7"/>
  <c r="L3" i="7" s="1"/>
  <c r="K4" i="7"/>
  <c r="L4" i="7" s="1"/>
  <c r="K5" i="7"/>
  <c r="L5" i="7" s="1"/>
  <c r="K6" i="7"/>
  <c r="L6" i="7" s="1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24" i="7"/>
  <c r="L24" i="7" s="1"/>
  <c r="K25" i="7"/>
  <c r="L25" i="7" s="1"/>
  <c r="K26" i="7"/>
  <c r="L26" i="7" s="1"/>
  <c r="K27" i="7"/>
  <c r="L27" i="7" s="1"/>
  <c r="K28" i="7"/>
  <c r="L28" i="7" s="1"/>
  <c r="K29" i="7"/>
  <c r="L29" i="7" s="1"/>
  <c r="K30" i="7"/>
  <c r="L30" i="7" s="1"/>
  <c r="K31" i="7"/>
  <c r="L31" i="7" s="1"/>
  <c r="K32" i="7"/>
  <c r="L32" i="7" s="1"/>
  <c r="K33" i="7"/>
  <c r="K34" i="7"/>
  <c r="L34" i="7" s="1"/>
  <c r="K35" i="7"/>
  <c r="L35" i="7" s="1"/>
  <c r="K36" i="7"/>
  <c r="L36" i="7" s="1"/>
  <c r="K37" i="7"/>
  <c r="L37" i="7" s="1"/>
  <c r="K38" i="7"/>
  <c r="L38" i="7" s="1"/>
  <c r="K39" i="7"/>
  <c r="L39" i="7" s="1"/>
  <c r="K40" i="7"/>
  <c r="L40" i="7" s="1"/>
  <c r="K41" i="7"/>
  <c r="L41" i="7" s="1"/>
  <c r="K42" i="7"/>
  <c r="L42" i="7" s="1"/>
  <c r="K43" i="7"/>
  <c r="L43" i="7" s="1"/>
  <c r="K44" i="7"/>
  <c r="L44" i="7" s="1"/>
  <c r="K45" i="7"/>
  <c r="L45" i="7" s="1"/>
  <c r="K46" i="7"/>
  <c r="L46" i="7" s="1"/>
  <c r="K47" i="7"/>
  <c r="L47" i="7" s="1"/>
  <c r="K48" i="7"/>
  <c r="L48" i="7" s="1"/>
  <c r="K49" i="7"/>
  <c r="L49" i="7" s="1"/>
  <c r="K50" i="7"/>
  <c r="L50" i="7" s="1"/>
  <c r="K51" i="7"/>
  <c r="L51" i="7" s="1"/>
  <c r="K52" i="7"/>
  <c r="L52" i="7" s="1"/>
  <c r="K53" i="7"/>
  <c r="L53" i="7" s="1"/>
  <c r="K54" i="7"/>
  <c r="L54" i="7" s="1"/>
  <c r="K55" i="7"/>
  <c r="L55" i="7" s="1"/>
  <c r="K56" i="7"/>
  <c r="L56" i="7" s="1"/>
  <c r="K57" i="7"/>
  <c r="L57" i="7" s="1"/>
  <c r="K58" i="7"/>
  <c r="L58" i="7" s="1"/>
  <c r="K59" i="7"/>
  <c r="L59" i="7" s="1"/>
  <c r="K60" i="7"/>
  <c r="L60" i="7" s="1"/>
  <c r="K61" i="7"/>
  <c r="L61" i="7" s="1"/>
  <c r="K62" i="7"/>
  <c r="L62" i="7" s="1"/>
  <c r="K63" i="7"/>
  <c r="L63" i="7" s="1"/>
  <c r="K64" i="7"/>
  <c r="L64" i="7" s="1"/>
  <c r="K65" i="7"/>
  <c r="L65" i="7" s="1"/>
  <c r="K66" i="7"/>
  <c r="L66" i="7" s="1"/>
  <c r="K67" i="7"/>
  <c r="L67" i="7" s="1"/>
  <c r="K68" i="7"/>
  <c r="L68" i="7" s="1"/>
  <c r="K69" i="7"/>
  <c r="L69" i="7" s="1"/>
  <c r="K70" i="7"/>
  <c r="L70" i="7" s="1"/>
  <c r="K71" i="7"/>
  <c r="L71" i="7" s="1"/>
  <c r="K72" i="7"/>
  <c r="L72" i="7" s="1"/>
  <c r="K73" i="7"/>
  <c r="L73" i="7" s="1"/>
  <c r="K74" i="7"/>
  <c r="L74" i="7" s="1"/>
  <c r="K75" i="7"/>
  <c r="L75" i="7" s="1"/>
  <c r="K76" i="7"/>
  <c r="L76" i="7" s="1"/>
  <c r="K77" i="7"/>
  <c r="L77" i="7" s="1"/>
  <c r="K78" i="7"/>
  <c r="L78" i="7" s="1"/>
  <c r="K79" i="7"/>
  <c r="L79" i="7" s="1"/>
  <c r="K80" i="7"/>
  <c r="L80" i="7" s="1"/>
  <c r="K81" i="7"/>
  <c r="L81" i="7" s="1"/>
  <c r="K82" i="7"/>
  <c r="L82" i="7" s="1"/>
  <c r="K83" i="7"/>
  <c r="L83" i="7" s="1"/>
  <c r="K84" i="7"/>
  <c r="L84" i="7" s="1"/>
  <c r="K85" i="7"/>
  <c r="L85" i="7" s="1"/>
  <c r="K86" i="7"/>
  <c r="L86" i="7" s="1"/>
  <c r="K87" i="7"/>
  <c r="L87" i="7" s="1"/>
  <c r="K88" i="7"/>
  <c r="L88" i="7" s="1"/>
  <c r="K89" i="7"/>
  <c r="L89" i="7" s="1"/>
  <c r="K90" i="7"/>
  <c r="L90" i="7" s="1"/>
  <c r="K91" i="7"/>
  <c r="L91" i="7" s="1"/>
  <c r="K92" i="7"/>
  <c r="L92" i="7" s="1"/>
  <c r="K93" i="7"/>
  <c r="L93" i="7" s="1"/>
  <c r="K94" i="7"/>
  <c r="L94" i="7" s="1"/>
  <c r="K95" i="7"/>
  <c r="L95" i="7" s="1"/>
  <c r="K96" i="7"/>
  <c r="L96" i="7" s="1"/>
  <c r="K97" i="7"/>
  <c r="L97" i="7" s="1"/>
  <c r="K98" i="7"/>
  <c r="L98" i="7" s="1"/>
  <c r="K99" i="7"/>
  <c r="L99" i="7" s="1"/>
  <c r="K100" i="7"/>
  <c r="L100" i="7" s="1"/>
  <c r="K101" i="7"/>
  <c r="L101" i="7" s="1"/>
  <c r="K102" i="7"/>
  <c r="L102" i="7" s="1"/>
  <c r="K103" i="7"/>
  <c r="L103" i="7" s="1"/>
  <c r="K104" i="7"/>
  <c r="L104" i="7" s="1"/>
  <c r="K105" i="7"/>
  <c r="L105" i="7" s="1"/>
  <c r="K106" i="7"/>
  <c r="L106" i="7" s="1"/>
  <c r="K107" i="7"/>
  <c r="L107" i="7" s="1"/>
  <c r="K108" i="7"/>
  <c r="L108" i="7" s="1"/>
  <c r="K109" i="7"/>
  <c r="L109" i="7" s="1"/>
  <c r="K110" i="7"/>
  <c r="L110" i="7" s="1"/>
  <c r="K111" i="7"/>
  <c r="L111" i="7" s="1"/>
  <c r="K112" i="7"/>
  <c r="L112" i="7" s="1"/>
  <c r="K113" i="7"/>
  <c r="L113" i="7" s="1"/>
  <c r="K114" i="7"/>
  <c r="L114" i="7" s="1"/>
  <c r="K115" i="7"/>
  <c r="L115" i="7" s="1"/>
  <c r="K116" i="7"/>
  <c r="L116" i="7" s="1"/>
  <c r="K117" i="7"/>
  <c r="L117" i="7" s="1"/>
  <c r="K118" i="7"/>
  <c r="L118" i="7" s="1"/>
  <c r="K119" i="7"/>
  <c r="L119" i="7" s="1"/>
  <c r="K120" i="7"/>
  <c r="L120" i="7" s="1"/>
  <c r="K121" i="7"/>
  <c r="L121" i="7" s="1"/>
  <c r="K122" i="7"/>
  <c r="L122" i="7" s="1"/>
  <c r="K123" i="7"/>
  <c r="L123" i="7" s="1"/>
  <c r="K124" i="7"/>
  <c r="L124" i="7" s="1"/>
  <c r="K125" i="7"/>
  <c r="L125" i="7" s="1"/>
  <c r="K126" i="7"/>
  <c r="L126" i="7" s="1"/>
  <c r="K127" i="7"/>
  <c r="L127" i="7" s="1"/>
  <c r="K128" i="7"/>
  <c r="L128" i="7" s="1"/>
  <c r="K129" i="7"/>
  <c r="L129" i="7" s="1"/>
  <c r="K130" i="7"/>
  <c r="L130" i="7" s="1"/>
  <c r="K131" i="7"/>
  <c r="L131" i="7" s="1"/>
  <c r="K132" i="7"/>
  <c r="L132" i="7" s="1"/>
  <c r="K133" i="7"/>
  <c r="L133" i="7" s="1"/>
  <c r="K134" i="7"/>
  <c r="L134" i="7" s="1"/>
  <c r="K135" i="7"/>
  <c r="L135" i="7" s="1"/>
  <c r="K136" i="7"/>
  <c r="L136" i="7" s="1"/>
  <c r="K137" i="7"/>
  <c r="L137" i="7" s="1"/>
  <c r="K138" i="7"/>
  <c r="L138" i="7" s="1"/>
  <c r="K139" i="7"/>
  <c r="L139" i="7" s="1"/>
  <c r="K140" i="7"/>
  <c r="L140" i="7" s="1"/>
  <c r="K141" i="7"/>
  <c r="L141" i="7" s="1"/>
  <c r="K142" i="7"/>
  <c r="L142" i="7" s="1"/>
  <c r="K143" i="7"/>
  <c r="L143" i="7" s="1"/>
  <c r="K144" i="7"/>
  <c r="L144" i="7" s="1"/>
  <c r="K145" i="7"/>
  <c r="L145" i="7" s="1"/>
  <c r="K146" i="7"/>
  <c r="L146" i="7" s="1"/>
  <c r="K147" i="7"/>
  <c r="L147" i="7" s="1"/>
  <c r="K148" i="7"/>
  <c r="L148" i="7" s="1"/>
  <c r="K149" i="7"/>
  <c r="L149" i="7" s="1"/>
  <c r="K150" i="7"/>
  <c r="L150" i="7" s="1"/>
  <c r="K151" i="7"/>
  <c r="L151" i="7" s="1"/>
  <c r="K152" i="7"/>
  <c r="L152" i="7" s="1"/>
  <c r="K153" i="7"/>
  <c r="L153" i="7" s="1"/>
  <c r="K154" i="7"/>
  <c r="L154" i="7" s="1"/>
  <c r="K155" i="7"/>
  <c r="L155" i="7" s="1"/>
  <c r="K156" i="7"/>
  <c r="L156" i="7" s="1"/>
  <c r="K157" i="7"/>
  <c r="L157" i="7" s="1"/>
  <c r="K158" i="7"/>
  <c r="L158" i="7" s="1"/>
  <c r="K159" i="7"/>
  <c r="L159" i="7" s="1"/>
  <c r="K160" i="7"/>
  <c r="L160" i="7" s="1"/>
  <c r="K161" i="7"/>
  <c r="L161" i="7" s="1"/>
  <c r="K162" i="7"/>
  <c r="L162" i="7" s="1"/>
  <c r="K163" i="7"/>
  <c r="L163" i="7" s="1"/>
  <c r="K164" i="7"/>
  <c r="L164" i="7" s="1"/>
  <c r="K165" i="7"/>
  <c r="L165" i="7" s="1"/>
  <c r="K166" i="7"/>
  <c r="L166" i="7" s="1"/>
  <c r="K167" i="7"/>
  <c r="L167" i="7" s="1"/>
  <c r="K168" i="7"/>
  <c r="L168" i="7" s="1"/>
  <c r="K169" i="7"/>
  <c r="L169" i="7" s="1"/>
  <c r="K170" i="7"/>
  <c r="L170" i="7" s="1"/>
  <c r="K171" i="7"/>
  <c r="L171" i="7" s="1"/>
  <c r="K172" i="7"/>
  <c r="L172" i="7" s="1"/>
  <c r="K173" i="7"/>
  <c r="L173" i="7" s="1"/>
  <c r="K174" i="7"/>
  <c r="L174" i="7" s="1"/>
  <c r="K175" i="7"/>
  <c r="L175" i="7" s="1"/>
  <c r="K176" i="7"/>
  <c r="L176" i="7" s="1"/>
  <c r="K177" i="7"/>
  <c r="L177" i="7" s="1"/>
  <c r="K178" i="7"/>
  <c r="L178" i="7" s="1"/>
  <c r="K179" i="7"/>
  <c r="L179" i="7" s="1"/>
  <c r="K180" i="7"/>
  <c r="L180" i="7" s="1"/>
  <c r="K181" i="7"/>
  <c r="L181" i="7" s="1"/>
  <c r="K182" i="7"/>
  <c r="L182" i="7" s="1"/>
  <c r="K183" i="7"/>
  <c r="L183" i="7" s="1"/>
  <c r="K184" i="7"/>
  <c r="L184" i="7" s="1"/>
  <c r="K185" i="7"/>
  <c r="L185" i="7" s="1"/>
  <c r="K186" i="7"/>
  <c r="L186" i="7" s="1"/>
  <c r="K187" i="7"/>
  <c r="L187" i="7" s="1"/>
  <c r="K188" i="7"/>
  <c r="L188" i="7" s="1"/>
  <c r="K189" i="7"/>
  <c r="L189" i="7" s="1"/>
  <c r="K190" i="7"/>
  <c r="L190" i="7" s="1"/>
  <c r="K191" i="7"/>
  <c r="L191" i="7" s="1"/>
  <c r="K192" i="7"/>
  <c r="L192" i="7" s="1"/>
  <c r="K193" i="7"/>
  <c r="L193" i="7" s="1"/>
  <c r="K194" i="7"/>
  <c r="L194" i="7" s="1"/>
  <c r="K195" i="7"/>
  <c r="L195" i="7" s="1"/>
  <c r="K196" i="7"/>
  <c r="L196" i="7" s="1"/>
  <c r="K197" i="7"/>
  <c r="L197" i="7" s="1"/>
  <c r="K198" i="7"/>
  <c r="L198" i="7" s="1"/>
  <c r="K199" i="7"/>
  <c r="L199" i="7" s="1"/>
  <c r="K200" i="7"/>
  <c r="L200" i="7" s="1"/>
  <c r="K201" i="7"/>
  <c r="L201" i="7" s="1"/>
  <c r="K202" i="7"/>
  <c r="L202" i="7" s="1"/>
  <c r="K203" i="7"/>
  <c r="L203" i="7" s="1"/>
  <c r="K204" i="7"/>
  <c r="L204" i="7" s="1"/>
  <c r="K205" i="7"/>
  <c r="L205" i="7" s="1"/>
  <c r="K206" i="7"/>
  <c r="L206" i="7" s="1"/>
  <c r="K207" i="7"/>
  <c r="L207" i="7" s="1"/>
  <c r="K208" i="7"/>
  <c r="L208" i="7" s="1"/>
  <c r="K209" i="7"/>
  <c r="L209" i="7" s="1"/>
  <c r="K210" i="7"/>
  <c r="L210" i="7" s="1"/>
  <c r="K211" i="7"/>
  <c r="L211" i="7" s="1"/>
  <c r="K212" i="7"/>
  <c r="L212" i="7" s="1"/>
  <c r="K213" i="7"/>
  <c r="L213" i="7" s="1"/>
  <c r="K214" i="7"/>
  <c r="L214" i="7" s="1"/>
  <c r="K215" i="7"/>
  <c r="L215" i="7" s="1"/>
  <c r="K216" i="7"/>
  <c r="L216" i="7" s="1"/>
  <c r="K217" i="7"/>
  <c r="L217" i="7" s="1"/>
  <c r="K218" i="7"/>
  <c r="L218" i="7" s="1"/>
  <c r="K219" i="7"/>
  <c r="L219" i="7" s="1"/>
  <c r="K220" i="7"/>
  <c r="L220" i="7" s="1"/>
  <c r="K221" i="7"/>
  <c r="L221" i="7" s="1"/>
  <c r="K222" i="7"/>
  <c r="L222" i="7" s="1"/>
  <c r="K223" i="7"/>
  <c r="L223" i="7" s="1"/>
  <c r="K224" i="7"/>
  <c r="L224" i="7" s="1"/>
  <c r="K225" i="7"/>
  <c r="L225" i="7" s="1"/>
  <c r="K226" i="7"/>
  <c r="L226" i="7" s="1"/>
  <c r="K227" i="7"/>
  <c r="L227" i="7" s="1"/>
  <c r="K228" i="7"/>
  <c r="L228" i="7" s="1"/>
  <c r="K229" i="7"/>
  <c r="L229" i="7" s="1"/>
  <c r="K230" i="7"/>
  <c r="L230" i="7" s="1"/>
  <c r="K231" i="7"/>
  <c r="L231" i="7" s="1"/>
  <c r="K232" i="7"/>
  <c r="L232" i="7" s="1"/>
  <c r="K233" i="7"/>
  <c r="L233" i="7" s="1"/>
  <c r="K234" i="7"/>
  <c r="L234" i="7" s="1"/>
  <c r="K235" i="7"/>
  <c r="L235" i="7" s="1"/>
  <c r="K236" i="7"/>
  <c r="L236" i="7" s="1"/>
  <c r="K237" i="7"/>
  <c r="L237" i="7" s="1"/>
  <c r="K238" i="7"/>
  <c r="L238" i="7" s="1"/>
  <c r="K239" i="7"/>
  <c r="L239" i="7" s="1"/>
  <c r="K240" i="7"/>
  <c r="L240" i="7" s="1"/>
  <c r="K241" i="7"/>
  <c r="L241" i="7" s="1"/>
  <c r="K242" i="7"/>
  <c r="L242" i="7" s="1"/>
  <c r="K243" i="7"/>
  <c r="L243" i="7" s="1"/>
  <c r="K244" i="7"/>
  <c r="L244" i="7" s="1"/>
  <c r="K245" i="7"/>
  <c r="L245" i="7" s="1"/>
  <c r="K246" i="7"/>
  <c r="L246" i="7" s="1"/>
  <c r="K247" i="7"/>
  <c r="L247" i="7" s="1"/>
  <c r="K248" i="7"/>
  <c r="L248" i="7" s="1"/>
  <c r="K249" i="7"/>
  <c r="K250" i="7"/>
  <c r="L250" i="7" s="1"/>
  <c r="K251" i="7"/>
  <c r="L251" i="7" s="1"/>
  <c r="K252" i="7"/>
  <c r="L252" i="7" s="1"/>
  <c r="K253" i="7"/>
  <c r="L253" i="7" s="1"/>
  <c r="K254" i="7"/>
  <c r="L254" i="7" s="1"/>
  <c r="K255" i="7"/>
  <c r="L255" i="7" s="1"/>
  <c r="K256" i="7"/>
  <c r="L256" i="7" s="1"/>
  <c r="K257" i="7"/>
  <c r="L257" i="7" s="1"/>
  <c r="K258" i="7"/>
  <c r="L258" i="7" s="1"/>
  <c r="K259" i="7"/>
  <c r="L259" i="7" s="1"/>
  <c r="K260" i="7"/>
  <c r="L260" i="7" s="1"/>
  <c r="K261" i="7"/>
  <c r="L261" i="7" s="1"/>
  <c r="K262" i="7"/>
  <c r="L262" i="7" s="1"/>
  <c r="K263" i="7"/>
  <c r="L263" i="7" s="1"/>
  <c r="K264" i="7"/>
  <c r="L264" i="7" s="1"/>
  <c r="K265" i="7"/>
  <c r="L265" i="7" s="1"/>
  <c r="K266" i="7"/>
  <c r="L266" i="7" s="1"/>
  <c r="K267" i="7"/>
  <c r="L267" i="7" s="1"/>
  <c r="K268" i="7"/>
  <c r="L268" i="7" s="1"/>
  <c r="K269" i="7"/>
  <c r="L269" i="7" s="1"/>
  <c r="K270" i="7"/>
  <c r="L270" i="7" s="1"/>
  <c r="K271" i="7"/>
  <c r="L271" i="7" s="1"/>
  <c r="K272" i="7"/>
  <c r="L272" i="7" s="1"/>
  <c r="K273" i="7"/>
  <c r="L273" i="7" s="1"/>
  <c r="K274" i="7"/>
  <c r="L274" i="7" s="1"/>
  <c r="K275" i="7"/>
  <c r="L275" i="7" s="1"/>
  <c r="K276" i="7"/>
  <c r="L276" i="7" s="1"/>
  <c r="K277" i="7"/>
  <c r="L277" i="7" s="1"/>
  <c r="K278" i="7"/>
  <c r="L278" i="7" s="1"/>
  <c r="K279" i="7"/>
  <c r="L279" i="7" s="1"/>
  <c r="K280" i="7"/>
  <c r="L280" i="7" s="1"/>
  <c r="K281" i="7"/>
  <c r="L281" i="7" s="1"/>
  <c r="K282" i="7"/>
  <c r="L282" i="7" s="1"/>
  <c r="K283" i="7"/>
  <c r="L283" i="7" s="1"/>
  <c r="K284" i="7"/>
  <c r="L284" i="7" s="1"/>
  <c r="K285" i="7"/>
  <c r="L285" i="7" s="1"/>
  <c r="K286" i="7"/>
  <c r="L286" i="7" s="1"/>
  <c r="K287" i="7"/>
  <c r="L287" i="7" s="1"/>
  <c r="K288" i="7"/>
  <c r="L288" i="7" s="1"/>
  <c r="K289" i="7"/>
  <c r="L289" i="7" s="1"/>
  <c r="K290" i="7"/>
  <c r="L290" i="7" s="1"/>
  <c r="K291" i="7"/>
  <c r="L291" i="7" s="1"/>
  <c r="K292" i="7"/>
  <c r="L292" i="7" s="1"/>
  <c r="K293" i="7"/>
  <c r="L293" i="7" s="1"/>
  <c r="K294" i="7"/>
  <c r="L294" i="7" s="1"/>
  <c r="K295" i="7"/>
  <c r="L295" i="7" s="1"/>
  <c r="K296" i="7"/>
  <c r="L296" i="7" s="1"/>
  <c r="K297" i="7"/>
  <c r="L297" i="7" s="1"/>
  <c r="K298" i="7"/>
  <c r="L298" i="7" s="1"/>
  <c r="K299" i="7"/>
  <c r="L299" i="7" s="1"/>
  <c r="K300" i="7"/>
  <c r="L300" i="7" s="1"/>
  <c r="K301" i="7"/>
  <c r="L301" i="7" s="1"/>
  <c r="K302" i="7"/>
  <c r="L302" i="7" s="1"/>
  <c r="K303" i="7"/>
  <c r="L303" i="7" s="1"/>
  <c r="K304" i="7"/>
  <c r="L304" i="7" s="1"/>
  <c r="K305" i="7"/>
  <c r="L305" i="7" s="1"/>
  <c r="K306" i="7"/>
  <c r="L306" i="7" s="1"/>
  <c r="K307" i="7"/>
  <c r="L307" i="7" s="1"/>
  <c r="K308" i="7"/>
  <c r="L308" i="7" s="1"/>
  <c r="K309" i="7"/>
  <c r="L309" i="7" s="1"/>
  <c r="K310" i="7"/>
  <c r="L310" i="7" s="1"/>
  <c r="K311" i="7"/>
  <c r="L311" i="7" s="1"/>
  <c r="K312" i="7"/>
  <c r="L312" i="7" s="1"/>
  <c r="K313" i="7"/>
  <c r="L313" i="7" s="1"/>
  <c r="K314" i="7"/>
  <c r="L314" i="7" s="1"/>
  <c r="K315" i="7"/>
  <c r="K316" i="7"/>
  <c r="L316" i="7" s="1"/>
  <c r="K317" i="7"/>
  <c r="L317" i="7" s="1"/>
  <c r="K318" i="7"/>
  <c r="L318" i="7" s="1"/>
  <c r="K319" i="7"/>
  <c r="L319" i="7" s="1"/>
  <c r="K320" i="7"/>
  <c r="K321" i="7"/>
  <c r="L321" i="7" s="1"/>
  <c r="K322" i="7"/>
  <c r="L322" i="7" s="1"/>
  <c r="K323" i="7"/>
  <c r="L323" i="7" s="1"/>
  <c r="K324" i="7"/>
  <c r="L324" i="7" s="1"/>
  <c r="K325" i="7"/>
  <c r="L325" i="7" s="1"/>
  <c r="K326" i="7"/>
  <c r="L326" i="7" s="1"/>
  <c r="K327" i="7"/>
  <c r="L327" i="7" s="1"/>
  <c r="K328" i="7"/>
  <c r="L328" i="7" s="1"/>
  <c r="K329" i="7"/>
  <c r="L329" i="7" s="1"/>
  <c r="K330" i="7"/>
  <c r="L330" i="7" s="1"/>
  <c r="K331" i="7"/>
  <c r="L331" i="7" s="1"/>
  <c r="K332" i="7"/>
  <c r="L332" i="7" s="1"/>
  <c r="K333" i="7"/>
  <c r="L333" i="7" s="1"/>
  <c r="K334" i="7"/>
  <c r="L334" i="7" s="1"/>
  <c r="K335" i="7"/>
  <c r="L335" i="7" s="1"/>
  <c r="K336" i="7"/>
  <c r="L336" i="7" s="1"/>
  <c r="K337" i="7"/>
  <c r="L337" i="7" s="1"/>
  <c r="K338" i="7"/>
  <c r="L338" i="7" s="1"/>
  <c r="K339" i="7"/>
  <c r="L339" i="7" s="1"/>
  <c r="K340" i="7"/>
  <c r="L340" i="7" s="1"/>
  <c r="K341" i="7"/>
  <c r="L341" i="7" s="1"/>
  <c r="K342" i="7"/>
  <c r="L342" i="7" s="1"/>
  <c r="K343" i="7"/>
  <c r="L343" i="7" s="1"/>
  <c r="K344" i="7"/>
  <c r="L344" i="7" s="1"/>
  <c r="K345" i="7"/>
  <c r="L345" i="7" s="1"/>
  <c r="K346" i="7"/>
  <c r="L346" i="7" s="1"/>
  <c r="K347" i="7"/>
  <c r="L347" i="7" s="1"/>
  <c r="K348" i="7"/>
  <c r="L348" i="7" s="1"/>
  <c r="K349" i="7"/>
  <c r="L349" i="7" s="1"/>
  <c r="K350" i="7"/>
  <c r="L350" i="7" s="1"/>
  <c r="K351" i="7"/>
  <c r="L351" i="7" s="1"/>
  <c r="K352" i="7"/>
  <c r="L352" i="7" s="1"/>
  <c r="K353" i="7"/>
  <c r="L353" i="7" s="1"/>
  <c r="K354" i="7"/>
  <c r="L354" i="7" s="1"/>
  <c r="K355" i="7"/>
  <c r="L355" i="7" s="1"/>
  <c r="K356" i="7"/>
  <c r="L356" i="7" s="1"/>
  <c r="K357" i="7"/>
  <c r="L357" i="7" s="1"/>
  <c r="K358" i="7"/>
  <c r="L358" i="7" s="1"/>
  <c r="K359" i="7"/>
  <c r="L359" i="7" s="1"/>
  <c r="K360" i="7"/>
  <c r="L360" i="7" s="1"/>
  <c r="K361" i="7"/>
  <c r="L361" i="7" s="1"/>
  <c r="K362" i="7"/>
  <c r="L362" i="7" s="1"/>
  <c r="K363" i="7"/>
  <c r="L363" i="7" s="1"/>
  <c r="K364" i="7"/>
  <c r="L364" i="7" s="1"/>
  <c r="K365" i="7"/>
  <c r="L365" i="7" s="1"/>
  <c r="K366" i="7"/>
  <c r="L366" i="7" s="1"/>
  <c r="K367" i="7"/>
  <c r="L367" i="7" s="1"/>
  <c r="K368" i="7"/>
  <c r="L368" i="7" s="1"/>
  <c r="K369" i="7"/>
  <c r="L369" i="7" s="1"/>
  <c r="K370" i="7"/>
  <c r="L370" i="7" s="1"/>
  <c r="K371" i="7"/>
  <c r="L371" i="7" s="1"/>
  <c r="K372" i="7"/>
  <c r="L372" i="7" s="1"/>
  <c r="K373" i="7"/>
  <c r="L373" i="7" s="1"/>
  <c r="K374" i="7"/>
  <c r="L374" i="7" s="1"/>
  <c r="K375" i="7"/>
  <c r="L375" i="7" s="1"/>
  <c r="K376" i="7"/>
  <c r="L376" i="7" s="1"/>
  <c r="K377" i="7"/>
  <c r="L377" i="7" s="1"/>
  <c r="K378" i="7"/>
  <c r="L378" i="7" s="1"/>
  <c r="K379" i="7"/>
  <c r="L379" i="7" s="1"/>
  <c r="K380" i="7"/>
  <c r="L380" i="7" s="1"/>
  <c r="K381" i="7"/>
  <c r="L381" i="7" s="1"/>
  <c r="K382" i="7"/>
  <c r="L382" i="7" s="1"/>
  <c r="K383" i="7"/>
  <c r="L383" i="7" s="1"/>
  <c r="K384" i="7"/>
  <c r="L384" i="7" s="1"/>
  <c r="K385" i="7"/>
  <c r="L385" i="7" s="1"/>
  <c r="K386" i="7"/>
  <c r="L386" i="7" s="1"/>
  <c r="K387" i="7"/>
  <c r="L387" i="7" s="1"/>
  <c r="K388" i="7"/>
  <c r="L388" i="7" s="1"/>
  <c r="K389" i="7"/>
  <c r="L389" i="7" s="1"/>
  <c r="K390" i="7"/>
  <c r="L390" i="7" s="1"/>
  <c r="K391" i="7"/>
  <c r="L391" i="7" s="1"/>
  <c r="K392" i="7"/>
  <c r="L392" i="7" s="1"/>
  <c r="K393" i="7"/>
  <c r="L393" i="7" s="1"/>
  <c r="K394" i="7"/>
  <c r="L394" i="7" s="1"/>
  <c r="K395" i="7"/>
  <c r="L395" i="7" s="1"/>
  <c r="K396" i="7"/>
  <c r="L396" i="7" s="1"/>
  <c r="K397" i="7"/>
  <c r="L397" i="7" s="1"/>
  <c r="K398" i="7"/>
  <c r="L398" i="7" s="1"/>
  <c r="K399" i="7"/>
  <c r="L399" i="7" s="1"/>
  <c r="K400" i="7"/>
  <c r="L400" i="7" s="1"/>
  <c r="K401" i="7"/>
  <c r="L401" i="7" s="1"/>
  <c r="K402" i="7"/>
  <c r="L402" i="7" s="1"/>
  <c r="K403" i="7"/>
  <c r="L403" i="7" s="1"/>
  <c r="K404" i="7"/>
  <c r="L404" i="7" s="1"/>
  <c r="K405" i="7"/>
  <c r="L405" i="7" s="1"/>
  <c r="K406" i="7"/>
  <c r="L406" i="7" s="1"/>
  <c r="K407" i="7"/>
  <c r="L407" i="7" s="1"/>
  <c r="K408" i="7"/>
  <c r="L408" i="7" s="1"/>
  <c r="K409" i="7"/>
  <c r="L409" i="7" s="1"/>
  <c r="K410" i="7"/>
  <c r="L410" i="7" s="1"/>
  <c r="K411" i="7"/>
  <c r="L411" i="7" s="1"/>
  <c r="K412" i="7"/>
  <c r="L412" i="7" s="1"/>
  <c r="K413" i="7"/>
  <c r="L413" i="7" s="1"/>
  <c r="K414" i="7"/>
  <c r="L414" i="7" s="1"/>
  <c r="K415" i="7"/>
  <c r="L415" i="7" s="1"/>
  <c r="K416" i="7"/>
  <c r="L416" i="7" s="1"/>
  <c r="K417" i="7"/>
  <c r="K418" i="7"/>
  <c r="L418" i="7" s="1"/>
  <c r="K419" i="7"/>
  <c r="L419" i="7" s="1"/>
  <c r="K420" i="7"/>
  <c r="L420" i="7" s="1"/>
  <c r="K421" i="7"/>
  <c r="L421" i="7" s="1"/>
  <c r="K422" i="7"/>
  <c r="L422" i="7" s="1"/>
  <c r="K423" i="7"/>
  <c r="K424" i="7"/>
  <c r="L424" i="7" s="1"/>
  <c r="K425" i="7"/>
  <c r="L425" i="7" s="1"/>
  <c r="K426" i="7"/>
  <c r="L426" i="7" s="1"/>
  <c r="K427" i="7"/>
  <c r="L427" i="7" s="1"/>
  <c r="K428" i="7"/>
  <c r="L428" i="7" s="1"/>
  <c r="K429" i="7"/>
  <c r="L429" i="7" s="1"/>
  <c r="K430" i="7"/>
  <c r="L430" i="7" s="1"/>
  <c r="K431" i="7"/>
  <c r="L431" i="7" s="1"/>
  <c r="K432" i="7"/>
  <c r="L432" i="7" s="1"/>
  <c r="K433" i="7"/>
  <c r="L433" i="7" s="1"/>
  <c r="K434" i="7"/>
  <c r="L434" i="7" s="1"/>
  <c r="K435" i="7"/>
  <c r="L435" i="7" s="1"/>
  <c r="K436" i="7"/>
  <c r="L436" i="7" s="1"/>
  <c r="K437" i="7"/>
  <c r="L437" i="7" s="1"/>
  <c r="K438" i="7"/>
  <c r="L438" i="7" s="1"/>
  <c r="K439" i="7"/>
  <c r="L439" i="7" s="1"/>
  <c r="K440" i="7"/>
  <c r="L440" i="7" s="1"/>
  <c r="K441" i="7"/>
  <c r="L441" i="7" s="1"/>
  <c r="K442" i="7"/>
  <c r="L442" i="7" s="1"/>
  <c r="K443" i="7"/>
  <c r="L443" i="7" s="1"/>
  <c r="K444" i="7"/>
  <c r="L444" i="7" s="1"/>
  <c r="K445" i="7"/>
  <c r="L445" i="7" s="1"/>
  <c r="K446" i="7"/>
  <c r="L446" i="7" s="1"/>
  <c r="K447" i="7"/>
  <c r="L447" i="7" s="1"/>
  <c r="K448" i="7"/>
  <c r="L448" i="7" s="1"/>
  <c r="K449" i="7"/>
  <c r="L449" i="7" s="1"/>
  <c r="K450" i="7"/>
  <c r="L450" i="7" s="1"/>
  <c r="K451" i="7"/>
  <c r="L451" i="7" s="1"/>
  <c r="K452" i="7"/>
  <c r="L452" i="7" s="1"/>
  <c r="K453" i="7"/>
  <c r="K454" i="7"/>
  <c r="L454" i="7" s="1"/>
  <c r="K455" i="7"/>
  <c r="L455" i="7" s="1"/>
  <c r="K456" i="7"/>
  <c r="L456" i="7" s="1"/>
  <c r="K457" i="7"/>
  <c r="L457" i="7" s="1"/>
  <c r="K458" i="7"/>
  <c r="L458" i="7" s="1"/>
  <c r="K459" i="7"/>
  <c r="L459" i="7" s="1"/>
  <c r="K460" i="7"/>
  <c r="L460" i="7" s="1"/>
  <c r="K461" i="7"/>
  <c r="L461" i="7" s="1"/>
  <c r="K462" i="7"/>
  <c r="L462" i="7" s="1"/>
  <c r="K463" i="7"/>
  <c r="L463" i="7" s="1"/>
  <c r="K464" i="7"/>
  <c r="L464" i="7" s="1"/>
  <c r="K465" i="7"/>
  <c r="L465" i="7" s="1"/>
  <c r="K466" i="7"/>
  <c r="L466" i="7" s="1"/>
  <c r="K467" i="7"/>
  <c r="L467" i="7" s="1"/>
  <c r="K468" i="7"/>
  <c r="L468" i="7" s="1"/>
  <c r="K469" i="7"/>
  <c r="L469" i="7" s="1"/>
  <c r="K470" i="7"/>
  <c r="L470" i="7" s="1"/>
  <c r="K471" i="7"/>
  <c r="L471" i="7" s="1"/>
  <c r="K472" i="7"/>
  <c r="L472" i="7" s="1"/>
  <c r="K473" i="7"/>
  <c r="L473" i="7" s="1"/>
  <c r="K474" i="7"/>
  <c r="L474" i="7" s="1"/>
  <c r="K475" i="7"/>
  <c r="L475" i="7" s="1"/>
  <c r="K476" i="7"/>
  <c r="L476" i="7" s="1"/>
  <c r="K477" i="7"/>
  <c r="L477" i="7" s="1"/>
  <c r="K478" i="7"/>
  <c r="L478" i="7" s="1"/>
  <c r="K479" i="7"/>
  <c r="L479" i="7" s="1"/>
  <c r="K480" i="7"/>
  <c r="L480" i="7" s="1"/>
  <c r="K481" i="7"/>
  <c r="L481" i="7" s="1"/>
  <c r="K482" i="7"/>
  <c r="L482" i="7" s="1"/>
  <c r="K483" i="7"/>
  <c r="L483" i="7" s="1"/>
  <c r="K484" i="7"/>
  <c r="L484" i="7" s="1"/>
  <c r="K485" i="7"/>
  <c r="L485" i="7" s="1"/>
  <c r="K486" i="7"/>
  <c r="L486" i="7" s="1"/>
  <c r="K487" i="7"/>
  <c r="L487" i="7" s="1"/>
  <c r="K488" i="7"/>
  <c r="L488" i="7" s="1"/>
  <c r="K489" i="7"/>
  <c r="L489" i="7" s="1"/>
  <c r="K490" i="7"/>
  <c r="L490" i="7" s="1"/>
  <c r="K491" i="7"/>
  <c r="L491" i="7" s="1"/>
  <c r="K492" i="7"/>
  <c r="L492" i="7" s="1"/>
  <c r="K493" i="7"/>
  <c r="L493" i="7" s="1"/>
  <c r="K494" i="7"/>
  <c r="L494" i="7" s="1"/>
  <c r="K495" i="7"/>
  <c r="L495" i="7" s="1"/>
  <c r="K496" i="7"/>
  <c r="L496" i="7" s="1"/>
  <c r="K497" i="7"/>
  <c r="L497" i="7" s="1"/>
  <c r="K498" i="7"/>
  <c r="L498" i="7" s="1"/>
  <c r="K499" i="7"/>
  <c r="L499" i="7" s="1"/>
  <c r="K500" i="7"/>
  <c r="L500" i="7" s="1"/>
  <c r="K501" i="7"/>
  <c r="K502" i="7"/>
  <c r="L502" i="7" s="1"/>
  <c r="K503" i="7"/>
  <c r="L503" i="7" s="1"/>
  <c r="K504" i="7"/>
  <c r="L504" i="7" s="1"/>
  <c r="K505" i="7"/>
  <c r="L505" i="7" s="1"/>
  <c r="K506" i="7"/>
  <c r="L506" i="7" s="1"/>
  <c r="K507" i="7"/>
  <c r="L507" i="7" s="1"/>
  <c r="K508" i="7"/>
  <c r="L508" i="7" s="1"/>
  <c r="K509" i="7"/>
  <c r="L509" i="7" s="1"/>
  <c r="K510" i="7"/>
  <c r="L510" i="7" s="1"/>
  <c r="K511" i="7"/>
  <c r="L511" i="7" s="1"/>
  <c r="K512" i="7"/>
  <c r="L512" i="7" s="1"/>
  <c r="K513" i="7"/>
  <c r="L513" i="7" s="1"/>
  <c r="K514" i="7"/>
  <c r="L514" i="7" s="1"/>
  <c r="K515" i="7"/>
  <c r="L515" i="7" s="1"/>
  <c r="K516" i="7"/>
  <c r="L516" i="7" s="1"/>
  <c r="K517" i="7"/>
  <c r="L517" i="7" s="1"/>
  <c r="K518" i="7"/>
  <c r="L518" i="7" s="1"/>
  <c r="K519" i="7"/>
  <c r="L519" i="7" s="1"/>
  <c r="K520" i="7"/>
  <c r="L520" i="7" s="1"/>
  <c r="K521" i="7"/>
  <c r="L521" i="7" s="1"/>
  <c r="K522" i="7"/>
  <c r="L522" i="7" s="1"/>
  <c r="K523" i="7"/>
  <c r="L523" i="7" s="1"/>
  <c r="K524" i="7"/>
  <c r="L524" i="7" s="1"/>
  <c r="K525" i="7"/>
  <c r="L525" i="7" s="1"/>
  <c r="K526" i="7"/>
  <c r="L526" i="7" s="1"/>
  <c r="K527" i="7"/>
  <c r="L527" i="7" s="1"/>
  <c r="K528" i="7"/>
  <c r="L528" i="7" s="1"/>
  <c r="K529" i="7"/>
  <c r="L529" i="7" s="1"/>
  <c r="K530" i="7"/>
  <c r="L530" i="7" s="1"/>
  <c r="K531" i="7"/>
  <c r="L531" i="7" s="1"/>
  <c r="K532" i="7"/>
  <c r="L532" i="7" s="1"/>
  <c r="K533" i="7"/>
  <c r="L533" i="7" s="1"/>
  <c r="K534" i="7"/>
  <c r="L534" i="7" s="1"/>
  <c r="K535" i="7"/>
  <c r="L535" i="7" s="1"/>
  <c r="K536" i="7"/>
  <c r="L536" i="7" s="1"/>
  <c r="K537" i="7"/>
  <c r="L537" i="7" s="1"/>
  <c r="K538" i="7"/>
  <c r="L538" i="7" s="1"/>
  <c r="K539" i="7"/>
  <c r="L539" i="7" s="1"/>
  <c r="K540" i="7"/>
  <c r="L540" i="7" s="1"/>
  <c r="K541" i="7"/>
  <c r="L541" i="7" s="1"/>
  <c r="K542" i="7"/>
  <c r="L542" i="7" s="1"/>
  <c r="K543" i="7"/>
  <c r="L543" i="7" s="1"/>
  <c r="K544" i="7"/>
  <c r="L544" i="7" s="1"/>
  <c r="K545" i="7"/>
  <c r="L545" i="7" s="1"/>
  <c r="K546" i="7"/>
  <c r="L546" i="7" s="1"/>
  <c r="K547" i="7"/>
  <c r="L547" i="7" s="1"/>
  <c r="K548" i="7"/>
  <c r="L548" i="7" s="1"/>
  <c r="K549" i="7"/>
  <c r="L549" i="7" s="1"/>
  <c r="K550" i="7"/>
  <c r="L550" i="7" s="1"/>
  <c r="K551" i="7"/>
  <c r="L551" i="7" s="1"/>
  <c r="K552" i="7"/>
  <c r="L552" i="7" s="1"/>
  <c r="K553" i="7"/>
  <c r="L553" i="7" s="1"/>
  <c r="K554" i="7"/>
  <c r="L554" i="7" s="1"/>
  <c r="K555" i="7"/>
  <c r="L555" i="7" s="1"/>
  <c r="K556" i="7"/>
  <c r="L556" i="7" s="1"/>
  <c r="K557" i="7"/>
  <c r="L557" i="7" s="1"/>
  <c r="K558" i="7"/>
  <c r="L558" i="7" s="1"/>
  <c r="K559" i="7"/>
  <c r="L559" i="7" s="1"/>
  <c r="K560" i="7"/>
  <c r="L560" i="7" s="1"/>
  <c r="K561" i="7"/>
  <c r="L561" i="7" s="1"/>
  <c r="K562" i="7"/>
  <c r="L562" i="7" s="1"/>
  <c r="K563" i="7"/>
  <c r="L563" i="7" s="1"/>
  <c r="K564" i="7"/>
  <c r="L564" i="7" s="1"/>
  <c r="K565" i="7"/>
  <c r="L565" i="7" s="1"/>
  <c r="K566" i="7"/>
  <c r="L566" i="7" s="1"/>
  <c r="K567" i="7"/>
  <c r="L567" i="7" s="1"/>
  <c r="K568" i="7"/>
  <c r="L568" i="7" s="1"/>
  <c r="K569" i="7"/>
  <c r="L569" i="7" s="1"/>
  <c r="K570" i="7"/>
  <c r="L570" i="7" s="1"/>
  <c r="K571" i="7"/>
  <c r="L571" i="7" s="1"/>
  <c r="K572" i="7"/>
  <c r="L572" i="7" s="1"/>
  <c r="K573" i="7"/>
  <c r="K574" i="7"/>
  <c r="L574" i="7" s="1"/>
  <c r="K575" i="7"/>
  <c r="L575" i="7" s="1"/>
  <c r="K576" i="7"/>
  <c r="L576" i="7" s="1"/>
  <c r="K577" i="7"/>
  <c r="L577" i="7" s="1"/>
  <c r="K578" i="7"/>
  <c r="L578" i="7" s="1"/>
  <c r="K579" i="7"/>
  <c r="L579" i="7" s="1"/>
  <c r="K580" i="7"/>
  <c r="L580" i="7" s="1"/>
  <c r="K581" i="7"/>
  <c r="L581" i="7" s="1"/>
  <c r="K582" i="7"/>
  <c r="L582" i="7" s="1"/>
  <c r="K583" i="7"/>
  <c r="L583" i="7" s="1"/>
  <c r="K584" i="7"/>
  <c r="L584" i="7" s="1"/>
  <c r="K585" i="7"/>
  <c r="L585" i="7" s="1"/>
  <c r="K586" i="7"/>
  <c r="L586" i="7" s="1"/>
  <c r="K587" i="7"/>
  <c r="L587" i="7" s="1"/>
  <c r="K588" i="7"/>
  <c r="L588" i="7" s="1"/>
  <c r="K589" i="7"/>
  <c r="L589" i="7" s="1"/>
  <c r="K590" i="7"/>
  <c r="L590" i="7" s="1"/>
  <c r="K591" i="7"/>
  <c r="L591" i="7" s="1"/>
  <c r="K592" i="7"/>
  <c r="L592" i="7" s="1"/>
  <c r="K593" i="7"/>
  <c r="L593" i="7" s="1"/>
  <c r="K594" i="7"/>
  <c r="L594" i="7" s="1"/>
  <c r="K595" i="7"/>
  <c r="L595" i="7" s="1"/>
  <c r="K596" i="7"/>
  <c r="L596" i="7" s="1"/>
  <c r="K597" i="7"/>
  <c r="L597" i="7" s="1"/>
  <c r="K598" i="7"/>
  <c r="L598" i="7" s="1"/>
  <c r="K599" i="7"/>
  <c r="L599" i="7" s="1"/>
  <c r="K600" i="7"/>
  <c r="L600" i="7" s="1"/>
  <c r="K601" i="7"/>
  <c r="L601" i="7" s="1"/>
  <c r="K602" i="7"/>
  <c r="L602" i="7" s="1"/>
  <c r="K603" i="7"/>
  <c r="L603" i="7" s="1"/>
  <c r="K604" i="7"/>
  <c r="L604" i="7" s="1"/>
  <c r="K605" i="7"/>
  <c r="L605" i="7" s="1"/>
  <c r="K606" i="7"/>
  <c r="L606" i="7" s="1"/>
  <c r="K607" i="7"/>
  <c r="L607" i="7" s="1"/>
  <c r="K608" i="7"/>
  <c r="L608" i="7" s="1"/>
  <c r="K609" i="7"/>
  <c r="L609" i="7" s="1"/>
  <c r="K610" i="7"/>
  <c r="L610" i="7" s="1"/>
  <c r="K611" i="7"/>
  <c r="L611" i="7" s="1"/>
  <c r="K612" i="7"/>
  <c r="L612" i="7" s="1"/>
  <c r="K613" i="7"/>
  <c r="L613" i="7" s="1"/>
  <c r="K614" i="7"/>
  <c r="L614" i="7" s="1"/>
  <c r="K615" i="7"/>
  <c r="L615" i="7" s="1"/>
  <c r="K616" i="7"/>
  <c r="L616" i="7" s="1"/>
  <c r="K617" i="7"/>
  <c r="L617" i="7" s="1"/>
  <c r="K618" i="7"/>
  <c r="L618" i="7" s="1"/>
  <c r="K619" i="7"/>
  <c r="L619" i="7" s="1"/>
  <c r="K620" i="7"/>
  <c r="L620" i="7" s="1"/>
  <c r="K621" i="7"/>
  <c r="L621" i="7" s="1"/>
  <c r="K622" i="7"/>
  <c r="K623" i="7"/>
  <c r="L623" i="7" s="1"/>
  <c r="K624" i="7"/>
  <c r="L624" i="7" s="1"/>
  <c r="K625" i="7"/>
  <c r="L625" i="7" s="1"/>
  <c r="K626" i="7"/>
  <c r="L626" i="7" s="1"/>
  <c r="K627" i="7"/>
  <c r="L627" i="7" s="1"/>
  <c r="K628" i="7"/>
  <c r="L628" i="7" s="1"/>
  <c r="K629" i="7"/>
  <c r="L629" i="7" s="1"/>
  <c r="K630" i="7"/>
  <c r="L630" i="7" s="1"/>
  <c r="K631" i="7"/>
  <c r="L631" i="7" s="1"/>
  <c r="K632" i="7"/>
  <c r="L632" i="7" s="1"/>
  <c r="K633" i="7"/>
  <c r="L633" i="7" s="1"/>
  <c r="K634" i="7"/>
  <c r="L634" i="7" s="1"/>
  <c r="K635" i="7"/>
  <c r="L635" i="7" s="1"/>
  <c r="K636" i="7"/>
  <c r="L636" i="7" s="1"/>
  <c r="K637" i="7"/>
  <c r="L637" i="7" s="1"/>
  <c r="K638" i="7"/>
  <c r="L638" i="7" s="1"/>
  <c r="K639" i="7"/>
  <c r="L639" i="7" s="1"/>
  <c r="K640" i="7"/>
  <c r="L640" i="7" s="1"/>
  <c r="K641" i="7"/>
  <c r="L641" i="7" s="1"/>
  <c r="K642" i="7"/>
  <c r="L642" i="7" s="1"/>
  <c r="K643" i="7"/>
  <c r="L643" i="7" s="1"/>
  <c r="K644" i="7"/>
  <c r="L644" i="7" s="1"/>
  <c r="K645" i="7"/>
  <c r="L645" i="7" s="1"/>
  <c r="K646" i="7"/>
  <c r="L646" i="7" s="1"/>
  <c r="K647" i="7"/>
  <c r="L647" i="7" s="1"/>
  <c r="K648" i="7"/>
  <c r="L648" i="7" s="1"/>
  <c r="K649" i="7"/>
  <c r="L649" i="7" s="1"/>
  <c r="K650" i="7"/>
  <c r="L650" i="7" s="1"/>
  <c r="K651" i="7"/>
  <c r="L651" i="7" s="1"/>
  <c r="K652" i="7"/>
  <c r="L652" i="7" s="1"/>
  <c r="K653" i="7"/>
  <c r="L653" i="7" s="1"/>
  <c r="K654" i="7"/>
  <c r="L654" i="7" s="1"/>
  <c r="K655" i="7"/>
  <c r="L655" i="7" s="1"/>
  <c r="K656" i="7"/>
  <c r="L656" i="7" s="1"/>
  <c r="K657" i="7"/>
  <c r="L657" i="7" s="1"/>
  <c r="K658" i="7"/>
  <c r="L658" i="7" s="1"/>
  <c r="K659" i="7"/>
  <c r="L659" i="7" s="1"/>
  <c r="K660" i="7"/>
  <c r="L660" i="7" s="1"/>
  <c r="K661" i="7"/>
  <c r="L661" i="7" s="1"/>
  <c r="K662" i="7"/>
  <c r="L662" i="7" s="1"/>
  <c r="K663" i="7"/>
  <c r="L663" i="7" s="1"/>
  <c r="K664" i="7"/>
  <c r="L664" i="7" s="1"/>
  <c r="K665" i="7"/>
  <c r="L665" i="7" s="1"/>
  <c r="K666" i="7"/>
  <c r="L666" i="7" s="1"/>
  <c r="K667" i="7"/>
  <c r="L667" i="7" s="1"/>
  <c r="K668" i="7"/>
  <c r="K669" i="7"/>
  <c r="L669" i="7" s="1"/>
  <c r="K670" i="7"/>
  <c r="L670" i="7" s="1"/>
  <c r="K671" i="7"/>
  <c r="L671" i="7" s="1"/>
  <c r="K672" i="7"/>
  <c r="L672" i="7" s="1"/>
  <c r="K673" i="7"/>
  <c r="L673" i="7" s="1"/>
  <c r="K674" i="7"/>
  <c r="L674" i="7" s="1"/>
  <c r="K675" i="7"/>
  <c r="L675" i="7" s="1"/>
  <c r="K676" i="7"/>
  <c r="L676" i="7" s="1"/>
  <c r="K677" i="7"/>
  <c r="L677" i="7" s="1"/>
  <c r="K678" i="7"/>
  <c r="L678" i="7" s="1"/>
  <c r="K679" i="7"/>
  <c r="L679" i="7" s="1"/>
  <c r="K680" i="7"/>
  <c r="L680" i="7" s="1"/>
  <c r="K681" i="7"/>
  <c r="L681" i="7" s="1"/>
  <c r="K682" i="7"/>
  <c r="L682" i="7" s="1"/>
  <c r="K683" i="7"/>
  <c r="L683" i="7" s="1"/>
  <c r="K684" i="7"/>
  <c r="L684" i="7" s="1"/>
  <c r="K685" i="7"/>
  <c r="L685" i="7" s="1"/>
  <c r="K686" i="7"/>
  <c r="L686" i="7" s="1"/>
  <c r="K687" i="7"/>
  <c r="L687" i="7" s="1"/>
  <c r="K688" i="7"/>
  <c r="L688" i="7" s="1"/>
  <c r="K689" i="7"/>
  <c r="L689" i="7" s="1"/>
  <c r="K690" i="7"/>
  <c r="L690" i="7" s="1"/>
  <c r="K691" i="7"/>
  <c r="L691" i="7" s="1"/>
  <c r="K692" i="7"/>
  <c r="L692" i="7" s="1"/>
  <c r="K693" i="7"/>
  <c r="L693" i="7" s="1"/>
  <c r="K694" i="7"/>
  <c r="L694" i="7" s="1"/>
  <c r="K695" i="7"/>
  <c r="L695" i="7" s="1"/>
  <c r="K696" i="7"/>
  <c r="L696" i="7" s="1"/>
  <c r="K697" i="7"/>
  <c r="L697" i="7" s="1"/>
  <c r="K698" i="7"/>
  <c r="L698" i="7" s="1"/>
  <c r="K699" i="7"/>
  <c r="L699" i="7" s="1"/>
  <c r="K700" i="7"/>
  <c r="L700" i="7" s="1"/>
  <c r="K701" i="7"/>
  <c r="L701" i="7" s="1"/>
  <c r="K702" i="7"/>
  <c r="L702" i="7" s="1"/>
  <c r="K703" i="7"/>
  <c r="L703" i="7" s="1"/>
  <c r="K704" i="7"/>
  <c r="L704" i="7" s="1"/>
  <c r="K705" i="7"/>
  <c r="K706" i="7"/>
  <c r="L706" i="7" s="1"/>
  <c r="K707" i="7"/>
  <c r="L707" i="7" s="1"/>
  <c r="K708" i="7"/>
  <c r="L708" i="7" s="1"/>
  <c r="K709" i="7"/>
  <c r="L709" i="7" s="1"/>
  <c r="K710" i="7"/>
  <c r="L710" i="7" s="1"/>
  <c r="K711" i="7"/>
  <c r="L711" i="7" s="1"/>
  <c r="K712" i="7"/>
  <c r="L712" i="7" s="1"/>
  <c r="K713" i="7"/>
  <c r="L713" i="7" s="1"/>
  <c r="K714" i="7"/>
  <c r="L714" i="7" s="1"/>
  <c r="K715" i="7"/>
  <c r="L715" i="7" s="1"/>
  <c r="K716" i="7"/>
  <c r="L716" i="7" s="1"/>
  <c r="K717" i="7"/>
  <c r="L717" i="7" s="1"/>
  <c r="K718" i="7"/>
  <c r="L718" i="7" s="1"/>
  <c r="K719" i="7"/>
  <c r="L719" i="7" s="1"/>
  <c r="K720" i="7"/>
  <c r="L720" i="7" s="1"/>
  <c r="K721" i="7"/>
  <c r="L721" i="7" s="1"/>
  <c r="K722" i="7"/>
  <c r="L722" i="7" s="1"/>
  <c r="K723" i="7"/>
  <c r="L723" i="7" s="1"/>
  <c r="K724" i="7"/>
  <c r="L724" i="7" s="1"/>
  <c r="K725" i="7"/>
  <c r="L725" i="7" s="1"/>
  <c r="K726" i="7"/>
  <c r="L726" i="7" s="1"/>
  <c r="K727" i="7"/>
  <c r="L727" i="7" s="1"/>
  <c r="K728" i="7"/>
  <c r="L728" i="7" s="1"/>
  <c r="K729" i="7"/>
  <c r="L729" i="7" s="1"/>
  <c r="K730" i="7"/>
  <c r="L730" i="7" s="1"/>
  <c r="K731" i="7"/>
  <c r="L731" i="7" s="1"/>
  <c r="K732" i="7"/>
  <c r="L732" i="7" s="1"/>
  <c r="K733" i="7"/>
  <c r="L733" i="7" s="1"/>
  <c r="K734" i="7"/>
  <c r="L734" i="7" s="1"/>
  <c r="K735" i="7"/>
  <c r="L735" i="7" s="1"/>
  <c r="K736" i="7"/>
  <c r="L736" i="7" s="1"/>
  <c r="K737" i="7"/>
  <c r="L737" i="7" s="1"/>
  <c r="K738" i="7"/>
  <c r="L738" i="7" s="1"/>
  <c r="K739" i="7"/>
  <c r="L739" i="7" s="1"/>
  <c r="K740" i="7"/>
  <c r="L740" i="7" s="1"/>
  <c r="L249" i="1"/>
  <c r="L488" i="1"/>
  <c r="L705" i="1"/>
  <c r="L302" i="2"/>
  <c r="L459" i="2"/>
  <c r="L691" i="2"/>
  <c r="L30" i="3"/>
  <c r="L66" i="3"/>
  <c r="L548" i="3"/>
  <c r="L470" i="4"/>
  <c r="L471" i="4"/>
  <c r="L282" i="5"/>
  <c r="L332" i="5"/>
  <c r="L357" i="5"/>
  <c r="L452" i="5"/>
  <c r="L465" i="5"/>
  <c r="L681" i="5"/>
  <c r="L63" i="6"/>
  <c r="L158" i="6"/>
  <c r="L159" i="6"/>
  <c r="L160" i="6"/>
  <c r="L255" i="6"/>
  <c r="L374" i="6"/>
  <c r="L384" i="6"/>
  <c r="L530" i="6"/>
  <c r="L531" i="6"/>
  <c r="L627" i="6"/>
  <c r="L699" i="6"/>
  <c r="L33" i="7"/>
  <c r="L249" i="7"/>
  <c r="L315" i="7"/>
  <c r="L320" i="7"/>
  <c r="L417" i="7"/>
  <c r="L423" i="7"/>
  <c r="L453" i="7"/>
  <c r="L501" i="7"/>
  <c r="L573" i="7"/>
  <c r="L622" i="7"/>
  <c r="L668" i="7"/>
  <c r="L705" i="7"/>
  <c r="K2" i="1"/>
  <c r="L2" i="1" s="1"/>
  <c r="K2" i="2"/>
  <c r="L2" i="2" s="1"/>
  <c r="K2" i="3"/>
  <c r="L2" i="3" s="1"/>
  <c r="K2" i="4"/>
  <c r="L2" i="4" s="1"/>
  <c r="K2" i="5"/>
  <c r="L2" i="5" s="1"/>
  <c r="K2" i="6"/>
  <c r="L2" i="6" s="1"/>
  <c r="K2" i="7"/>
  <c r="L2" i="7" s="1"/>
  <c r="D2" i="1"/>
  <c r="E3" i="9" s="1"/>
  <c r="D2" i="2"/>
  <c r="D2" i="3"/>
  <c r="D2" i="4"/>
  <c r="D2" i="5"/>
  <c r="E6" i="9" s="1"/>
  <c r="D2" i="6"/>
  <c r="D2" i="7"/>
  <c r="D2" i="8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2" i="1"/>
  <c r="C2" i="2"/>
  <c r="C2" i="3"/>
  <c r="C2" i="4"/>
  <c r="C2" i="5"/>
  <c r="C2" i="6"/>
  <c r="C2" i="7"/>
  <c r="C2" i="8"/>
  <c r="D741" i="4" l="1"/>
  <c r="E741" i="4" s="1"/>
  <c r="F741" i="4" s="1"/>
  <c r="G741" i="4" s="1"/>
  <c r="H741" i="4" s="1"/>
  <c r="I741" i="4" s="1"/>
  <c r="J741" i="4" s="1"/>
  <c r="K741" i="4" s="1"/>
  <c r="L741" i="4" s="1"/>
  <c r="M2" i="1"/>
  <c r="I3" i="9" s="1"/>
  <c r="G2" i="4"/>
  <c r="I2" i="4" s="1"/>
  <c r="G2" i="5"/>
  <c r="D6" i="9" s="1"/>
  <c r="M2" i="2"/>
  <c r="I4" i="9" s="1"/>
  <c r="M2" i="3"/>
  <c r="I5" i="9" s="1"/>
  <c r="G2" i="3"/>
  <c r="M2" i="6"/>
  <c r="I7" i="9" s="1"/>
  <c r="M2" i="4"/>
  <c r="N2" i="4" s="1"/>
  <c r="G2" i="7"/>
  <c r="G2" i="2"/>
  <c r="N2" i="1"/>
  <c r="H3" i="9" s="1"/>
  <c r="G2" i="6"/>
  <c r="D7" i="9" s="1"/>
  <c r="E5" i="9"/>
  <c r="M2" i="5"/>
  <c r="I6" i="9" s="1"/>
  <c r="E7" i="9"/>
  <c r="E4" i="9"/>
  <c r="N2" i="2"/>
  <c r="H4" i="9" s="1"/>
  <c r="G2" i="1"/>
  <c r="D3" i="9" s="1"/>
  <c r="E8" i="9"/>
  <c r="M2" i="7"/>
  <c r="N2" i="7" s="1"/>
  <c r="H8" i="9" s="1"/>
  <c r="G2" i="8"/>
  <c r="D9" i="9" s="1"/>
  <c r="N2" i="8"/>
  <c r="J9" i="9" s="1"/>
  <c r="E9" i="9"/>
  <c r="L2" i="8"/>
  <c r="E2" i="5"/>
  <c r="E2" i="6"/>
  <c r="E2" i="1"/>
  <c r="E2" i="3"/>
  <c r="E2" i="4"/>
  <c r="E2" i="2"/>
  <c r="E2" i="7"/>
  <c r="I2" i="5" l="1"/>
  <c r="F6" i="9" s="1"/>
  <c r="N2" i="3"/>
  <c r="H5" i="9" s="1"/>
  <c r="H9" i="9"/>
  <c r="N2" i="5"/>
  <c r="H6" i="9" s="1"/>
  <c r="D4" i="9"/>
  <c r="F4" i="9"/>
  <c r="N2" i="6"/>
  <c r="H7" i="9" s="1"/>
  <c r="D5" i="9"/>
  <c r="I2" i="3"/>
  <c r="F5" i="9" s="1"/>
  <c r="I2" i="6"/>
  <c r="F7" i="9" s="1"/>
  <c r="I2" i="7"/>
  <c r="F8" i="9" s="1"/>
  <c r="D8" i="9"/>
  <c r="I9" i="9"/>
  <c r="I8" i="9"/>
  <c r="I2" i="1"/>
  <c r="F3" i="9" s="1"/>
  <c r="J2" i="7"/>
  <c r="G8" i="9" s="1"/>
  <c r="C8" i="9"/>
  <c r="O2" i="7"/>
  <c r="J8" i="9" s="1"/>
  <c r="J2" i="2"/>
  <c r="G4" i="9" s="1"/>
  <c r="C4" i="9"/>
  <c r="O2" i="2"/>
  <c r="J4" i="9" s="1"/>
  <c r="J2" i="4"/>
  <c r="O2" i="4"/>
  <c r="J2" i="3"/>
  <c r="G5" i="9" s="1"/>
  <c r="C5" i="9"/>
  <c r="O2" i="3"/>
  <c r="J5" i="9" s="1"/>
  <c r="J2" i="6"/>
  <c r="G7" i="9" s="1"/>
  <c r="O2" i="6"/>
  <c r="J7" i="9" s="1"/>
  <c r="C7" i="9"/>
  <c r="J2" i="5"/>
  <c r="G6" i="9" s="1"/>
  <c r="O2" i="5"/>
  <c r="J6" i="9" s="1"/>
  <c r="C6" i="9"/>
  <c r="I2" i="8"/>
  <c r="F9" i="9" s="1"/>
  <c r="J2" i="1"/>
  <c r="G3" i="9" s="1"/>
  <c r="C3" i="9"/>
  <c r="O2" i="1"/>
  <c r="J3" i="9" s="1"/>
</calcChain>
</file>

<file path=xl/sharedStrings.xml><?xml version="1.0" encoding="utf-8"?>
<sst xmlns="http://schemas.openxmlformats.org/spreadsheetml/2006/main" count="206" uniqueCount="29">
  <si>
    <t>Close</t>
  </si>
  <si>
    <t>Date</t>
  </si>
  <si>
    <t>Daily_return</t>
  </si>
  <si>
    <t>-</t>
  </si>
  <si>
    <t>CAGR</t>
  </si>
  <si>
    <t>Beta</t>
  </si>
  <si>
    <t>Standev</t>
  </si>
  <si>
    <t>RF 364D BOND</t>
  </si>
  <si>
    <t>SHARPE</t>
  </si>
  <si>
    <t>TREYNOR</t>
  </si>
  <si>
    <t>PEAK</t>
  </si>
  <si>
    <t>DRAWDOWN</t>
  </si>
  <si>
    <t>MAX DRAWDOWN</t>
  </si>
  <si>
    <t>CALMAR</t>
  </si>
  <si>
    <t>MAX DD</t>
  </si>
  <si>
    <t>JENSENS ALPHA</t>
  </si>
  <si>
    <t>Stock</t>
  </si>
  <si>
    <t>Sharpe</t>
  </si>
  <si>
    <t>Treynor</t>
  </si>
  <si>
    <t>Calmar</t>
  </si>
  <si>
    <t>Max Draw Down</t>
  </si>
  <si>
    <t>Axis Bank</t>
  </si>
  <si>
    <t>Power Grid</t>
  </si>
  <si>
    <t>Coal India</t>
  </si>
  <si>
    <t>Cipla</t>
  </si>
  <si>
    <t>Shriram Fin</t>
  </si>
  <si>
    <t>L&amp;T</t>
  </si>
  <si>
    <t>Nifty 50</t>
  </si>
  <si>
    <t>Jensens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</si>
</sst>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000000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6"/>
      <color indexed="9"/>
      <name val="Bookman Old Style"/>
      <family val="1"/>
    </font>
    <font>
      <sz val="16"/>
      <color theme="1"/>
      <name val="Bookman Old Style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5" fillId="0" borderId="0" xfId="0" applyFont="1" applyAlignment="1">
      <alignment horizontal="center" vertical="top"/>
    </xf>
    <xf numFmtId="0" fontId="5" fillId="0" borderId="0" xfId="0" applyFont="1"/>
    <xf numFmtId="0" fontId="6" fillId="0" borderId="0" xfId="0" applyFont="1"/>
    <xf numFmtId="164" fontId="5" fillId="0" borderId="0" xfId="0" applyNumberFormat="1" applyFont="1" applyAlignment="1">
      <alignment horizontal="center" vertical="top"/>
    </xf>
    <xf numFmtId="165" fontId="6" fillId="0" borderId="0" xfId="0" applyNumberFormat="1" applyFont="1"/>
    <xf numFmtId="166" fontId="3" fillId="2" borderId="4" xfId="0" applyNumberFormat="1" applyFont="1" applyFill="1" applyBorder="1" applyAlignment="1">
      <alignment horizontal="left"/>
    </xf>
    <xf numFmtId="166" fontId="4" fillId="0" borderId="6" xfId="0" applyNumberFormat="1" applyFont="1" applyBorder="1" applyAlignment="1">
      <alignment horizontal="left"/>
    </xf>
    <xf numFmtId="166" fontId="4" fillId="0" borderId="8" xfId="0" applyNumberFormat="1" applyFont="1" applyBorder="1" applyAlignment="1">
      <alignment horizontal="left"/>
    </xf>
    <xf numFmtId="166" fontId="3" fillId="2" borderId="3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4" fillId="0" borderId="0" xfId="0" applyNumberFormat="1" applyFont="1" applyAlignment="1">
      <alignment horizontal="right"/>
    </xf>
    <xf numFmtId="166" fontId="4" fillId="0" borderId="7" xfId="0" applyNumberFormat="1" applyFont="1" applyBorder="1" applyAlignment="1">
      <alignment horizontal="right"/>
    </xf>
    <xf numFmtId="166" fontId="4" fillId="0" borderId="2" xfId="0" applyNumberFormat="1" applyFont="1" applyBorder="1" applyAlignment="1">
      <alignment horizontal="right"/>
    </xf>
    <xf numFmtId="166" fontId="4" fillId="0" borderId="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591313</xdr:colOff>
      <xdr:row>35</xdr:row>
      <xdr:rowOff>155194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6D174-2120-FE11-5FAD-DA0F0BED2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5468113" cy="637311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24</xdr:col>
      <xdr:colOff>582297</xdr:colOff>
      <xdr:row>37</xdr:row>
      <xdr:rowOff>84751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6B69D0-B57A-F731-B8AA-A69B7307E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82880"/>
          <a:ext cx="9116697" cy="66684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14</xdr:col>
      <xdr:colOff>1106</xdr:colOff>
      <xdr:row>74</xdr:row>
      <xdr:rowOff>166600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3F135E-ED4E-FEDF-2DFA-E56F2888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498080"/>
          <a:ext cx="7925906" cy="6201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277029</xdr:colOff>
      <xdr:row>17</xdr:row>
      <xdr:rowOff>141398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83CDE4-CC64-3AA7-1223-0146EE9A2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5763429" cy="3067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1"/>
  <sheetViews>
    <sheetView showGridLines="0" zoomScaleNormal="100" workbookViewId="0">
      <selection activeCell="A2" sqref="A2"/>
    </sheetView>
  </sheetViews>
  <sheetFormatPr defaultRowHeight="14.4" outlineLevelCol="1" x14ac:dyDescent="0.3"/>
  <cols>
    <col min="1" max="1" width="18.109375" bestFit="1" customWidth="1"/>
    <col min="2" max="2" width="12" bestFit="1" customWidth="1"/>
    <col min="3" max="3" width="12.6640625" bestFit="1" customWidth="1"/>
    <col min="4" max="5" width="12" bestFit="1" customWidth="1"/>
    <col min="6" max="6" width="8.21875" customWidth="1"/>
    <col min="7" max="7" width="12" bestFit="1" customWidth="1"/>
    <col min="8" max="8" width="13.21875" bestFit="1" customWidth="1"/>
    <col min="9" max="10" width="12" bestFit="1" customWidth="1"/>
    <col min="11" max="11" width="12" hidden="1" customWidth="1" outlineLevel="1"/>
    <col min="12" max="12" width="12.6640625" hidden="1" customWidth="1" outlineLevel="1"/>
    <col min="13" max="13" width="16.21875" bestFit="1" customWidth="1" collapsed="1"/>
    <col min="15" max="15" width="14" bestFit="1" customWidth="1"/>
  </cols>
  <sheetData>
    <row r="1" spans="1:15" x14ac:dyDescent="0.3">
      <c r="A1" s="1" t="s">
        <v>1</v>
      </c>
      <c r="B1" s="1" t="s">
        <v>0</v>
      </c>
      <c r="C1" s="4" t="s">
        <v>2</v>
      </c>
      <c r="D1" s="4" t="s">
        <v>4</v>
      </c>
      <c r="E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s="2">
        <v>45000</v>
      </c>
      <c r="B2">
        <v>821.87274169921875</v>
      </c>
      <c r="C2">
        <f>(B3-B2)/B2</f>
        <v>7.8878246680068268E-3</v>
      </c>
      <c r="D2">
        <f>((B740/B2)^(1/3)-1)</f>
        <v>0.14523735643769253</v>
      </c>
      <c r="E2">
        <f>SLOPE(C2:C739,Nifty_50!C2:C739)</f>
        <v>0.94883536687816727</v>
      </c>
      <c r="G2">
        <f>_xlfn.STDEV.S(C2:C740)</f>
        <v>1.4043830601984639E-2</v>
      </c>
      <c r="H2">
        <v>6.4799999999999996E-2</v>
      </c>
      <c r="I2">
        <f>(D2-H2)/G2</f>
        <v>5.7275937539666231</v>
      </c>
      <c r="J2">
        <f>(D2-H2)/E2</f>
        <v>8.477482948632635E-2</v>
      </c>
      <c r="K2">
        <f t="shared" ref="K2:K65" si="0">MAX(B2:B741)</f>
        <v>1403</v>
      </c>
      <c r="L2" s="5">
        <f t="shared" ref="L2:L65" si="1">B2/K2-1</f>
        <v>-0.41420332024289463</v>
      </c>
      <c r="M2" s="5">
        <f>MIN(L2:L740)</f>
        <v>-0.41420332024289463</v>
      </c>
      <c r="N2">
        <f>D2/M2</f>
        <v>-0.35064266590746618</v>
      </c>
      <c r="O2">
        <f>(D2-(H2+E2*(Nifty_50!D2-Larsen_and_Toubro!H2)))</f>
        <v>3.8466435362161197E-2</v>
      </c>
    </row>
    <row r="3" spans="1:15" x14ac:dyDescent="0.3">
      <c r="A3" s="2">
        <v>45001</v>
      </c>
      <c r="B3">
        <v>828.35552978515625</v>
      </c>
      <c r="C3">
        <f t="shared" ref="C3:C66" si="2">(B4-B3)/B3</f>
        <v>8.2476303582058562E-3</v>
      </c>
      <c r="K3">
        <f t="shared" si="0"/>
        <v>1403</v>
      </c>
      <c r="L3" s="5">
        <f t="shared" si="1"/>
        <v>-0.40958265874187005</v>
      </c>
    </row>
    <row r="4" spans="1:15" x14ac:dyDescent="0.3">
      <c r="A4" s="2">
        <v>45002</v>
      </c>
      <c r="B4">
        <v>835.1875</v>
      </c>
      <c r="C4">
        <f t="shared" si="2"/>
        <v>1.7904498428496595E-4</v>
      </c>
      <c r="K4">
        <f t="shared" si="0"/>
        <v>1403</v>
      </c>
      <c r="L4" s="5">
        <f t="shared" si="1"/>
        <v>-0.40471311475409832</v>
      </c>
    </row>
    <row r="5" spans="1:15" x14ac:dyDescent="0.3">
      <c r="A5" s="2">
        <v>45005</v>
      </c>
      <c r="B5">
        <v>835.3370361328125</v>
      </c>
      <c r="C5">
        <f t="shared" si="2"/>
        <v>2.1550965128134536E-2</v>
      </c>
      <c r="K5">
        <f t="shared" si="0"/>
        <v>1403</v>
      </c>
      <c r="L5" s="5">
        <f t="shared" si="1"/>
        <v>-0.40460653162308446</v>
      </c>
    </row>
    <row r="6" spans="1:15" x14ac:dyDescent="0.3">
      <c r="A6" s="2">
        <v>45006</v>
      </c>
      <c r="B6">
        <v>853.33935546875</v>
      </c>
      <c r="C6">
        <f t="shared" si="2"/>
        <v>-6.9541678802086705E-3</v>
      </c>
      <c r="K6">
        <f t="shared" si="0"/>
        <v>1403</v>
      </c>
      <c r="L6" s="5">
        <f t="shared" si="1"/>
        <v>-0.39177522774857443</v>
      </c>
    </row>
    <row r="7" spans="1:15" x14ac:dyDescent="0.3">
      <c r="A7" s="2">
        <v>45007</v>
      </c>
      <c r="B7">
        <v>847.40509033203125</v>
      </c>
      <c r="C7">
        <f t="shared" si="2"/>
        <v>-1.000440438681248E-3</v>
      </c>
      <c r="K7">
        <f t="shared" si="0"/>
        <v>1403</v>
      </c>
      <c r="L7" s="5">
        <f t="shared" si="1"/>
        <v>-0.39600492492371253</v>
      </c>
    </row>
    <row r="8" spans="1:15" x14ac:dyDescent="0.3">
      <c r="A8" s="2">
        <v>45008</v>
      </c>
      <c r="B8">
        <v>846.55731201171875</v>
      </c>
      <c r="C8">
        <f t="shared" si="2"/>
        <v>-1.048529577696315E-2</v>
      </c>
      <c r="K8">
        <f t="shared" si="0"/>
        <v>1403</v>
      </c>
      <c r="L8" s="5">
        <f t="shared" si="1"/>
        <v>-0.39660918602158324</v>
      </c>
    </row>
    <row r="9" spans="1:15" x14ac:dyDescent="0.3">
      <c r="A9" s="2">
        <v>45009</v>
      </c>
      <c r="B9">
        <v>837.680908203125</v>
      </c>
      <c r="C9">
        <f t="shared" si="2"/>
        <v>-7.7986448239812933E-3</v>
      </c>
      <c r="K9">
        <f t="shared" si="0"/>
        <v>1403</v>
      </c>
      <c r="L9" s="5">
        <f t="shared" si="1"/>
        <v>-0.40293591717524946</v>
      </c>
    </row>
    <row r="10" spans="1:15" x14ac:dyDescent="0.3">
      <c r="A10" s="2">
        <v>45012</v>
      </c>
      <c r="B10">
        <v>831.14813232421875</v>
      </c>
      <c r="C10">
        <f t="shared" si="2"/>
        <v>-1.0799314501285144E-3</v>
      </c>
      <c r="K10">
        <f t="shared" si="0"/>
        <v>1403</v>
      </c>
      <c r="L10" s="5">
        <f t="shared" si="1"/>
        <v>-0.4075922078943558</v>
      </c>
    </row>
    <row r="11" spans="1:15" x14ac:dyDescent="0.3">
      <c r="A11" s="2">
        <v>45013</v>
      </c>
      <c r="B11">
        <v>830.25054931640625</v>
      </c>
      <c r="C11">
        <f t="shared" si="2"/>
        <v>1.2192908458353319E-2</v>
      </c>
      <c r="K11">
        <f t="shared" si="0"/>
        <v>1403</v>
      </c>
      <c r="L11" s="5">
        <f t="shared" si="1"/>
        <v>-0.40823196770035197</v>
      </c>
    </row>
    <row r="12" spans="1:15" x14ac:dyDescent="0.3">
      <c r="A12" s="2">
        <v>45014</v>
      </c>
      <c r="B12">
        <v>840.37371826171875</v>
      </c>
      <c r="C12">
        <f t="shared" si="2"/>
        <v>1.8870141755751076E-2</v>
      </c>
      <c r="K12">
        <f t="shared" si="0"/>
        <v>1403</v>
      </c>
      <c r="L12" s="5">
        <f t="shared" si="1"/>
        <v>-0.40101659425394243</v>
      </c>
    </row>
    <row r="13" spans="1:15" x14ac:dyDescent="0.3">
      <c r="A13" s="2">
        <v>45016</v>
      </c>
      <c r="B13">
        <v>856.231689453125</v>
      </c>
      <c r="C13">
        <f t="shared" si="2"/>
        <v>7.1053925936486436E-3</v>
      </c>
      <c r="K13">
        <f t="shared" si="0"/>
        <v>1403</v>
      </c>
      <c r="L13" s="5">
        <f t="shared" si="1"/>
        <v>-0.38971369247817178</v>
      </c>
    </row>
    <row r="14" spans="1:15" x14ac:dyDescent="0.3">
      <c r="A14" s="2">
        <v>45019</v>
      </c>
      <c r="B14">
        <v>862.3155517578125</v>
      </c>
      <c r="C14">
        <f t="shared" si="2"/>
        <v>-4.7420127351170118E-3</v>
      </c>
      <c r="K14">
        <f t="shared" si="0"/>
        <v>1403</v>
      </c>
      <c r="L14" s="5">
        <f t="shared" si="1"/>
        <v>-0.38537736866870098</v>
      </c>
    </row>
    <row r="15" spans="1:15" x14ac:dyDescent="0.3">
      <c r="A15" s="2">
        <v>45021</v>
      </c>
      <c r="B15">
        <v>858.2264404296875</v>
      </c>
      <c r="C15">
        <f t="shared" si="2"/>
        <v>-9.9360779200496803E-3</v>
      </c>
      <c r="K15">
        <f t="shared" si="0"/>
        <v>1403</v>
      </c>
      <c r="L15" s="5">
        <f t="shared" si="1"/>
        <v>-0.3882919170137652</v>
      </c>
    </row>
    <row r="16" spans="1:15" x14ac:dyDescent="0.3">
      <c r="A16" s="2">
        <v>45022</v>
      </c>
      <c r="B16">
        <v>849.69903564453125</v>
      </c>
      <c r="C16">
        <f t="shared" si="2"/>
        <v>-5.39943018944337E-3</v>
      </c>
      <c r="K16">
        <f t="shared" si="0"/>
        <v>1403</v>
      </c>
      <c r="L16" s="5">
        <f t="shared" si="1"/>
        <v>-0.39436989619064056</v>
      </c>
    </row>
    <row r="17" spans="1:12" x14ac:dyDescent="0.3">
      <c r="A17" s="2">
        <v>45026</v>
      </c>
      <c r="B17">
        <v>845.11114501953125</v>
      </c>
      <c r="C17">
        <f t="shared" si="2"/>
        <v>7.0218753730689519E-3</v>
      </c>
      <c r="K17">
        <f t="shared" si="0"/>
        <v>1403</v>
      </c>
      <c r="L17" s="5">
        <f t="shared" si="1"/>
        <v>-0.39763995365678462</v>
      </c>
    </row>
    <row r="18" spans="1:12" x14ac:dyDescent="0.3">
      <c r="A18" s="2">
        <v>45027</v>
      </c>
      <c r="B18">
        <v>851.04541015625</v>
      </c>
      <c r="C18">
        <f t="shared" si="2"/>
        <v>-2.6367788697379889E-3</v>
      </c>
      <c r="K18">
        <f t="shared" si="0"/>
        <v>1403</v>
      </c>
      <c r="L18" s="5">
        <f t="shared" si="1"/>
        <v>-0.39341025648164651</v>
      </c>
    </row>
    <row r="19" spans="1:12" x14ac:dyDescent="0.3">
      <c r="A19" s="2">
        <v>45028</v>
      </c>
      <c r="B19">
        <v>848.8013916015625</v>
      </c>
      <c r="C19">
        <f t="shared" si="2"/>
        <v>1.5627649340658883E-2</v>
      </c>
      <c r="K19">
        <f t="shared" si="0"/>
        <v>1403</v>
      </c>
      <c r="L19" s="5">
        <f t="shared" si="1"/>
        <v>-0.39500969949995546</v>
      </c>
    </row>
    <row r="20" spans="1:12" x14ac:dyDescent="0.3">
      <c r="A20" s="2">
        <v>45029</v>
      </c>
      <c r="B20">
        <v>862.066162109375</v>
      </c>
      <c r="C20">
        <f t="shared" si="2"/>
        <v>2.314485065659442E-4</v>
      </c>
      <c r="K20">
        <f t="shared" si="0"/>
        <v>1403</v>
      </c>
      <c r="L20" s="5">
        <f t="shared" si="1"/>
        <v>-0.3855551232292409</v>
      </c>
    </row>
    <row r="21" spans="1:12" x14ac:dyDescent="0.3">
      <c r="A21" s="2">
        <v>45033</v>
      </c>
      <c r="B21">
        <v>862.26568603515625</v>
      </c>
      <c r="C21">
        <f t="shared" si="2"/>
        <v>-1.3880157801587996E-3</v>
      </c>
      <c r="K21">
        <f t="shared" si="0"/>
        <v>1403</v>
      </c>
      <c r="L21" s="5">
        <f t="shared" si="1"/>
        <v>-0.38541291088014518</v>
      </c>
    </row>
    <row r="22" spans="1:12" x14ac:dyDescent="0.3">
      <c r="A22" s="2">
        <v>45034</v>
      </c>
      <c r="B22">
        <v>861.06884765625</v>
      </c>
      <c r="C22">
        <f t="shared" si="2"/>
        <v>1.1640763177577831E-2</v>
      </c>
      <c r="K22">
        <f t="shared" si="0"/>
        <v>1403</v>
      </c>
      <c r="L22" s="5">
        <f t="shared" si="1"/>
        <v>-0.38626596745812547</v>
      </c>
    </row>
    <row r="23" spans="1:12" x14ac:dyDescent="0.3">
      <c r="A23" s="2">
        <v>45035</v>
      </c>
      <c r="B23">
        <v>871.09234619140625</v>
      </c>
      <c r="C23">
        <f t="shared" si="2"/>
        <v>-5.3239996112661898E-3</v>
      </c>
      <c r="K23">
        <f t="shared" si="0"/>
        <v>1403</v>
      </c>
      <c r="L23" s="5">
        <f t="shared" si="1"/>
        <v>-0.37912163493128559</v>
      </c>
    </row>
    <row r="24" spans="1:12" x14ac:dyDescent="0.3">
      <c r="A24" s="2">
        <v>45036</v>
      </c>
      <c r="B24">
        <v>866.45465087890625</v>
      </c>
      <c r="C24">
        <f t="shared" si="2"/>
        <v>-5.2374638392678838E-3</v>
      </c>
      <c r="K24">
        <f t="shared" si="0"/>
        <v>1403</v>
      </c>
      <c r="L24" s="5">
        <f t="shared" si="1"/>
        <v>-0.38242719110555501</v>
      </c>
    </row>
    <row r="25" spans="1:12" x14ac:dyDescent="0.3">
      <c r="A25" s="2">
        <v>45037</v>
      </c>
      <c r="B25">
        <v>861.9166259765625</v>
      </c>
      <c r="C25">
        <f t="shared" si="2"/>
        <v>2.0944306618168058E-2</v>
      </c>
      <c r="K25">
        <f t="shared" si="0"/>
        <v>1403</v>
      </c>
      <c r="L25" s="5">
        <f t="shared" si="1"/>
        <v>-0.38566170636025476</v>
      </c>
    </row>
    <row r="26" spans="1:12" x14ac:dyDescent="0.3">
      <c r="A26" s="2">
        <v>45040</v>
      </c>
      <c r="B26">
        <v>879.9688720703125</v>
      </c>
      <c r="C26">
        <f t="shared" si="2"/>
        <v>-4.4769483561888021E-3</v>
      </c>
      <c r="K26">
        <f t="shared" si="0"/>
        <v>1403</v>
      </c>
      <c r="L26" s="5">
        <f t="shared" si="1"/>
        <v>-0.37279481677098181</v>
      </c>
    </row>
    <row r="27" spans="1:12" x14ac:dyDescent="0.3">
      <c r="A27" s="2">
        <v>45041</v>
      </c>
      <c r="B27">
        <v>876.029296875</v>
      </c>
      <c r="C27">
        <f t="shared" si="2"/>
        <v>1.0587991358379763E-2</v>
      </c>
      <c r="K27">
        <f t="shared" si="0"/>
        <v>1403</v>
      </c>
      <c r="L27" s="5">
        <f t="shared" si="1"/>
        <v>-0.37560278198503205</v>
      </c>
    </row>
    <row r="28" spans="1:12" x14ac:dyDescent="0.3">
      <c r="A28" s="2">
        <v>45042</v>
      </c>
      <c r="B28">
        <v>885.3046875</v>
      </c>
      <c r="C28">
        <f t="shared" si="2"/>
        <v>-7.0410329468138617E-3</v>
      </c>
      <c r="K28">
        <f t="shared" si="0"/>
        <v>1403</v>
      </c>
      <c r="L28" s="5">
        <f t="shared" si="1"/>
        <v>-0.36899166963649321</v>
      </c>
    </row>
    <row r="29" spans="1:12" x14ac:dyDescent="0.3">
      <c r="A29" s="2">
        <v>45043</v>
      </c>
      <c r="B29">
        <v>879.07122802734375</v>
      </c>
      <c r="C29">
        <f t="shared" si="2"/>
        <v>-2.4279609181693185E-2</v>
      </c>
      <c r="K29">
        <f t="shared" si="0"/>
        <v>1403</v>
      </c>
      <c r="L29" s="5">
        <f t="shared" si="1"/>
        <v>-0.37343462008029671</v>
      </c>
    </row>
    <row r="30" spans="1:12" x14ac:dyDescent="0.3">
      <c r="A30" s="2">
        <v>45044</v>
      </c>
      <c r="B30">
        <v>857.72772216796875</v>
      </c>
      <c r="C30">
        <f t="shared" si="2"/>
        <v>1.2383751781024009E-2</v>
      </c>
      <c r="K30">
        <f t="shared" si="0"/>
        <v>1403</v>
      </c>
      <c r="L30" s="5">
        <f t="shared" si="1"/>
        <v>-0.38864738263152621</v>
      </c>
    </row>
    <row r="31" spans="1:12" x14ac:dyDescent="0.3">
      <c r="A31" s="2">
        <v>45048</v>
      </c>
      <c r="B31">
        <v>868.349609375</v>
      </c>
      <c r="C31">
        <f t="shared" si="2"/>
        <v>-1.2404547959378761E-2</v>
      </c>
      <c r="K31">
        <f t="shared" si="0"/>
        <v>1403</v>
      </c>
      <c r="L31" s="5">
        <f t="shared" si="1"/>
        <v>-0.38107654356735565</v>
      </c>
    </row>
    <row r="32" spans="1:12" x14ac:dyDescent="0.3">
      <c r="A32" s="2">
        <v>45049</v>
      </c>
      <c r="B32">
        <v>857.578125</v>
      </c>
      <c r="C32">
        <f t="shared" si="2"/>
        <v>7.0943079848774715E-3</v>
      </c>
      <c r="K32">
        <f t="shared" si="0"/>
        <v>1403</v>
      </c>
      <c r="L32" s="5">
        <f t="shared" si="1"/>
        <v>-0.3887540092658589</v>
      </c>
    </row>
    <row r="33" spans="1:12" x14ac:dyDescent="0.3">
      <c r="A33" s="2">
        <v>45050</v>
      </c>
      <c r="B33">
        <v>863.66204833984375</v>
      </c>
      <c r="C33">
        <f t="shared" si="2"/>
        <v>-7.5065869912161907E-4</v>
      </c>
      <c r="K33">
        <f t="shared" si="0"/>
        <v>1403</v>
      </c>
      <c r="L33" s="5">
        <f t="shared" si="1"/>
        <v>-0.38441764195306927</v>
      </c>
    </row>
    <row r="34" spans="1:12" x14ac:dyDescent="0.3">
      <c r="A34" s="2">
        <v>45051</v>
      </c>
      <c r="B34">
        <v>863.01373291015625</v>
      </c>
      <c r="C34">
        <f t="shared" si="2"/>
        <v>1.5197017005481832E-2</v>
      </c>
      <c r="K34">
        <f t="shared" si="0"/>
        <v>1403</v>
      </c>
      <c r="L34" s="5">
        <f t="shared" si="1"/>
        <v>-0.38487973420516308</v>
      </c>
    </row>
    <row r="35" spans="1:12" x14ac:dyDescent="0.3">
      <c r="A35" s="2">
        <v>45054</v>
      </c>
      <c r="B35">
        <v>876.12896728515625</v>
      </c>
      <c r="C35">
        <f t="shared" si="2"/>
        <v>1.1156016125120929E-2</v>
      </c>
      <c r="K35">
        <f t="shared" si="0"/>
        <v>1403</v>
      </c>
      <c r="L35" s="5">
        <f t="shared" si="1"/>
        <v>-0.37553174106546239</v>
      </c>
    </row>
    <row r="36" spans="1:12" x14ac:dyDescent="0.3">
      <c r="A36" s="2">
        <v>45055</v>
      </c>
      <c r="B36">
        <v>885.903076171875</v>
      </c>
      <c r="C36">
        <f t="shared" si="2"/>
        <v>1.8576421758010329E-3</v>
      </c>
      <c r="K36">
        <f t="shared" si="0"/>
        <v>1403</v>
      </c>
      <c r="L36" s="5">
        <f t="shared" si="1"/>
        <v>-0.36856516309916254</v>
      </c>
    </row>
    <row r="37" spans="1:12" x14ac:dyDescent="0.3">
      <c r="A37" s="2">
        <v>45056</v>
      </c>
      <c r="B37">
        <v>887.54876708984375</v>
      </c>
      <c r="C37">
        <f t="shared" si="2"/>
        <v>6.7984958187885663E-3</v>
      </c>
      <c r="K37">
        <f t="shared" si="0"/>
        <v>1403</v>
      </c>
      <c r="L37" s="5">
        <f t="shared" si="1"/>
        <v>-0.36739218311486543</v>
      </c>
    </row>
    <row r="38" spans="1:12" x14ac:dyDescent="0.3">
      <c r="A38" s="2">
        <v>45057</v>
      </c>
      <c r="B38">
        <v>893.582763671875</v>
      </c>
      <c r="C38">
        <f t="shared" si="2"/>
        <v>1.6407203052363109E-2</v>
      </c>
      <c r="K38">
        <f t="shared" si="0"/>
        <v>1403</v>
      </c>
      <c r="L38" s="5">
        <f t="shared" si="1"/>
        <v>-0.36309140151683894</v>
      </c>
    </row>
    <row r="39" spans="1:12" x14ac:dyDescent="0.3">
      <c r="A39" s="2">
        <v>45058</v>
      </c>
      <c r="B39">
        <v>908.24395751953125</v>
      </c>
      <c r="C39">
        <f t="shared" si="2"/>
        <v>5.65525649418047E-3</v>
      </c>
      <c r="K39">
        <f t="shared" si="0"/>
        <v>1403</v>
      </c>
      <c r="L39" s="5">
        <f t="shared" si="1"/>
        <v>-0.35264151281572964</v>
      </c>
    </row>
    <row r="40" spans="1:12" x14ac:dyDescent="0.3">
      <c r="A40" s="2">
        <v>45061</v>
      </c>
      <c r="B40">
        <v>913.38031005859375</v>
      </c>
      <c r="C40">
        <f t="shared" si="2"/>
        <v>2.1839215873117913E-3</v>
      </c>
      <c r="K40">
        <f t="shared" si="0"/>
        <v>1403</v>
      </c>
      <c r="L40" s="5">
        <f t="shared" si="1"/>
        <v>-0.34898053452701805</v>
      </c>
    </row>
    <row r="41" spans="1:12" x14ac:dyDescent="0.3">
      <c r="A41" s="2">
        <v>45062</v>
      </c>
      <c r="B41">
        <v>915.37506103515625</v>
      </c>
      <c r="C41">
        <f t="shared" si="2"/>
        <v>-3.2687437010356056E-3</v>
      </c>
      <c r="K41">
        <f t="shared" si="0"/>
        <v>1403</v>
      </c>
      <c r="L41" s="5">
        <f t="shared" si="1"/>
        <v>-0.34755875906261136</v>
      </c>
    </row>
    <row r="42" spans="1:12" x14ac:dyDescent="0.3">
      <c r="A42" s="2">
        <v>45063</v>
      </c>
      <c r="B42">
        <v>912.3829345703125</v>
      </c>
      <c r="C42">
        <f t="shared" si="2"/>
        <v>-1.0924186148131964E-4</v>
      </c>
      <c r="K42">
        <f t="shared" si="0"/>
        <v>1403</v>
      </c>
      <c r="L42" s="5">
        <f t="shared" si="1"/>
        <v>-0.34969142225922134</v>
      </c>
    </row>
    <row r="43" spans="1:12" x14ac:dyDescent="0.3">
      <c r="A43" s="2">
        <v>45064</v>
      </c>
      <c r="B43">
        <v>912.28326416015625</v>
      </c>
      <c r="C43">
        <f t="shared" si="2"/>
        <v>1.0221819996977289E-2</v>
      </c>
      <c r="K43">
        <f t="shared" si="0"/>
        <v>1403</v>
      </c>
      <c r="L43" s="5">
        <f t="shared" si="1"/>
        <v>-0.34976246317879101</v>
      </c>
    </row>
    <row r="44" spans="1:12" x14ac:dyDescent="0.3">
      <c r="A44" s="2">
        <v>45065</v>
      </c>
      <c r="B44">
        <v>921.60845947265625</v>
      </c>
      <c r="C44">
        <f t="shared" si="2"/>
        <v>-7.0342106990282476E-3</v>
      </c>
      <c r="K44">
        <f t="shared" si="0"/>
        <v>1403</v>
      </c>
      <c r="L44" s="5">
        <f t="shared" si="1"/>
        <v>-0.3431158521221267</v>
      </c>
    </row>
    <row r="45" spans="1:12" x14ac:dyDescent="0.3">
      <c r="A45" s="2">
        <v>45068</v>
      </c>
      <c r="B45">
        <v>915.12567138671875</v>
      </c>
      <c r="C45">
        <f t="shared" si="2"/>
        <v>-1.5258027538615441E-3</v>
      </c>
      <c r="K45">
        <f t="shared" si="0"/>
        <v>1403</v>
      </c>
      <c r="L45" s="5">
        <f t="shared" si="1"/>
        <v>-0.34773651362315128</v>
      </c>
    </row>
    <row r="46" spans="1:12" x14ac:dyDescent="0.3">
      <c r="A46" s="2">
        <v>45069</v>
      </c>
      <c r="B46">
        <v>913.7293701171875</v>
      </c>
      <c r="C46">
        <f t="shared" si="2"/>
        <v>1.6918559127652158E-3</v>
      </c>
      <c r="K46">
        <f t="shared" si="0"/>
        <v>1403</v>
      </c>
      <c r="L46" s="5">
        <f t="shared" si="1"/>
        <v>-0.34873173904690846</v>
      </c>
    </row>
    <row r="47" spans="1:12" x14ac:dyDescent="0.3">
      <c r="A47" s="2">
        <v>45070</v>
      </c>
      <c r="B47">
        <v>915.2752685546875</v>
      </c>
      <c r="C47">
        <f t="shared" si="2"/>
        <v>3.6504050781981973E-3</v>
      </c>
      <c r="K47">
        <f t="shared" si="0"/>
        <v>1403</v>
      </c>
      <c r="L47" s="5">
        <f t="shared" si="1"/>
        <v>-0.34762988698881858</v>
      </c>
    </row>
    <row r="48" spans="1:12" x14ac:dyDescent="0.3">
      <c r="A48" s="2">
        <v>45071</v>
      </c>
      <c r="B48">
        <v>918.61639404296875</v>
      </c>
      <c r="C48">
        <f t="shared" si="2"/>
        <v>6.4057864494670679E-3</v>
      </c>
      <c r="K48">
        <f t="shared" si="0"/>
        <v>1403</v>
      </c>
      <c r="L48" s="5">
        <f t="shared" si="1"/>
        <v>-0.34524847181541785</v>
      </c>
    </row>
    <row r="49" spans="1:12" x14ac:dyDescent="0.3">
      <c r="A49" s="2">
        <v>45072</v>
      </c>
      <c r="B49">
        <v>924.5008544921875</v>
      </c>
      <c r="C49">
        <f t="shared" si="2"/>
        <v>3.0745317462402841E-3</v>
      </c>
      <c r="K49">
        <f t="shared" si="0"/>
        <v>1403</v>
      </c>
      <c r="L49" s="5">
        <f t="shared" si="1"/>
        <v>-0.34105427334840521</v>
      </c>
    </row>
    <row r="50" spans="1:12" x14ac:dyDescent="0.3">
      <c r="A50" s="2">
        <v>45075</v>
      </c>
      <c r="B50">
        <v>927.34326171875</v>
      </c>
      <c r="C50">
        <f t="shared" si="2"/>
        <v>8.2276791426280239E-3</v>
      </c>
      <c r="K50">
        <f t="shared" si="0"/>
        <v>1403</v>
      </c>
      <c r="L50" s="5">
        <f t="shared" si="1"/>
        <v>-0.33902832379276548</v>
      </c>
    </row>
    <row r="51" spans="1:12" x14ac:dyDescent="0.3">
      <c r="A51" s="2">
        <v>45076</v>
      </c>
      <c r="B51">
        <v>934.97314453125</v>
      </c>
      <c r="C51">
        <f t="shared" si="2"/>
        <v>-2.4108012481558368E-2</v>
      </c>
      <c r="K51">
        <f t="shared" si="0"/>
        <v>1403</v>
      </c>
      <c r="L51" s="5">
        <f t="shared" si="1"/>
        <v>-0.33359006091856735</v>
      </c>
    </row>
    <row r="52" spans="1:12" x14ac:dyDescent="0.3">
      <c r="A52" s="2">
        <v>45077</v>
      </c>
      <c r="B52">
        <v>912.43280029296875</v>
      </c>
      <c r="C52">
        <f t="shared" si="2"/>
        <v>5.3014525965398114E-3</v>
      </c>
      <c r="K52">
        <f t="shared" si="0"/>
        <v>1403</v>
      </c>
      <c r="L52" s="5">
        <f t="shared" si="1"/>
        <v>-0.34965588004777703</v>
      </c>
    </row>
    <row r="53" spans="1:12" x14ac:dyDescent="0.3">
      <c r="A53" s="2">
        <v>45078</v>
      </c>
      <c r="B53">
        <v>917.27001953125</v>
      </c>
      <c r="C53">
        <f t="shared" si="2"/>
        <v>6.958754243256436E-3</v>
      </c>
      <c r="K53">
        <f t="shared" si="0"/>
        <v>1403</v>
      </c>
      <c r="L53" s="5">
        <f t="shared" si="1"/>
        <v>-0.346208111524412</v>
      </c>
    </row>
    <row r="54" spans="1:12" x14ac:dyDescent="0.3">
      <c r="A54" s="2">
        <v>45079</v>
      </c>
      <c r="B54">
        <v>923.653076171875</v>
      </c>
      <c r="C54">
        <f t="shared" si="2"/>
        <v>2.6724937045417962E-2</v>
      </c>
      <c r="K54">
        <f t="shared" si="0"/>
        <v>1403</v>
      </c>
      <c r="L54" s="5">
        <f t="shared" si="1"/>
        <v>-0.34165853444627581</v>
      </c>
    </row>
    <row r="55" spans="1:12" x14ac:dyDescent="0.3">
      <c r="A55" s="2">
        <v>45082</v>
      </c>
      <c r="B55">
        <v>948.337646484375</v>
      </c>
      <c r="C55">
        <f t="shared" si="2"/>
        <v>1.824687576508132E-2</v>
      </c>
      <c r="K55">
        <f t="shared" si="0"/>
        <v>1403</v>
      </c>
      <c r="L55" s="5">
        <f t="shared" si="1"/>
        <v>-0.32406440022496441</v>
      </c>
    </row>
    <row r="56" spans="1:12" x14ac:dyDescent="0.3">
      <c r="A56" s="2">
        <v>45083</v>
      </c>
      <c r="B56">
        <v>965.641845703125</v>
      </c>
      <c r="C56">
        <f t="shared" si="2"/>
        <v>8.8308152997937685E-3</v>
      </c>
      <c r="K56">
        <f t="shared" si="0"/>
        <v>1403</v>
      </c>
      <c r="L56" s="5">
        <f t="shared" si="1"/>
        <v>-0.31173068731067355</v>
      </c>
    </row>
    <row r="57" spans="1:12" x14ac:dyDescent="0.3">
      <c r="A57" s="2">
        <v>45084</v>
      </c>
      <c r="B57">
        <v>974.16925048828125</v>
      </c>
      <c r="C57">
        <f t="shared" si="2"/>
        <v>-1.4998757266949648E-2</v>
      </c>
      <c r="K57">
        <f t="shared" si="0"/>
        <v>1403</v>
      </c>
      <c r="L57" s="5">
        <f t="shared" si="1"/>
        <v>-0.30565270813379808</v>
      </c>
    </row>
    <row r="58" spans="1:12" x14ac:dyDescent="0.3">
      <c r="A58" s="2">
        <v>45085</v>
      </c>
      <c r="B58">
        <v>959.55792236328125</v>
      </c>
      <c r="C58">
        <f t="shared" si="2"/>
        <v>1.3148386240739293E-2</v>
      </c>
      <c r="K58">
        <f t="shared" si="0"/>
        <v>1403</v>
      </c>
      <c r="L58" s="5">
        <f t="shared" si="1"/>
        <v>-0.31606705462346307</v>
      </c>
    </row>
    <row r="59" spans="1:12" x14ac:dyDescent="0.3">
      <c r="A59" s="2">
        <v>45086</v>
      </c>
      <c r="B59">
        <v>972.174560546875</v>
      </c>
      <c r="C59">
        <f t="shared" si="2"/>
        <v>-5.6422269361809955E-4</v>
      </c>
      <c r="K59">
        <f t="shared" si="0"/>
        <v>1403</v>
      </c>
      <c r="L59" s="5">
        <f t="shared" si="1"/>
        <v>-0.30707444009488594</v>
      </c>
    </row>
    <row r="60" spans="1:12" x14ac:dyDescent="0.3">
      <c r="A60" s="2">
        <v>45089</v>
      </c>
      <c r="B60">
        <v>971.62603759765625</v>
      </c>
      <c r="C60">
        <f t="shared" si="2"/>
        <v>1.1958449213370512E-2</v>
      </c>
      <c r="K60">
        <f t="shared" si="0"/>
        <v>1403</v>
      </c>
      <c r="L60" s="5">
        <f t="shared" si="1"/>
        <v>-0.30746540442077241</v>
      </c>
    </row>
    <row r="61" spans="1:12" x14ac:dyDescent="0.3">
      <c r="A61" s="2">
        <v>45090</v>
      </c>
      <c r="B61">
        <v>983.24517822265625</v>
      </c>
      <c r="C61">
        <f t="shared" si="2"/>
        <v>-8.2669288889299971E-3</v>
      </c>
      <c r="K61">
        <f t="shared" si="0"/>
        <v>1403</v>
      </c>
      <c r="L61" s="5">
        <f t="shared" si="1"/>
        <v>-0.29918376463103613</v>
      </c>
    </row>
    <row r="62" spans="1:12" x14ac:dyDescent="0.3">
      <c r="A62" s="2">
        <v>45091</v>
      </c>
      <c r="B62">
        <v>975.11676025390625</v>
      </c>
      <c r="C62">
        <f t="shared" si="2"/>
        <v>-5.6252027611126542E-4</v>
      </c>
      <c r="K62">
        <f t="shared" si="0"/>
        <v>1403</v>
      </c>
      <c r="L62" s="5">
        <f t="shared" si="1"/>
        <v>-0.30497736261303898</v>
      </c>
    </row>
    <row r="63" spans="1:12" x14ac:dyDescent="0.3">
      <c r="A63" s="2">
        <v>45092</v>
      </c>
      <c r="B63">
        <v>974.5682373046875</v>
      </c>
      <c r="C63">
        <f t="shared" si="2"/>
        <v>4.5028203219499617E-3</v>
      </c>
      <c r="K63">
        <f t="shared" si="0"/>
        <v>1403</v>
      </c>
      <c r="L63" s="5">
        <f t="shared" si="1"/>
        <v>-0.30536832693892557</v>
      </c>
    </row>
    <row r="64" spans="1:12" x14ac:dyDescent="0.3">
      <c r="A64" s="2">
        <v>45093</v>
      </c>
      <c r="B64">
        <v>978.95654296875</v>
      </c>
      <c r="C64">
        <f t="shared" si="2"/>
        <v>-1.6198726322420587E-2</v>
      </c>
      <c r="K64">
        <f t="shared" si="0"/>
        <v>1403</v>
      </c>
      <c r="L64" s="5">
        <f t="shared" si="1"/>
        <v>-0.30224052532519596</v>
      </c>
    </row>
    <row r="65" spans="1:12" x14ac:dyDescent="0.3">
      <c r="A65" s="2">
        <v>45096</v>
      </c>
      <c r="B65">
        <v>963.09869384765625</v>
      </c>
      <c r="C65">
        <f t="shared" si="2"/>
        <v>9.5271628994469948E-3</v>
      </c>
      <c r="K65">
        <f t="shared" si="0"/>
        <v>1403</v>
      </c>
      <c r="L65" s="5">
        <f t="shared" si="1"/>
        <v>-0.31354334009432916</v>
      </c>
    </row>
    <row r="66" spans="1:12" x14ac:dyDescent="0.3">
      <c r="A66" s="2">
        <v>45097</v>
      </c>
      <c r="B66">
        <v>972.2742919921875</v>
      </c>
      <c r="C66">
        <f t="shared" si="2"/>
        <v>-9.0783014564831E-3</v>
      </c>
      <c r="K66">
        <f t="shared" ref="K66:K129" si="3">MAX(B66:B805)</f>
        <v>1403</v>
      </c>
      <c r="L66" s="5">
        <f t="shared" ref="L66:L129" si="4">B66/K66-1</f>
        <v>-0.30700335567199755</v>
      </c>
    </row>
    <row r="67" spans="1:12" x14ac:dyDescent="0.3">
      <c r="A67" s="2">
        <v>45098</v>
      </c>
      <c r="B67">
        <v>963.44769287109375</v>
      </c>
      <c r="C67">
        <f t="shared" ref="C67:C130" si="5">(B68-B67)/B67</f>
        <v>6.2109098013592157E-4</v>
      </c>
      <c r="K67">
        <f t="shared" si="3"/>
        <v>1403</v>
      </c>
      <c r="L67" s="5">
        <f t="shared" si="4"/>
        <v>-0.3132945881175383</v>
      </c>
    </row>
    <row r="68" spans="1:12" x14ac:dyDescent="0.3">
      <c r="A68" s="2">
        <v>45099</v>
      </c>
      <c r="B68">
        <v>964.04608154296875</v>
      </c>
      <c r="C68">
        <f t="shared" si="5"/>
        <v>-8.4832912533774289E-3</v>
      </c>
      <c r="K68">
        <f t="shared" si="3"/>
        <v>1403</v>
      </c>
      <c r="L68" s="5">
        <f t="shared" si="4"/>
        <v>-0.31286808158020762</v>
      </c>
    </row>
    <row r="69" spans="1:12" x14ac:dyDescent="0.3">
      <c r="A69" s="2">
        <v>45100</v>
      </c>
      <c r="B69">
        <v>955.8677978515625</v>
      </c>
      <c r="C69">
        <f t="shared" si="5"/>
        <v>2.243288364975329E-3</v>
      </c>
      <c r="K69">
        <f t="shared" si="3"/>
        <v>1403</v>
      </c>
      <c r="L69" s="5">
        <f t="shared" si="4"/>
        <v>-0.31869722177365467</v>
      </c>
    </row>
    <row r="70" spans="1:12" x14ac:dyDescent="0.3">
      <c r="A70" s="2">
        <v>45103</v>
      </c>
      <c r="B70">
        <v>958.0120849609375</v>
      </c>
      <c r="C70">
        <f t="shared" si="5"/>
        <v>1.3221589862940213E-2</v>
      </c>
      <c r="K70">
        <f t="shared" si="3"/>
        <v>1403</v>
      </c>
      <c r="L70" s="5">
        <f t="shared" si="4"/>
        <v>-0.31716886317823412</v>
      </c>
    </row>
    <row r="71" spans="1:12" x14ac:dyDescent="0.3">
      <c r="A71" s="2">
        <v>45104</v>
      </c>
      <c r="B71">
        <v>970.67852783203125</v>
      </c>
      <c r="C71">
        <f t="shared" si="5"/>
        <v>5.0860192194256432E-3</v>
      </c>
      <c r="K71">
        <f t="shared" si="3"/>
        <v>1403</v>
      </c>
      <c r="L71" s="5">
        <f t="shared" si="4"/>
        <v>-0.30814074994153151</v>
      </c>
    </row>
    <row r="72" spans="1:12" x14ac:dyDescent="0.3">
      <c r="A72" s="2">
        <v>45105</v>
      </c>
      <c r="B72">
        <v>975.61541748046875</v>
      </c>
      <c r="C72">
        <f t="shared" si="5"/>
        <v>9.456170712559173E-3</v>
      </c>
      <c r="K72">
        <f t="shared" si="3"/>
        <v>1403</v>
      </c>
      <c r="L72" s="5">
        <f t="shared" si="4"/>
        <v>-0.30462194049859681</v>
      </c>
    </row>
    <row r="73" spans="1:12" x14ac:dyDescent="0.3">
      <c r="A73" s="2">
        <v>45107</v>
      </c>
      <c r="B73">
        <v>984.84100341796875</v>
      </c>
      <c r="C73">
        <f t="shared" si="5"/>
        <v>-5.4180080300527374E-3</v>
      </c>
      <c r="K73">
        <f t="shared" si="3"/>
        <v>1403</v>
      </c>
      <c r="L73" s="5">
        <f t="shared" si="4"/>
        <v>-0.29804632685818333</v>
      </c>
    </row>
    <row r="74" spans="1:12" x14ac:dyDescent="0.3">
      <c r="A74" s="2">
        <v>45110</v>
      </c>
      <c r="B74">
        <v>979.505126953125</v>
      </c>
      <c r="C74">
        <f t="shared" si="5"/>
        <v>-1.1607772878374239E-2</v>
      </c>
      <c r="K74">
        <f t="shared" si="3"/>
        <v>1403</v>
      </c>
      <c r="L74" s="5">
        <f t="shared" si="4"/>
        <v>-0.30184951749599076</v>
      </c>
    </row>
    <row r="75" spans="1:12" x14ac:dyDescent="0.3">
      <c r="A75" s="2">
        <v>45111</v>
      </c>
      <c r="B75">
        <v>968.13525390625</v>
      </c>
      <c r="C75">
        <f t="shared" si="5"/>
        <v>-4.3267754083866732E-3</v>
      </c>
      <c r="K75">
        <f t="shared" si="3"/>
        <v>1403</v>
      </c>
      <c r="L75" s="5">
        <f t="shared" si="4"/>
        <v>-0.30995348973182468</v>
      </c>
    </row>
    <row r="76" spans="1:12" x14ac:dyDescent="0.3">
      <c r="A76" s="2">
        <v>45112</v>
      </c>
      <c r="B76">
        <v>963.94635009765625</v>
      </c>
      <c r="C76">
        <f t="shared" si="5"/>
        <v>1.4950899739300793E-2</v>
      </c>
      <c r="K76">
        <f t="shared" si="3"/>
        <v>1403</v>
      </c>
      <c r="L76" s="5">
        <f t="shared" si="4"/>
        <v>-0.31293916600309601</v>
      </c>
    </row>
    <row r="77" spans="1:12" x14ac:dyDescent="0.3">
      <c r="A77" s="2">
        <v>45113</v>
      </c>
      <c r="B77">
        <v>978.35821533203125</v>
      </c>
      <c r="C77">
        <f t="shared" si="5"/>
        <v>-3.3165265295608619E-3</v>
      </c>
      <c r="K77">
        <f t="shared" si="3"/>
        <v>1403</v>
      </c>
      <c r="L77" s="5">
        <f t="shared" si="4"/>
        <v>-0.30266698835920791</v>
      </c>
    </row>
    <row r="78" spans="1:12" x14ac:dyDescent="0.3">
      <c r="A78" s="2">
        <v>45114</v>
      </c>
      <c r="B78">
        <v>975.11346435546875</v>
      </c>
      <c r="C78">
        <f t="shared" si="5"/>
        <v>-1.2951843106699759E-2</v>
      </c>
      <c r="K78">
        <f t="shared" si="3"/>
        <v>1403</v>
      </c>
      <c r="L78" s="5">
        <f t="shared" si="4"/>
        <v>-0.30497971179225325</v>
      </c>
    </row>
    <row r="79" spans="1:12" x14ac:dyDescent="0.3">
      <c r="A79" s="2">
        <v>45117</v>
      </c>
      <c r="B79">
        <v>962.48394775390625</v>
      </c>
      <c r="C79">
        <f t="shared" si="5"/>
        <v>-1.1254499792857493E-2</v>
      </c>
      <c r="K79">
        <f t="shared" si="3"/>
        <v>1403</v>
      </c>
      <c r="L79" s="5">
        <f t="shared" si="4"/>
        <v>-0.31398150552109316</v>
      </c>
    </row>
    <row r="80" spans="1:12" x14ac:dyDescent="0.3">
      <c r="A80" s="2">
        <v>45118</v>
      </c>
      <c r="B80">
        <v>951.65167236328125</v>
      </c>
      <c r="C80">
        <f t="shared" si="5"/>
        <v>-3.357136136603578E-3</v>
      </c>
      <c r="K80">
        <f t="shared" si="3"/>
        <v>1403</v>
      </c>
      <c r="L80" s="5">
        <f t="shared" si="4"/>
        <v>-0.32170230052510251</v>
      </c>
    </row>
    <row r="81" spans="1:12" x14ac:dyDescent="0.3">
      <c r="A81" s="2">
        <v>45119</v>
      </c>
      <c r="B81">
        <v>948.45684814453125</v>
      </c>
      <c r="C81">
        <f t="shared" si="5"/>
        <v>1.0684244561783999E-2</v>
      </c>
      <c r="K81">
        <f t="shared" si="3"/>
        <v>1403</v>
      </c>
      <c r="L81" s="5">
        <f t="shared" si="4"/>
        <v>-0.32397943824338471</v>
      </c>
    </row>
    <row r="82" spans="1:12" x14ac:dyDescent="0.3">
      <c r="A82" s="2">
        <v>45120</v>
      </c>
      <c r="B82">
        <v>958.59039306640625</v>
      </c>
      <c r="C82">
        <f t="shared" si="5"/>
        <v>-3.2287322725827088E-3</v>
      </c>
      <c r="K82">
        <f t="shared" si="3"/>
        <v>1403</v>
      </c>
      <c r="L82" s="5">
        <f t="shared" si="4"/>
        <v>-0.31675666923278245</v>
      </c>
    </row>
    <row r="83" spans="1:12" x14ac:dyDescent="0.3">
      <c r="A83" s="2">
        <v>45121</v>
      </c>
      <c r="B83">
        <v>955.495361328125</v>
      </c>
      <c r="C83">
        <f t="shared" si="5"/>
        <v>8.1500055318369357E-3</v>
      </c>
      <c r="K83">
        <f t="shared" si="3"/>
        <v>1403</v>
      </c>
      <c r="L83" s="5">
        <f t="shared" si="4"/>
        <v>-0.31896267902485742</v>
      </c>
    </row>
    <row r="84" spans="1:12" x14ac:dyDescent="0.3">
      <c r="A84" s="2">
        <v>45124</v>
      </c>
      <c r="B84">
        <v>963.28265380859375</v>
      </c>
      <c r="C84">
        <f t="shared" si="5"/>
        <v>-1.243598654021629E-3</v>
      </c>
      <c r="K84">
        <f t="shared" si="3"/>
        <v>1403</v>
      </c>
      <c r="L84" s="5">
        <f t="shared" si="4"/>
        <v>-0.31341222109152267</v>
      </c>
    </row>
    <row r="85" spans="1:12" x14ac:dyDescent="0.3">
      <c r="A85" s="2">
        <v>45125</v>
      </c>
      <c r="B85">
        <v>962.084716796875</v>
      </c>
      <c r="C85">
        <f t="shared" si="5"/>
        <v>6.7443618505244878E-4</v>
      </c>
      <c r="K85">
        <f t="shared" si="3"/>
        <v>1403</v>
      </c>
      <c r="L85" s="5">
        <f t="shared" si="4"/>
        <v>-0.3142660607292409</v>
      </c>
    </row>
    <row r="86" spans="1:12" x14ac:dyDescent="0.3">
      <c r="A86" s="2">
        <v>45126</v>
      </c>
      <c r="B86">
        <v>962.73358154296875</v>
      </c>
      <c r="C86">
        <f t="shared" si="5"/>
        <v>1.4103529943112552E-2</v>
      </c>
      <c r="K86">
        <f t="shared" si="3"/>
        <v>1403</v>
      </c>
      <c r="L86" s="5">
        <f t="shared" si="4"/>
        <v>-0.31380357694727812</v>
      </c>
    </row>
    <row r="87" spans="1:12" x14ac:dyDescent="0.3">
      <c r="A87" s="2">
        <v>45127</v>
      </c>
      <c r="B87">
        <v>976.3115234375</v>
      </c>
      <c r="C87">
        <f t="shared" si="5"/>
        <v>-6.7491720372135642E-3</v>
      </c>
      <c r="K87">
        <f t="shared" si="3"/>
        <v>1403</v>
      </c>
      <c r="L87" s="5">
        <f t="shared" si="4"/>
        <v>-0.30412578514789734</v>
      </c>
    </row>
    <row r="88" spans="1:12" x14ac:dyDescent="0.3">
      <c r="A88" s="2">
        <v>45128</v>
      </c>
      <c r="B88">
        <v>969.72222900390625</v>
      </c>
      <c r="C88">
        <f t="shared" si="5"/>
        <v>2.0587957058468728E-4</v>
      </c>
      <c r="K88">
        <f t="shared" si="3"/>
        <v>1403</v>
      </c>
      <c r="L88" s="5">
        <f t="shared" si="4"/>
        <v>-0.30882235994019513</v>
      </c>
    </row>
    <row r="89" spans="1:12" x14ac:dyDescent="0.3">
      <c r="A89" s="2">
        <v>45131</v>
      </c>
      <c r="B89">
        <v>969.921875</v>
      </c>
      <c r="C89">
        <f t="shared" si="5"/>
        <v>-9.2639951671365291E-3</v>
      </c>
      <c r="K89">
        <f t="shared" si="3"/>
        <v>1403</v>
      </c>
      <c r="L89" s="5">
        <f t="shared" si="4"/>
        <v>-0.30868006058446185</v>
      </c>
    </row>
    <row r="90" spans="1:12" x14ac:dyDescent="0.3">
      <c r="A90" s="2">
        <v>45132</v>
      </c>
      <c r="B90">
        <v>960.9365234375</v>
      </c>
      <c r="C90">
        <f t="shared" si="5"/>
        <v>1.4857103513316578E-2</v>
      </c>
      <c r="K90">
        <f t="shared" si="3"/>
        <v>1403</v>
      </c>
      <c r="L90" s="5">
        <f t="shared" si="4"/>
        <v>-0.3150844451621525</v>
      </c>
    </row>
    <row r="91" spans="1:12" x14ac:dyDescent="0.3">
      <c r="A91" s="2">
        <v>45133</v>
      </c>
      <c r="B91">
        <v>975.2132568359375</v>
      </c>
      <c r="C91">
        <f t="shared" si="5"/>
        <v>-1.7301341465902828E-2</v>
      </c>
      <c r="K91">
        <f t="shared" si="3"/>
        <v>1403</v>
      </c>
      <c r="L91" s="5">
        <f t="shared" si="4"/>
        <v>-0.30490858386604602</v>
      </c>
    </row>
    <row r="92" spans="1:12" x14ac:dyDescent="0.3">
      <c r="A92" s="2">
        <v>45134</v>
      </c>
      <c r="B92">
        <v>958.34075927734375</v>
      </c>
      <c r="C92">
        <f t="shared" si="5"/>
        <v>-1.0365663564300251E-2</v>
      </c>
      <c r="K92">
        <f t="shared" si="3"/>
        <v>1403</v>
      </c>
      <c r="L92" s="5">
        <f t="shared" si="4"/>
        <v>-0.3169345978065975</v>
      </c>
    </row>
    <row r="93" spans="1:12" x14ac:dyDescent="0.3">
      <c r="A93" s="2">
        <v>45135</v>
      </c>
      <c r="B93">
        <v>948.40692138671875</v>
      </c>
      <c r="C93">
        <f t="shared" si="5"/>
        <v>4.1581344744498882E-3</v>
      </c>
      <c r="K93">
        <f t="shared" si="3"/>
        <v>1403</v>
      </c>
      <c r="L93" s="5">
        <f t="shared" si="4"/>
        <v>-0.32401502395814774</v>
      </c>
    </row>
    <row r="94" spans="1:12" x14ac:dyDescent="0.3">
      <c r="A94" s="2">
        <v>45138</v>
      </c>
      <c r="B94">
        <v>952.35052490234375</v>
      </c>
      <c r="C94">
        <f t="shared" si="5"/>
        <v>6.2899470503407894E-3</v>
      </c>
      <c r="K94">
        <f t="shared" si="3"/>
        <v>1403</v>
      </c>
      <c r="L94" s="5">
        <f t="shared" si="4"/>
        <v>-0.32120418752505786</v>
      </c>
    </row>
    <row r="95" spans="1:12" x14ac:dyDescent="0.3">
      <c r="A95" s="2">
        <v>45139</v>
      </c>
      <c r="B95">
        <v>958.34075927734375</v>
      </c>
      <c r="C95">
        <f t="shared" si="5"/>
        <v>-1.5262025079841327E-2</v>
      </c>
      <c r="K95">
        <f t="shared" si="3"/>
        <v>1403</v>
      </c>
      <c r="L95" s="5">
        <f t="shared" si="4"/>
        <v>-0.3169345978065975</v>
      </c>
    </row>
    <row r="96" spans="1:12" x14ac:dyDescent="0.3">
      <c r="A96" s="2">
        <v>45140</v>
      </c>
      <c r="B96">
        <v>943.71453857421875</v>
      </c>
      <c r="C96">
        <f t="shared" si="5"/>
        <v>-1.0261793906654838E-2</v>
      </c>
      <c r="K96">
        <f t="shared" si="3"/>
        <v>1403</v>
      </c>
      <c r="L96" s="5">
        <f t="shared" si="4"/>
        <v>-0.32735955910604508</v>
      </c>
    </row>
    <row r="97" spans="1:12" x14ac:dyDescent="0.3">
      <c r="A97" s="2">
        <v>45141</v>
      </c>
      <c r="B97">
        <v>934.03033447265625</v>
      </c>
      <c r="C97">
        <f t="shared" si="5"/>
        <v>1.7850439056578734E-2</v>
      </c>
      <c r="K97">
        <f t="shared" si="3"/>
        <v>1403</v>
      </c>
      <c r="L97" s="5">
        <f t="shared" si="4"/>
        <v>-0.33426205668378028</v>
      </c>
    </row>
    <row r="98" spans="1:12" x14ac:dyDescent="0.3">
      <c r="A98" s="2">
        <v>45142</v>
      </c>
      <c r="B98">
        <v>950.70318603515625</v>
      </c>
      <c r="C98">
        <f t="shared" si="5"/>
        <v>-5.0931795768718426E-3</v>
      </c>
      <c r="K98">
        <f t="shared" si="3"/>
        <v>1403</v>
      </c>
      <c r="L98" s="5">
        <f t="shared" si="4"/>
        <v>-0.3223783420989621</v>
      </c>
    </row>
    <row r="99" spans="1:12" x14ac:dyDescent="0.3">
      <c r="A99" s="2">
        <v>45145</v>
      </c>
      <c r="B99">
        <v>945.861083984375</v>
      </c>
      <c r="C99">
        <f t="shared" si="5"/>
        <v>5.805321653472275E-3</v>
      </c>
      <c r="K99">
        <f t="shared" si="3"/>
        <v>1403</v>
      </c>
      <c r="L99" s="5">
        <f t="shared" si="4"/>
        <v>-0.3258295908878297</v>
      </c>
    </row>
    <row r="100" spans="1:12" x14ac:dyDescent="0.3">
      <c r="A100" s="2">
        <v>45146</v>
      </c>
      <c r="B100">
        <v>951.35211181640625</v>
      </c>
      <c r="C100">
        <f t="shared" si="5"/>
        <v>-3.0433144951421873E-3</v>
      </c>
      <c r="K100">
        <f t="shared" si="3"/>
        <v>1403</v>
      </c>
      <c r="L100" s="5">
        <f t="shared" si="4"/>
        <v>-0.32191581481368048</v>
      </c>
    </row>
    <row r="101" spans="1:12" x14ac:dyDescent="0.3">
      <c r="A101" s="2">
        <v>45147</v>
      </c>
      <c r="B101">
        <v>948.45684814453125</v>
      </c>
      <c r="C101">
        <f t="shared" si="5"/>
        <v>-1.0789524539276221E-2</v>
      </c>
      <c r="K101">
        <f t="shared" si="3"/>
        <v>1403</v>
      </c>
      <c r="L101" s="5">
        <f t="shared" si="4"/>
        <v>-0.32397943824338471</v>
      </c>
    </row>
    <row r="102" spans="1:12" x14ac:dyDescent="0.3">
      <c r="A102" s="2">
        <v>45148</v>
      </c>
      <c r="B102">
        <v>938.22344970703125</v>
      </c>
      <c r="C102">
        <f t="shared" si="5"/>
        <v>-2.713465969262131E-3</v>
      </c>
      <c r="K102">
        <f t="shared" si="3"/>
        <v>1403</v>
      </c>
      <c r="L102" s="5">
        <f t="shared" si="4"/>
        <v>-0.33127337868351303</v>
      </c>
    </row>
    <row r="103" spans="1:12" x14ac:dyDescent="0.3">
      <c r="A103" s="2">
        <v>45149</v>
      </c>
      <c r="B103">
        <v>935.6776123046875</v>
      </c>
      <c r="C103">
        <f t="shared" si="5"/>
        <v>2.9342846269786674E-3</v>
      </c>
      <c r="K103">
        <f t="shared" si="3"/>
        <v>1403</v>
      </c>
      <c r="L103" s="5">
        <f t="shared" si="4"/>
        <v>-0.33308794561319499</v>
      </c>
    </row>
    <row r="104" spans="1:12" x14ac:dyDescent="0.3">
      <c r="A104" s="2">
        <v>45152</v>
      </c>
      <c r="B104">
        <v>938.42315673828125</v>
      </c>
      <c r="C104">
        <f t="shared" si="5"/>
        <v>-7.3408834074519718E-3</v>
      </c>
      <c r="K104">
        <f t="shared" si="3"/>
        <v>1403</v>
      </c>
      <c r="L104" s="5">
        <f t="shared" si="4"/>
        <v>-0.33113103582446102</v>
      </c>
    </row>
    <row r="105" spans="1:12" x14ac:dyDescent="0.3">
      <c r="A105" s="2">
        <v>45154</v>
      </c>
      <c r="B105">
        <v>931.5343017578125</v>
      </c>
      <c r="C105">
        <f t="shared" si="5"/>
        <v>3.7512142698675386E-3</v>
      </c>
      <c r="K105">
        <f t="shared" si="3"/>
        <v>1403</v>
      </c>
      <c r="L105" s="5">
        <f t="shared" si="4"/>
        <v>-0.33604112490533677</v>
      </c>
    </row>
    <row r="106" spans="1:12" x14ac:dyDescent="0.3">
      <c r="A106" s="2">
        <v>45155</v>
      </c>
      <c r="B106">
        <v>935.0286865234375</v>
      </c>
      <c r="C106">
        <f t="shared" si="5"/>
        <v>6.9403655861055612E-3</v>
      </c>
      <c r="K106">
        <f t="shared" si="3"/>
        <v>1403</v>
      </c>
      <c r="L106" s="5">
        <f t="shared" si="4"/>
        <v>-0.3335504728984765</v>
      </c>
    </row>
    <row r="107" spans="1:12" x14ac:dyDescent="0.3">
      <c r="A107" s="2">
        <v>45156</v>
      </c>
      <c r="B107">
        <v>941.51812744140625</v>
      </c>
      <c r="C107">
        <f t="shared" si="5"/>
        <v>1.0126649238326384E-2</v>
      </c>
      <c r="K107">
        <f t="shared" si="3"/>
        <v>1403</v>
      </c>
      <c r="L107" s="5">
        <f t="shared" si="4"/>
        <v>-0.32892506953570477</v>
      </c>
    </row>
    <row r="108" spans="1:12" x14ac:dyDescent="0.3">
      <c r="A108" s="2">
        <v>45159</v>
      </c>
      <c r="B108">
        <v>951.05255126953125</v>
      </c>
      <c r="C108">
        <f t="shared" si="5"/>
        <v>4.6714664217694145E-3</v>
      </c>
      <c r="K108">
        <f t="shared" si="3"/>
        <v>1403</v>
      </c>
      <c r="L108" s="5">
        <f t="shared" si="4"/>
        <v>-0.32212932910225855</v>
      </c>
    </row>
    <row r="109" spans="1:12" x14ac:dyDescent="0.3">
      <c r="A109" s="2">
        <v>45160</v>
      </c>
      <c r="B109">
        <v>955.495361328125</v>
      </c>
      <c r="C109">
        <f t="shared" si="5"/>
        <v>2.3196282605579516E-2</v>
      </c>
      <c r="K109">
        <f t="shared" si="3"/>
        <v>1403</v>
      </c>
      <c r="L109" s="5">
        <f t="shared" si="4"/>
        <v>-0.31896267902485742</v>
      </c>
    </row>
    <row r="110" spans="1:12" x14ac:dyDescent="0.3">
      <c r="A110" s="2">
        <v>45161</v>
      </c>
      <c r="B110">
        <v>977.6593017578125</v>
      </c>
      <c r="C110">
        <f t="shared" si="5"/>
        <v>2.1444664960666051E-3</v>
      </c>
      <c r="K110">
        <f t="shared" si="3"/>
        <v>1403</v>
      </c>
      <c r="L110" s="5">
        <f t="shared" si="4"/>
        <v>-0.30316514486257129</v>
      </c>
    </row>
    <row r="111" spans="1:12" x14ac:dyDescent="0.3">
      <c r="A111" s="2">
        <v>45162</v>
      </c>
      <c r="B111">
        <v>979.755859375</v>
      </c>
      <c r="C111">
        <f t="shared" si="5"/>
        <v>1.7832936298304543E-3</v>
      </c>
      <c r="K111">
        <f t="shared" si="3"/>
        <v>1403</v>
      </c>
      <c r="L111" s="5">
        <f t="shared" si="4"/>
        <v>-0.30167080586243766</v>
      </c>
    </row>
    <row r="112" spans="1:12" x14ac:dyDescent="0.3">
      <c r="A112" s="2">
        <v>45163</v>
      </c>
      <c r="B112">
        <v>981.5030517578125</v>
      </c>
      <c r="C112">
        <f t="shared" si="5"/>
        <v>7.2220875562917751E-3</v>
      </c>
      <c r="K112">
        <f t="shared" si="3"/>
        <v>1403</v>
      </c>
      <c r="L112" s="5">
        <f t="shared" si="4"/>
        <v>-0.30042547985900747</v>
      </c>
    </row>
    <row r="113" spans="1:12" x14ac:dyDescent="0.3">
      <c r="A113" s="2">
        <v>45166</v>
      </c>
      <c r="B113">
        <v>988.591552734375</v>
      </c>
      <c r="C113">
        <f t="shared" si="5"/>
        <v>-9.5940726120825204E-3</v>
      </c>
      <c r="K113">
        <f t="shared" si="3"/>
        <v>1403</v>
      </c>
      <c r="L113" s="5">
        <f t="shared" si="4"/>
        <v>-0.29537309142239843</v>
      </c>
    </row>
    <row r="114" spans="1:12" x14ac:dyDescent="0.3">
      <c r="A114" s="2">
        <v>45167</v>
      </c>
      <c r="B114">
        <v>979.10693359375</v>
      </c>
      <c r="C114">
        <f t="shared" si="5"/>
        <v>2.7021470558459934E-3</v>
      </c>
      <c r="K114">
        <f t="shared" si="3"/>
        <v>1403</v>
      </c>
      <c r="L114" s="5">
        <f t="shared" si="4"/>
        <v>-0.30213333314771917</v>
      </c>
    </row>
    <row r="115" spans="1:12" x14ac:dyDescent="0.3">
      <c r="A115" s="2">
        <v>45168</v>
      </c>
      <c r="B115">
        <v>981.75262451171875</v>
      </c>
      <c r="C115">
        <f t="shared" si="5"/>
        <v>-1.0016764029422379E-2</v>
      </c>
      <c r="K115">
        <f t="shared" si="3"/>
        <v>1403</v>
      </c>
      <c r="L115" s="5">
        <f t="shared" si="4"/>
        <v>-0.30024759478851126</v>
      </c>
    </row>
    <row r="116" spans="1:12" x14ac:dyDescent="0.3">
      <c r="A116" s="2">
        <v>45169</v>
      </c>
      <c r="B116">
        <v>971.91864013671875</v>
      </c>
      <c r="C116">
        <f t="shared" si="5"/>
        <v>1.8130466031751613E-2</v>
      </c>
      <c r="K116">
        <f t="shared" si="3"/>
        <v>1403</v>
      </c>
      <c r="L116" s="5">
        <f t="shared" si="4"/>
        <v>-0.30725684951053545</v>
      </c>
    </row>
    <row r="117" spans="1:12" x14ac:dyDescent="0.3">
      <c r="A117" s="2">
        <v>45170</v>
      </c>
      <c r="B117">
        <v>989.53997802734375</v>
      </c>
      <c r="C117">
        <f t="shared" si="5"/>
        <v>-8.9794230088493399E-3</v>
      </c>
      <c r="K117">
        <f t="shared" si="3"/>
        <v>1403</v>
      </c>
      <c r="L117" s="5">
        <f t="shared" si="4"/>
        <v>-0.29469709335185768</v>
      </c>
    </row>
    <row r="118" spans="1:12" x14ac:dyDescent="0.3">
      <c r="A118" s="2">
        <v>45173</v>
      </c>
      <c r="B118">
        <v>980.65447998046875</v>
      </c>
      <c r="C118">
        <f t="shared" si="5"/>
        <v>-8.144622504589052E-4</v>
      </c>
      <c r="K118">
        <f t="shared" si="3"/>
        <v>1403</v>
      </c>
      <c r="L118" s="5">
        <f t="shared" si="4"/>
        <v>-0.30103030650002227</v>
      </c>
    </row>
    <row r="119" spans="1:12" x14ac:dyDescent="0.3">
      <c r="A119" s="2">
        <v>45174</v>
      </c>
      <c r="B119">
        <v>979.85577392578125</v>
      </c>
      <c r="C119">
        <f t="shared" si="5"/>
        <v>-1.6710023578610556E-2</v>
      </c>
      <c r="K119">
        <f t="shared" si="3"/>
        <v>1403</v>
      </c>
      <c r="L119" s="5">
        <f t="shared" si="4"/>
        <v>-0.30159959092959288</v>
      </c>
    </row>
    <row r="120" spans="1:12" x14ac:dyDescent="0.3">
      <c r="A120" s="2">
        <v>45175</v>
      </c>
      <c r="B120">
        <v>963.48236083984375</v>
      </c>
      <c r="C120">
        <f t="shared" si="5"/>
        <v>1.3626260991359582E-2</v>
      </c>
      <c r="K120">
        <f t="shared" si="3"/>
        <v>1403</v>
      </c>
      <c r="L120" s="5">
        <f t="shared" si="4"/>
        <v>-0.31326987823247054</v>
      </c>
    </row>
    <row r="121" spans="1:12" x14ac:dyDescent="0.3">
      <c r="A121" s="2">
        <v>45176</v>
      </c>
      <c r="B121">
        <v>976.61102294921875</v>
      </c>
      <c r="C121">
        <f t="shared" si="5"/>
        <v>2.1467683324484814E-3</v>
      </c>
      <c r="K121">
        <f t="shared" si="3"/>
        <v>1403</v>
      </c>
      <c r="L121" s="5">
        <f t="shared" si="4"/>
        <v>-0.3039123143626381</v>
      </c>
    </row>
    <row r="122" spans="1:12" x14ac:dyDescent="0.3">
      <c r="A122" s="2">
        <v>45177</v>
      </c>
      <c r="B122">
        <v>978.70758056640625</v>
      </c>
      <c r="C122">
        <f t="shared" si="5"/>
        <v>2.0503961766482313E-2</v>
      </c>
      <c r="K122">
        <f t="shared" si="3"/>
        <v>1403</v>
      </c>
      <c r="L122" s="5">
        <f t="shared" si="4"/>
        <v>-0.30241797536250448</v>
      </c>
    </row>
    <row r="123" spans="1:12" x14ac:dyDescent="0.3">
      <c r="A123" s="2">
        <v>45180</v>
      </c>
      <c r="B123">
        <v>998.77496337890625</v>
      </c>
      <c r="C123">
        <f t="shared" si="5"/>
        <v>4.9981883935086742E-4</v>
      </c>
      <c r="K123">
        <f t="shared" si="3"/>
        <v>1403</v>
      </c>
      <c r="L123" s="5">
        <f t="shared" si="4"/>
        <v>-0.28811478020035197</v>
      </c>
    </row>
    <row r="124" spans="1:12" x14ac:dyDescent="0.3">
      <c r="A124" s="2">
        <v>45181</v>
      </c>
      <c r="B124">
        <v>999.274169921875</v>
      </c>
      <c r="C124">
        <f t="shared" si="5"/>
        <v>1.3537841309134029E-2</v>
      </c>
      <c r="K124">
        <f t="shared" si="3"/>
        <v>1403</v>
      </c>
      <c r="L124" s="5">
        <f t="shared" si="4"/>
        <v>-0.28775896655604061</v>
      </c>
    </row>
    <row r="125" spans="1:12" x14ac:dyDescent="0.3">
      <c r="A125" s="2">
        <v>45182</v>
      </c>
      <c r="B125">
        <v>1012.802185058594</v>
      </c>
      <c r="C125">
        <f t="shared" si="5"/>
        <v>6.3580561140154489E-3</v>
      </c>
      <c r="K125">
        <f t="shared" si="3"/>
        <v>1403</v>
      </c>
      <c r="L125" s="5">
        <f t="shared" si="4"/>
        <v>-0.27811676047142264</v>
      </c>
    </row>
    <row r="126" spans="1:12" x14ac:dyDescent="0.3">
      <c r="A126" s="2">
        <v>45183</v>
      </c>
      <c r="B126">
        <v>1019.241638183594</v>
      </c>
      <c r="C126">
        <f t="shared" si="5"/>
        <v>6.1221294003827595E-3</v>
      </c>
      <c r="K126">
        <f t="shared" si="3"/>
        <v>1403</v>
      </c>
      <c r="L126" s="5">
        <f t="shared" si="4"/>
        <v>-0.27352698632673278</v>
      </c>
    </row>
    <row r="127" spans="1:12" x14ac:dyDescent="0.3">
      <c r="A127" s="2">
        <v>45184</v>
      </c>
      <c r="B127">
        <v>1025.481567382812</v>
      </c>
      <c r="C127">
        <f t="shared" si="5"/>
        <v>-2.3365784820270443E-3</v>
      </c>
      <c r="K127">
        <f t="shared" si="3"/>
        <v>1403</v>
      </c>
      <c r="L127" s="5">
        <f t="shared" si="4"/>
        <v>-0.26907942453113898</v>
      </c>
    </row>
    <row r="128" spans="1:12" x14ac:dyDescent="0.3">
      <c r="A128" s="2">
        <v>45187</v>
      </c>
      <c r="B128">
        <v>1023.08544921875</v>
      </c>
      <c r="C128">
        <f t="shared" si="5"/>
        <v>2.4883321027896195E-3</v>
      </c>
      <c r="K128">
        <f t="shared" si="3"/>
        <v>1403</v>
      </c>
      <c r="L128" s="5">
        <f t="shared" si="4"/>
        <v>-0.27078727781985035</v>
      </c>
    </row>
    <row r="129" spans="1:12" x14ac:dyDescent="0.3">
      <c r="A129" s="2">
        <v>45189</v>
      </c>
      <c r="B129">
        <v>1025.631225585938</v>
      </c>
      <c r="C129">
        <f t="shared" si="5"/>
        <v>-1.2508434032919397E-2</v>
      </c>
      <c r="K129">
        <f t="shared" si="3"/>
        <v>1403</v>
      </c>
      <c r="L129" s="5">
        <f t="shared" si="4"/>
        <v>-0.26897275439348689</v>
      </c>
    </row>
    <row r="130" spans="1:12" x14ac:dyDescent="0.3">
      <c r="A130" s="2">
        <v>45190</v>
      </c>
      <c r="B130">
        <v>1012.802185058594</v>
      </c>
      <c r="C130">
        <f t="shared" si="5"/>
        <v>3.7458076838682379E-3</v>
      </c>
      <c r="K130">
        <f t="shared" ref="K130:K193" si="6">MAX(B130:B869)</f>
        <v>1403</v>
      </c>
      <c r="L130" s="5">
        <f t="shared" ref="L130:L193" si="7">B130/K130-1</f>
        <v>-0.27811676047142264</v>
      </c>
    </row>
    <row r="131" spans="1:12" x14ac:dyDescent="0.3">
      <c r="A131" s="2">
        <v>45191</v>
      </c>
      <c r="B131">
        <v>1016.595947265625</v>
      </c>
      <c r="C131">
        <f t="shared" ref="C131:C194" si="8">(B132-B131)/B131</f>
        <v>6.8750379745155445E-4</v>
      </c>
      <c r="K131">
        <f t="shared" si="6"/>
        <v>1403</v>
      </c>
      <c r="L131" s="5">
        <f t="shared" si="7"/>
        <v>-0.2754127246859408</v>
      </c>
    </row>
    <row r="132" spans="1:12" x14ac:dyDescent="0.3">
      <c r="A132" s="2">
        <v>45194</v>
      </c>
      <c r="B132">
        <v>1017.294860839844</v>
      </c>
      <c r="C132">
        <f t="shared" si="8"/>
        <v>-4.7107643148503603E-3</v>
      </c>
      <c r="K132">
        <f t="shared" si="6"/>
        <v>1403</v>
      </c>
      <c r="L132" s="5">
        <f t="shared" si="7"/>
        <v>-0.27491456818257731</v>
      </c>
    </row>
    <row r="133" spans="1:12" x14ac:dyDescent="0.3">
      <c r="A133" s="2">
        <v>45195</v>
      </c>
      <c r="B133">
        <v>1012.502624511719</v>
      </c>
      <c r="C133">
        <f t="shared" si="8"/>
        <v>1.089569658354134E-2</v>
      </c>
      <c r="K133">
        <f t="shared" si="6"/>
        <v>1403</v>
      </c>
      <c r="L133" s="5">
        <f t="shared" si="7"/>
        <v>-0.27833027476000072</v>
      </c>
    </row>
    <row r="134" spans="1:12" x14ac:dyDescent="0.3">
      <c r="A134" s="2">
        <v>45196</v>
      </c>
      <c r="B134">
        <v>1023.534545898438</v>
      </c>
      <c r="C134">
        <f t="shared" si="8"/>
        <v>5.5599451149367703E-3</v>
      </c>
      <c r="K134">
        <f t="shared" si="6"/>
        <v>1403</v>
      </c>
      <c r="L134" s="5">
        <f t="shared" si="7"/>
        <v>-0.27046718040025808</v>
      </c>
    </row>
    <row r="135" spans="1:12" x14ac:dyDescent="0.3">
      <c r="A135" s="2">
        <v>45197</v>
      </c>
      <c r="B135">
        <v>1029.225341796875</v>
      </c>
      <c r="C135">
        <f t="shared" si="8"/>
        <v>5.6262211771363289E-3</v>
      </c>
      <c r="K135">
        <f t="shared" si="6"/>
        <v>1403</v>
      </c>
      <c r="L135" s="5">
        <f t="shared" si="7"/>
        <v>-0.26641101796373845</v>
      </c>
    </row>
    <row r="136" spans="1:12" x14ac:dyDescent="0.3">
      <c r="A136" s="2">
        <v>45198</v>
      </c>
      <c r="B136">
        <v>1035.015991210938</v>
      </c>
      <c r="C136">
        <f t="shared" si="8"/>
        <v>4.195969477467673E-3</v>
      </c>
      <c r="K136">
        <f t="shared" si="6"/>
        <v>1403</v>
      </c>
      <c r="L136" s="5">
        <f t="shared" si="7"/>
        <v>-0.26228368409769209</v>
      </c>
    </row>
    <row r="137" spans="1:12" x14ac:dyDescent="0.3">
      <c r="A137" s="2">
        <v>45202</v>
      </c>
      <c r="B137">
        <v>1039.35888671875</v>
      </c>
      <c r="C137">
        <f t="shared" si="8"/>
        <v>-4.3705871962273921E-2</v>
      </c>
      <c r="K137">
        <f t="shared" si="6"/>
        <v>1403</v>
      </c>
      <c r="L137" s="5">
        <f t="shared" si="7"/>
        <v>-0.25918824895313619</v>
      </c>
    </row>
    <row r="138" spans="1:12" x14ac:dyDescent="0.3">
      <c r="A138" s="2">
        <v>45203</v>
      </c>
      <c r="B138">
        <v>993.93280029296875</v>
      </c>
      <c r="C138">
        <f t="shared" si="8"/>
        <v>7.7344263090364683E-3</v>
      </c>
      <c r="K138">
        <f t="shared" si="6"/>
        <v>1403</v>
      </c>
      <c r="L138" s="5">
        <f t="shared" si="7"/>
        <v>-0.2915660724925383</v>
      </c>
    </row>
    <row r="139" spans="1:12" x14ac:dyDescent="0.3">
      <c r="A139" s="2">
        <v>45204</v>
      </c>
      <c r="B139">
        <v>1001.620300292969</v>
      </c>
      <c r="C139">
        <f t="shared" si="8"/>
        <v>-2.2925500289541667E-3</v>
      </c>
      <c r="K139">
        <f t="shared" si="6"/>
        <v>1403</v>
      </c>
      <c r="L139" s="5">
        <f t="shared" si="7"/>
        <v>-0.28608674248541055</v>
      </c>
    </row>
    <row r="140" spans="1:12" x14ac:dyDescent="0.3">
      <c r="A140" s="2">
        <v>45205</v>
      </c>
      <c r="B140">
        <v>999.32403564453125</v>
      </c>
      <c r="C140">
        <f t="shared" si="8"/>
        <v>-4.6954957651122202E-3</v>
      </c>
      <c r="K140">
        <f t="shared" si="6"/>
        <v>1403</v>
      </c>
      <c r="L140" s="5">
        <f t="shared" si="7"/>
        <v>-0.28772342434459641</v>
      </c>
    </row>
    <row r="141" spans="1:12" x14ac:dyDescent="0.3">
      <c r="A141" s="2">
        <v>45208</v>
      </c>
      <c r="B141">
        <v>994.6317138671875</v>
      </c>
      <c r="C141">
        <f t="shared" si="8"/>
        <v>1.6060153487539475E-2</v>
      </c>
      <c r="K141">
        <f t="shared" si="6"/>
        <v>1403</v>
      </c>
      <c r="L141" s="5">
        <f t="shared" si="7"/>
        <v>-0.29106791598917503</v>
      </c>
    </row>
    <row r="142" spans="1:12" x14ac:dyDescent="0.3">
      <c r="A142" s="2">
        <v>45209</v>
      </c>
      <c r="B142">
        <v>1010.605651855469</v>
      </c>
      <c r="C142">
        <f t="shared" si="8"/>
        <v>6.7671580997986413E-3</v>
      </c>
      <c r="K142">
        <f t="shared" si="6"/>
        <v>1403</v>
      </c>
      <c r="L142" s="5">
        <f t="shared" si="7"/>
        <v>-0.27968235790771989</v>
      </c>
    </row>
    <row r="143" spans="1:12" x14ac:dyDescent="0.3">
      <c r="A143" s="2">
        <v>45210</v>
      </c>
      <c r="B143">
        <v>1017.444580078125</v>
      </c>
      <c r="C143">
        <f t="shared" si="8"/>
        <v>-6.3779963445298601E-4</v>
      </c>
      <c r="K143">
        <f t="shared" si="6"/>
        <v>1403</v>
      </c>
      <c r="L143" s="5">
        <f t="shared" si="7"/>
        <v>-0.27480785454160728</v>
      </c>
    </row>
    <row r="144" spans="1:12" x14ac:dyDescent="0.3">
      <c r="A144" s="2">
        <v>45211</v>
      </c>
      <c r="B144">
        <v>1016.795654296875</v>
      </c>
      <c r="C144">
        <f t="shared" si="8"/>
        <v>-2.3958021943457E-2</v>
      </c>
      <c r="K144">
        <f t="shared" si="6"/>
        <v>1403</v>
      </c>
      <c r="L144" s="5">
        <f t="shared" si="7"/>
        <v>-0.27527038182688879</v>
      </c>
    </row>
    <row r="145" spans="1:12" x14ac:dyDescent="0.3">
      <c r="A145" s="2">
        <v>45212</v>
      </c>
      <c r="B145">
        <v>992.43524169921875</v>
      </c>
      <c r="C145">
        <f t="shared" si="8"/>
        <v>1.0814351903642924E-2</v>
      </c>
      <c r="K145">
        <f t="shared" si="6"/>
        <v>1403</v>
      </c>
      <c r="L145" s="5">
        <f t="shared" si="7"/>
        <v>-0.29263346992215344</v>
      </c>
    </row>
    <row r="146" spans="1:12" x14ac:dyDescent="0.3">
      <c r="A146" s="2">
        <v>45215</v>
      </c>
      <c r="B146">
        <v>1003.167785644531</v>
      </c>
      <c r="C146">
        <f t="shared" si="8"/>
        <v>3.2345047588207949E-3</v>
      </c>
      <c r="K146">
        <f t="shared" si="6"/>
        <v>1403</v>
      </c>
      <c r="L146" s="5">
        <f t="shared" si="7"/>
        <v>-0.28498375934103282</v>
      </c>
    </row>
    <row r="147" spans="1:12" x14ac:dyDescent="0.3">
      <c r="A147" s="2">
        <v>45216</v>
      </c>
      <c r="B147">
        <v>1006.412536621094</v>
      </c>
      <c r="C147">
        <f t="shared" si="8"/>
        <v>-1.5078600888358766E-2</v>
      </c>
      <c r="K147">
        <f t="shared" si="6"/>
        <v>1403</v>
      </c>
      <c r="L147" s="5">
        <f t="shared" si="7"/>
        <v>-0.28267103590798714</v>
      </c>
    </row>
    <row r="148" spans="1:12" x14ac:dyDescent="0.3">
      <c r="A148" s="2">
        <v>45217</v>
      </c>
      <c r="B148">
        <v>991.23724365234375</v>
      </c>
      <c r="C148">
        <f t="shared" si="8"/>
        <v>-1.4604292213673392E-3</v>
      </c>
      <c r="K148">
        <f t="shared" si="6"/>
        <v>1403</v>
      </c>
      <c r="L148" s="5">
        <f t="shared" si="7"/>
        <v>-0.29348735306319051</v>
      </c>
    </row>
    <row r="149" spans="1:12" x14ac:dyDescent="0.3">
      <c r="A149" s="2">
        <v>45218</v>
      </c>
      <c r="B149">
        <v>989.78961181640625</v>
      </c>
      <c r="C149">
        <f t="shared" si="8"/>
        <v>-1.1145908545091721E-2</v>
      </c>
      <c r="K149">
        <f t="shared" si="6"/>
        <v>1403</v>
      </c>
      <c r="L149" s="5">
        <f t="shared" si="7"/>
        <v>-0.29451916477804263</v>
      </c>
    </row>
    <row r="150" spans="1:12" x14ac:dyDescent="0.3">
      <c r="A150" s="2">
        <v>45219</v>
      </c>
      <c r="B150">
        <v>978.75750732421875</v>
      </c>
      <c r="C150">
        <f t="shared" si="8"/>
        <v>-1.6371701531114783E-2</v>
      </c>
      <c r="K150">
        <f t="shared" si="6"/>
        <v>1403</v>
      </c>
      <c r="L150" s="5">
        <f t="shared" si="7"/>
        <v>-0.30238238964774145</v>
      </c>
    </row>
    <row r="151" spans="1:12" x14ac:dyDescent="0.3">
      <c r="A151" s="2">
        <v>45222</v>
      </c>
      <c r="B151">
        <v>962.73358154296875</v>
      </c>
      <c r="C151">
        <f t="shared" si="8"/>
        <v>-9.1776504877475271E-3</v>
      </c>
      <c r="K151">
        <f t="shared" si="6"/>
        <v>1403</v>
      </c>
      <c r="L151" s="5">
        <f t="shared" si="7"/>
        <v>-0.31380357694727812</v>
      </c>
    </row>
    <row r="152" spans="1:12" x14ac:dyDescent="0.3">
      <c r="A152" s="2">
        <v>45224</v>
      </c>
      <c r="B152">
        <v>953.89794921875</v>
      </c>
      <c r="C152">
        <f t="shared" si="8"/>
        <v>1.7373973872622767E-2</v>
      </c>
      <c r="K152">
        <f t="shared" si="6"/>
        <v>1403</v>
      </c>
      <c r="L152" s="5">
        <f t="shared" si="7"/>
        <v>-0.32010124788399863</v>
      </c>
    </row>
    <row r="153" spans="1:12" x14ac:dyDescent="0.3">
      <c r="A153" s="2">
        <v>45225</v>
      </c>
      <c r="B153">
        <v>970.470947265625</v>
      </c>
      <c r="C153">
        <f t="shared" si="8"/>
        <v>3.1582755332072637E-2</v>
      </c>
      <c r="K153">
        <f t="shared" si="6"/>
        <v>1403</v>
      </c>
      <c r="L153" s="5">
        <f t="shared" si="7"/>
        <v>-0.3082887047287064</v>
      </c>
    </row>
    <row r="154" spans="1:12" x14ac:dyDescent="0.3">
      <c r="A154" s="2">
        <v>45226</v>
      </c>
      <c r="B154">
        <v>1001.12109375</v>
      </c>
      <c r="C154">
        <f t="shared" si="8"/>
        <v>-1.3512744013547313E-2</v>
      </c>
      <c r="K154">
        <f t="shared" si="6"/>
        <v>1403</v>
      </c>
      <c r="L154" s="5">
        <f t="shared" si="7"/>
        <v>-0.28644255612972203</v>
      </c>
    </row>
    <row r="155" spans="1:12" x14ac:dyDescent="0.3">
      <c r="A155" s="2">
        <v>45229</v>
      </c>
      <c r="B155">
        <v>987.59320068359375</v>
      </c>
      <c r="C155">
        <f t="shared" si="8"/>
        <v>-7.4303212704843235E-3</v>
      </c>
      <c r="K155">
        <f t="shared" si="6"/>
        <v>1403</v>
      </c>
      <c r="L155" s="5">
        <f t="shared" si="7"/>
        <v>-0.29608467520770221</v>
      </c>
    </row>
    <row r="156" spans="1:12" x14ac:dyDescent="0.3">
      <c r="A156" s="2">
        <v>45230</v>
      </c>
      <c r="B156">
        <v>980.25506591796875</v>
      </c>
      <c r="C156">
        <f t="shared" si="8"/>
        <v>-1.0235734269526744E-2</v>
      </c>
      <c r="K156">
        <f t="shared" si="6"/>
        <v>1403</v>
      </c>
      <c r="L156" s="5">
        <f t="shared" si="7"/>
        <v>-0.3013149922181263</v>
      </c>
    </row>
    <row r="157" spans="1:12" x14ac:dyDescent="0.3">
      <c r="A157" s="2">
        <v>45231</v>
      </c>
      <c r="B157">
        <v>970.221435546875</v>
      </c>
      <c r="C157">
        <f t="shared" si="8"/>
        <v>1.1473563214341523E-2</v>
      </c>
      <c r="K157">
        <f t="shared" si="6"/>
        <v>1403</v>
      </c>
      <c r="L157" s="5">
        <f t="shared" si="7"/>
        <v>-0.30846654629588377</v>
      </c>
    </row>
    <row r="158" spans="1:12" x14ac:dyDescent="0.3">
      <c r="A158" s="2">
        <v>45232</v>
      </c>
      <c r="B158">
        <v>981.35333251953125</v>
      </c>
      <c r="C158">
        <f t="shared" si="8"/>
        <v>6.0022416279933702E-3</v>
      </c>
      <c r="K158">
        <f t="shared" si="6"/>
        <v>1403</v>
      </c>
      <c r="L158" s="5">
        <f t="shared" si="7"/>
        <v>-0.30053219349997773</v>
      </c>
    </row>
    <row r="159" spans="1:12" x14ac:dyDescent="0.3">
      <c r="A159" s="2">
        <v>45233</v>
      </c>
      <c r="B159">
        <v>987.24365234375</v>
      </c>
      <c r="C159">
        <f t="shared" si="8"/>
        <v>2.078176197836144E-2</v>
      </c>
      <c r="K159">
        <f t="shared" si="6"/>
        <v>1403</v>
      </c>
      <c r="L159" s="5">
        <f t="shared" si="7"/>
        <v>-0.29633381871436204</v>
      </c>
    </row>
    <row r="160" spans="1:12" x14ac:dyDescent="0.3">
      <c r="A160" s="2">
        <v>45236</v>
      </c>
      <c r="B160">
        <v>1007.760314941406</v>
      </c>
      <c r="C160">
        <f t="shared" si="8"/>
        <v>1.1392910667310322E-2</v>
      </c>
      <c r="K160">
        <f t="shared" si="6"/>
        <v>1403</v>
      </c>
      <c r="L160" s="5">
        <f t="shared" si="7"/>
        <v>-0.28171039562266142</v>
      </c>
    </row>
    <row r="161" spans="1:12" x14ac:dyDescent="0.3">
      <c r="A161" s="2">
        <v>45237</v>
      </c>
      <c r="B161">
        <v>1019.241638183594</v>
      </c>
      <c r="C161">
        <f t="shared" si="8"/>
        <v>7.8362777261575724E-4</v>
      </c>
      <c r="K161">
        <f t="shared" si="6"/>
        <v>1403</v>
      </c>
      <c r="L161" s="5">
        <f t="shared" si="7"/>
        <v>-0.27352698632673278</v>
      </c>
    </row>
    <row r="162" spans="1:12" x14ac:dyDescent="0.3">
      <c r="A162" s="2">
        <v>45238</v>
      </c>
      <c r="B162">
        <v>1020.040344238281</v>
      </c>
      <c r="C162">
        <f t="shared" si="8"/>
        <v>1.9578346325030112E-4</v>
      </c>
      <c r="K162">
        <f t="shared" si="6"/>
        <v>1403</v>
      </c>
      <c r="L162" s="5">
        <f t="shared" si="7"/>
        <v>-0.27295770189716251</v>
      </c>
    </row>
    <row r="163" spans="1:12" x14ac:dyDescent="0.3">
      <c r="A163" s="2">
        <v>45239</v>
      </c>
      <c r="B163">
        <v>1020.240051269531</v>
      </c>
      <c r="C163">
        <f t="shared" si="8"/>
        <v>7.143441284504717E-3</v>
      </c>
      <c r="K163">
        <f t="shared" si="6"/>
        <v>1403</v>
      </c>
      <c r="L163" s="5">
        <f t="shared" si="7"/>
        <v>-0.27281535903811049</v>
      </c>
    </row>
    <row r="164" spans="1:12" x14ac:dyDescent="0.3">
      <c r="A164" s="2">
        <v>45240</v>
      </c>
      <c r="B164">
        <v>1027.528076171875</v>
      </c>
      <c r="C164">
        <f t="shared" si="8"/>
        <v>-3.7407736967345448E-3</v>
      </c>
      <c r="K164">
        <f t="shared" si="6"/>
        <v>1403</v>
      </c>
      <c r="L164" s="5">
        <f t="shared" si="7"/>
        <v>-0.26762075825240561</v>
      </c>
    </row>
    <row r="165" spans="1:12" x14ac:dyDescent="0.3">
      <c r="A165" s="2">
        <v>45243</v>
      </c>
      <c r="B165">
        <v>1023.684326171875</v>
      </c>
      <c r="C165">
        <f t="shared" si="8"/>
        <v>1.5604418877030882E-2</v>
      </c>
      <c r="K165">
        <f t="shared" si="6"/>
        <v>1403</v>
      </c>
      <c r="L165" s="5">
        <f t="shared" si="7"/>
        <v>-0.27036042325596932</v>
      </c>
    </row>
    <row r="166" spans="1:12" x14ac:dyDescent="0.3">
      <c r="A166" s="2">
        <v>45245</v>
      </c>
      <c r="B166">
        <v>1039.658325195312</v>
      </c>
      <c r="C166">
        <f t="shared" si="8"/>
        <v>-1.4404334168811336E-2</v>
      </c>
      <c r="K166">
        <f t="shared" si="6"/>
        <v>1403</v>
      </c>
      <c r="L166" s="5">
        <f t="shared" si="7"/>
        <v>-0.25897482167119601</v>
      </c>
    </row>
    <row r="167" spans="1:12" x14ac:dyDescent="0.3">
      <c r="A167" s="2">
        <v>45246</v>
      </c>
      <c r="B167">
        <v>1024.682739257812</v>
      </c>
      <c r="C167">
        <f t="shared" si="8"/>
        <v>-3.1178369448145976E-2</v>
      </c>
      <c r="K167">
        <f t="shared" si="6"/>
        <v>1403</v>
      </c>
      <c r="L167" s="5">
        <f t="shared" si="7"/>
        <v>-0.26964879596734703</v>
      </c>
    </row>
    <row r="168" spans="1:12" x14ac:dyDescent="0.3">
      <c r="A168" s="2">
        <v>45247</v>
      </c>
      <c r="B168">
        <v>992.73480224609375</v>
      </c>
      <c r="C168">
        <f t="shared" si="8"/>
        <v>-5.6820896101418463E-3</v>
      </c>
      <c r="K168">
        <f t="shared" si="6"/>
        <v>1403</v>
      </c>
      <c r="L168" s="5">
        <f t="shared" si="7"/>
        <v>-0.29241995563357537</v>
      </c>
    </row>
    <row r="169" spans="1:12" x14ac:dyDescent="0.3">
      <c r="A169" s="2">
        <v>45250</v>
      </c>
      <c r="B169">
        <v>987.093994140625</v>
      </c>
      <c r="C169">
        <f t="shared" si="8"/>
        <v>3.1353748339470072E-3</v>
      </c>
      <c r="K169">
        <f t="shared" si="6"/>
        <v>1403</v>
      </c>
      <c r="L169" s="5">
        <f t="shared" si="7"/>
        <v>-0.29644048885201357</v>
      </c>
    </row>
    <row r="170" spans="1:12" x14ac:dyDescent="0.3">
      <c r="A170" s="2">
        <v>45251</v>
      </c>
      <c r="B170">
        <v>990.18890380859375</v>
      </c>
      <c r="C170">
        <f t="shared" si="8"/>
        <v>6.3520545044752118E-3</v>
      </c>
      <c r="K170">
        <f t="shared" si="6"/>
        <v>1403</v>
      </c>
      <c r="L170" s="5">
        <f t="shared" si="7"/>
        <v>-0.29423456606657605</v>
      </c>
    </row>
    <row r="171" spans="1:12" x14ac:dyDescent="0.3">
      <c r="A171" s="2">
        <v>45252</v>
      </c>
      <c r="B171">
        <v>996.4786376953125</v>
      </c>
      <c r="C171">
        <f t="shared" si="8"/>
        <v>9.518380949125908E-4</v>
      </c>
      <c r="K171">
        <f t="shared" si="6"/>
        <v>1403</v>
      </c>
      <c r="L171" s="5">
        <f t="shared" si="7"/>
        <v>-0.28975150556285634</v>
      </c>
    </row>
    <row r="172" spans="1:12" x14ac:dyDescent="0.3">
      <c r="A172" s="2">
        <v>45253</v>
      </c>
      <c r="B172">
        <v>997.4271240234375</v>
      </c>
      <c r="C172">
        <f t="shared" si="8"/>
        <v>9.4590292920395894E-3</v>
      </c>
      <c r="K172">
        <f t="shared" si="6"/>
        <v>1403</v>
      </c>
      <c r="L172" s="5">
        <f t="shared" si="7"/>
        <v>-0.28907546398899675</v>
      </c>
    </row>
    <row r="173" spans="1:12" x14ac:dyDescent="0.3">
      <c r="A173" s="2">
        <v>45254</v>
      </c>
      <c r="B173">
        <v>1006.86181640625</v>
      </c>
      <c r="C173">
        <f t="shared" si="8"/>
        <v>1.2543385160323006E-2</v>
      </c>
      <c r="K173">
        <f t="shared" si="6"/>
        <v>1403</v>
      </c>
      <c r="L173" s="5">
        <f t="shared" si="7"/>
        <v>-0.28235080797843903</v>
      </c>
    </row>
    <row r="174" spans="1:12" x14ac:dyDescent="0.3">
      <c r="A174" s="2">
        <v>45258</v>
      </c>
      <c r="B174">
        <v>1019.491271972656</v>
      </c>
      <c r="C174">
        <f t="shared" si="8"/>
        <v>3.81922902268979E-2</v>
      </c>
      <c r="K174">
        <f t="shared" si="6"/>
        <v>1403</v>
      </c>
      <c r="L174" s="5">
        <f t="shared" si="7"/>
        <v>-0.27334905775291807</v>
      </c>
    </row>
    <row r="175" spans="1:12" x14ac:dyDescent="0.3">
      <c r="A175" s="2">
        <v>45259</v>
      </c>
      <c r="B175">
        <v>1058.427978515625</v>
      </c>
      <c r="C175">
        <f t="shared" si="8"/>
        <v>1.3299937882338617E-2</v>
      </c>
      <c r="K175">
        <f t="shared" si="6"/>
        <v>1403</v>
      </c>
      <c r="L175" s="5">
        <f t="shared" si="7"/>
        <v>-0.24559659407296863</v>
      </c>
    </row>
    <row r="176" spans="1:12" x14ac:dyDescent="0.3">
      <c r="A176" s="2">
        <v>45260</v>
      </c>
      <c r="B176">
        <v>1072.505004882812</v>
      </c>
      <c r="C176">
        <f t="shared" si="8"/>
        <v>2.8298896387088882E-2</v>
      </c>
      <c r="K176">
        <f t="shared" si="6"/>
        <v>1403</v>
      </c>
      <c r="L176" s="5">
        <f t="shared" si="7"/>
        <v>-0.23556307563591439</v>
      </c>
    </row>
    <row r="177" spans="1:12" x14ac:dyDescent="0.3">
      <c r="A177" s="2">
        <v>45261</v>
      </c>
      <c r="B177">
        <v>1102.855712890625</v>
      </c>
      <c r="C177">
        <f t="shared" si="8"/>
        <v>1.896510236099154E-2</v>
      </c>
      <c r="K177">
        <f t="shared" si="6"/>
        <v>1403</v>
      </c>
      <c r="L177" s="5">
        <f t="shared" si="7"/>
        <v>-0.21393035431887031</v>
      </c>
    </row>
    <row r="178" spans="1:12" x14ac:dyDescent="0.3">
      <c r="A178" s="2">
        <v>45264</v>
      </c>
      <c r="B178">
        <v>1123.771484375</v>
      </c>
      <c r="C178">
        <f t="shared" si="8"/>
        <v>6.0856386574922967E-3</v>
      </c>
      <c r="K178">
        <f t="shared" si="6"/>
        <v>1403</v>
      </c>
      <c r="L178" s="5">
        <f t="shared" si="7"/>
        <v>-0.19902246302565929</v>
      </c>
    </row>
    <row r="179" spans="1:12" x14ac:dyDescent="0.3">
      <c r="A179" s="2">
        <v>45265</v>
      </c>
      <c r="B179">
        <v>1130.6103515625</v>
      </c>
      <c r="C179">
        <f t="shared" si="8"/>
        <v>-1.0552302104522555E-2</v>
      </c>
      <c r="K179">
        <f t="shared" si="6"/>
        <v>1403</v>
      </c>
      <c r="L179" s="5">
        <f t="shared" si="7"/>
        <v>-0.19414800316286529</v>
      </c>
    </row>
    <row r="180" spans="1:12" x14ac:dyDescent="0.3">
      <c r="A180" s="2">
        <v>45266</v>
      </c>
      <c r="B180">
        <v>1118.679809570312</v>
      </c>
      <c r="C180">
        <f t="shared" si="8"/>
        <v>-2.3649572113295216E-3</v>
      </c>
      <c r="K180">
        <f t="shared" si="6"/>
        <v>1403</v>
      </c>
      <c r="L180" s="5">
        <f t="shared" si="7"/>
        <v>-0.20265159688502354</v>
      </c>
    </row>
    <row r="181" spans="1:12" x14ac:dyDescent="0.3">
      <c r="A181" s="2">
        <v>45267</v>
      </c>
      <c r="B181">
        <v>1116.0341796875</v>
      </c>
      <c r="C181">
        <f t="shared" si="8"/>
        <v>1.1942507956202631E-2</v>
      </c>
      <c r="K181">
        <f t="shared" si="6"/>
        <v>1403</v>
      </c>
      <c r="L181" s="5">
        <f t="shared" si="7"/>
        <v>-0.20453729174091229</v>
      </c>
    </row>
    <row r="182" spans="1:12" x14ac:dyDescent="0.3">
      <c r="A182" s="2">
        <v>45268</v>
      </c>
      <c r="B182">
        <v>1129.362426757812</v>
      </c>
      <c r="C182">
        <f t="shared" si="8"/>
        <v>-1.2994965161676407E-2</v>
      </c>
      <c r="K182">
        <f t="shared" si="6"/>
        <v>1403</v>
      </c>
      <c r="L182" s="5">
        <f t="shared" si="7"/>
        <v>-0.19503747201866573</v>
      </c>
    </row>
    <row r="183" spans="1:12" x14ac:dyDescent="0.3">
      <c r="A183" s="2">
        <v>45271</v>
      </c>
      <c r="B183">
        <v>1114.686401367188</v>
      </c>
      <c r="C183">
        <f t="shared" si="8"/>
        <v>1.2987007298134583E-2</v>
      </c>
      <c r="K183">
        <f t="shared" si="6"/>
        <v>1403</v>
      </c>
      <c r="L183" s="5">
        <f t="shared" si="7"/>
        <v>-0.20549793202623812</v>
      </c>
    </row>
    <row r="184" spans="1:12" x14ac:dyDescent="0.3">
      <c r="A184" s="2">
        <v>45272</v>
      </c>
      <c r="B184">
        <v>1129.162841796875</v>
      </c>
      <c r="C184">
        <f t="shared" si="8"/>
        <v>-1.4279410108126375E-2</v>
      </c>
      <c r="K184">
        <f t="shared" si="6"/>
        <v>1403</v>
      </c>
      <c r="L184" s="5">
        <f t="shared" si="7"/>
        <v>-0.19517972787107984</v>
      </c>
    </row>
    <row r="185" spans="1:12" x14ac:dyDescent="0.3">
      <c r="A185" s="2">
        <v>45273</v>
      </c>
      <c r="B185">
        <v>1113.0390625</v>
      </c>
      <c r="C185">
        <f t="shared" si="8"/>
        <v>5.0230225522745302E-3</v>
      </c>
      <c r="K185">
        <f t="shared" si="6"/>
        <v>1403</v>
      </c>
      <c r="L185" s="5">
        <f t="shared" si="7"/>
        <v>-0.20667208660014258</v>
      </c>
    </row>
    <row r="186" spans="1:12" x14ac:dyDescent="0.3">
      <c r="A186" s="2">
        <v>45274</v>
      </c>
      <c r="B186">
        <v>1118.6298828125</v>
      </c>
      <c r="C186">
        <f t="shared" si="8"/>
        <v>-8.9264123155680998E-5</v>
      </c>
      <c r="K186">
        <f t="shared" si="6"/>
        <v>1403</v>
      </c>
      <c r="L186" s="5">
        <f t="shared" si="7"/>
        <v>-0.20268718259978613</v>
      </c>
    </row>
    <row r="187" spans="1:12" x14ac:dyDescent="0.3">
      <c r="A187" s="2">
        <v>45275</v>
      </c>
      <c r="B187">
        <v>1118.530029296875</v>
      </c>
      <c r="C187">
        <f t="shared" si="8"/>
        <v>-8.0331786605213704E-3</v>
      </c>
      <c r="K187">
        <f t="shared" si="6"/>
        <v>1403</v>
      </c>
      <c r="L187" s="5">
        <f t="shared" si="7"/>
        <v>-0.20275835402931219</v>
      </c>
    </row>
    <row r="188" spans="1:12" x14ac:dyDescent="0.3">
      <c r="A188" s="2">
        <v>45278</v>
      </c>
      <c r="B188">
        <v>1109.544677734375</v>
      </c>
      <c r="C188">
        <f t="shared" si="8"/>
        <v>8.0083481949829727E-3</v>
      </c>
      <c r="K188">
        <f t="shared" si="6"/>
        <v>1403</v>
      </c>
      <c r="L188" s="5">
        <f t="shared" si="7"/>
        <v>-0.20916273860700285</v>
      </c>
    </row>
    <row r="189" spans="1:12" x14ac:dyDescent="0.3">
      <c r="A189" s="2">
        <v>45279</v>
      </c>
      <c r="B189">
        <v>1118.430297851562</v>
      </c>
      <c r="C189">
        <f t="shared" si="8"/>
        <v>-8.9265863662807265E-3</v>
      </c>
      <c r="K189">
        <f t="shared" si="6"/>
        <v>1403</v>
      </c>
      <c r="L189" s="5">
        <f t="shared" si="7"/>
        <v>-0.20282943845220092</v>
      </c>
    </row>
    <row r="190" spans="1:12" x14ac:dyDescent="0.3">
      <c r="A190" s="2">
        <v>45280</v>
      </c>
      <c r="B190">
        <v>1108.446533203125</v>
      </c>
      <c r="C190">
        <f t="shared" si="8"/>
        <v>-1.3375410802659004E-2</v>
      </c>
      <c r="K190">
        <f t="shared" si="6"/>
        <v>1403</v>
      </c>
      <c r="L190" s="5">
        <f t="shared" si="7"/>
        <v>-0.20994545031851386</v>
      </c>
    </row>
    <row r="191" spans="1:12" x14ac:dyDescent="0.3">
      <c r="A191" s="2">
        <v>45281</v>
      </c>
      <c r="B191">
        <v>1093.62060546875</v>
      </c>
      <c r="C191">
        <f t="shared" si="8"/>
        <v>-6.4815703643511394E-3</v>
      </c>
      <c r="K191">
        <f t="shared" si="6"/>
        <v>1403</v>
      </c>
      <c r="L191" s="5">
        <f t="shared" si="7"/>
        <v>-0.22051275447701357</v>
      </c>
    </row>
    <row r="192" spans="1:12" x14ac:dyDescent="0.3">
      <c r="A192" s="2">
        <v>45282</v>
      </c>
      <c r="B192">
        <v>1086.5322265625</v>
      </c>
      <c r="C192">
        <f t="shared" si="8"/>
        <v>5.4671047960244794E-3</v>
      </c>
      <c r="K192">
        <f t="shared" si="6"/>
        <v>1403</v>
      </c>
      <c r="L192" s="5">
        <f t="shared" si="7"/>
        <v>-0.22556505590698506</v>
      </c>
    </row>
    <row r="193" spans="1:12" x14ac:dyDescent="0.3">
      <c r="A193" s="2">
        <v>45286</v>
      </c>
      <c r="B193">
        <v>1092.472412109375</v>
      </c>
      <c r="C193">
        <f t="shared" si="8"/>
        <v>1.1057894187562868E-2</v>
      </c>
      <c r="K193">
        <f t="shared" si="6"/>
        <v>1403</v>
      </c>
      <c r="L193" s="5">
        <f t="shared" si="7"/>
        <v>-0.22133113890992517</v>
      </c>
    </row>
    <row r="194" spans="1:12" x14ac:dyDescent="0.3">
      <c r="A194" s="2">
        <v>45287</v>
      </c>
      <c r="B194">
        <v>1104.552856445312</v>
      </c>
      <c r="C194">
        <f t="shared" si="8"/>
        <v>1.355694763451182E-3</v>
      </c>
      <c r="K194">
        <f t="shared" ref="K194:K257" si="9">MAX(B194:B933)</f>
        <v>1403</v>
      </c>
      <c r="L194" s="5">
        <f t="shared" ref="L194:L257" si="10">B194/K194-1</f>
        <v>-0.21272070103684104</v>
      </c>
    </row>
    <row r="195" spans="1:12" x14ac:dyDescent="0.3">
      <c r="A195" s="2">
        <v>45288</v>
      </c>
      <c r="B195">
        <v>1106.05029296875</v>
      </c>
      <c r="C195">
        <f t="shared" ref="C195:C258" si="11">(B196-B195)/B195</f>
        <v>-5.0096217051899513E-3</v>
      </c>
      <c r="K195">
        <f t="shared" si="9"/>
        <v>1403</v>
      </c>
      <c r="L195" s="5">
        <f t="shared" si="10"/>
        <v>-0.21165339061386312</v>
      </c>
    </row>
    <row r="196" spans="1:12" x14ac:dyDescent="0.3">
      <c r="A196" s="2">
        <v>45289</v>
      </c>
      <c r="B196">
        <v>1100.509399414062</v>
      </c>
      <c r="C196">
        <f t="shared" si="11"/>
        <v>-4.1732050354429361E-3</v>
      </c>
      <c r="K196">
        <f t="shared" si="9"/>
        <v>1403</v>
      </c>
      <c r="L196" s="5">
        <f t="shared" si="10"/>
        <v>-0.21560270889945687</v>
      </c>
    </row>
    <row r="197" spans="1:12" x14ac:dyDescent="0.3">
      <c r="A197" s="2">
        <v>45292</v>
      </c>
      <c r="B197">
        <v>1095.916748046875</v>
      </c>
      <c r="C197">
        <f t="shared" si="11"/>
        <v>-4.0537996714098742E-3</v>
      </c>
      <c r="K197">
        <f t="shared" si="9"/>
        <v>1403</v>
      </c>
      <c r="L197" s="5">
        <f t="shared" si="10"/>
        <v>-0.21887615962446538</v>
      </c>
    </row>
    <row r="198" spans="1:12" x14ac:dyDescent="0.3">
      <c r="A198" s="2">
        <v>45293</v>
      </c>
      <c r="B198">
        <v>1091.47412109375</v>
      </c>
      <c r="C198">
        <f t="shared" si="11"/>
        <v>4.8936648982548063E-3</v>
      </c>
      <c r="K198">
        <f t="shared" si="9"/>
        <v>1403</v>
      </c>
      <c r="L198" s="5">
        <f t="shared" si="10"/>
        <v>-0.22204267919191023</v>
      </c>
    </row>
    <row r="199" spans="1:12" x14ac:dyDescent="0.3">
      <c r="A199" s="2">
        <v>45294</v>
      </c>
      <c r="B199">
        <v>1096.8154296875</v>
      </c>
      <c r="C199">
        <f t="shared" si="11"/>
        <v>2.2574231684591134E-2</v>
      </c>
      <c r="K199">
        <f t="shared" si="9"/>
        <v>1403</v>
      </c>
      <c r="L199" s="5">
        <f t="shared" si="10"/>
        <v>-0.21823561675873127</v>
      </c>
    </row>
    <row r="200" spans="1:12" x14ac:dyDescent="0.3">
      <c r="A200" s="2">
        <v>45295</v>
      </c>
      <c r="B200">
        <v>1121.5751953125</v>
      </c>
      <c r="C200">
        <f t="shared" si="11"/>
        <v>1.2061457927910749E-2</v>
      </c>
      <c r="K200">
        <f t="shared" si="9"/>
        <v>1403</v>
      </c>
      <c r="L200" s="5">
        <f t="shared" si="10"/>
        <v>-0.20058788644868142</v>
      </c>
    </row>
    <row r="201" spans="1:12" x14ac:dyDescent="0.3">
      <c r="A201" s="2">
        <v>45296</v>
      </c>
      <c r="B201">
        <v>1135.10302734375</v>
      </c>
      <c r="C201">
        <f t="shared" si="11"/>
        <v>-1.3149059380364961E-2</v>
      </c>
      <c r="K201">
        <f t="shared" si="9"/>
        <v>1403</v>
      </c>
      <c r="L201" s="5">
        <f t="shared" si="10"/>
        <v>-0.19094581087401996</v>
      </c>
    </row>
    <row r="202" spans="1:12" x14ac:dyDescent="0.3">
      <c r="A202" s="2">
        <v>45299</v>
      </c>
      <c r="B202">
        <v>1120.177490234375</v>
      </c>
      <c r="C202">
        <f t="shared" si="11"/>
        <v>-4.8574106842983822E-3</v>
      </c>
      <c r="K202">
        <f t="shared" si="9"/>
        <v>1403</v>
      </c>
      <c r="L202" s="5">
        <f t="shared" si="10"/>
        <v>-0.2015841124487705</v>
      </c>
    </row>
    <row r="203" spans="1:12" x14ac:dyDescent="0.3">
      <c r="A203" s="2">
        <v>45300</v>
      </c>
      <c r="B203">
        <v>1114.736328125</v>
      </c>
      <c r="C203">
        <f t="shared" si="11"/>
        <v>-8.5531848724040207E-3</v>
      </c>
      <c r="K203">
        <f t="shared" si="9"/>
        <v>1403</v>
      </c>
      <c r="L203" s="5">
        <f t="shared" si="10"/>
        <v>-0.20546234631147542</v>
      </c>
    </row>
    <row r="204" spans="1:12" x14ac:dyDescent="0.3">
      <c r="A204" s="2">
        <v>45301</v>
      </c>
      <c r="B204">
        <v>1105.201782226562</v>
      </c>
      <c r="C204">
        <f t="shared" si="11"/>
        <v>1.6937615124147969E-2</v>
      </c>
      <c r="K204">
        <f t="shared" si="9"/>
        <v>1403</v>
      </c>
      <c r="L204" s="5">
        <f t="shared" si="10"/>
        <v>-0.21225817375155953</v>
      </c>
    </row>
    <row r="205" spans="1:12" x14ac:dyDescent="0.3">
      <c r="A205" s="2">
        <v>45302</v>
      </c>
      <c r="B205">
        <v>1123.921264648438</v>
      </c>
      <c r="C205">
        <f t="shared" si="11"/>
        <v>-4.7968087455390667E-3</v>
      </c>
      <c r="K205">
        <f t="shared" si="9"/>
        <v>1403</v>
      </c>
      <c r="L205" s="5">
        <f t="shared" si="10"/>
        <v>-0.19891570588136998</v>
      </c>
    </row>
    <row r="206" spans="1:12" x14ac:dyDescent="0.3">
      <c r="A206" s="2">
        <v>45303</v>
      </c>
      <c r="B206">
        <v>1118.530029296875</v>
      </c>
      <c r="C206">
        <f t="shared" si="11"/>
        <v>-7.5859451240699544E-4</v>
      </c>
      <c r="K206">
        <f t="shared" si="9"/>
        <v>1403</v>
      </c>
      <c r="L206" s="5">
        <f t="shared" si="10"/>
        <v>-0.20275835402931219</v>
      </c>
    </row>
    <row r="207" spans="1:12" x14ac:dyDescent="0.3">
      <c r="A207" s="2">
        <v>45306</v>
      </c>
      <c r="B207">
        <v>1117.681518554688</v>
      </c>
      <c r="C207">
        <f t="shared" si="11"/>
        <v>-3.5735945872711209E-4</v>
      </c>
      <c r="K207">
        <f t="shared" si="9"/>
        <v>1403</v>
      </c>
      <c r="L207" s="5">
        <f t="shared" si="10"/>
        <v>-0.20336313716700782</v>
      </c>
    </row>
    <row r="208" spans="1:12" x14ac:dyDescent="0.3">
      <c r="A208" s="2">
        <v>45307</v>
      </c>
      <c r="B208">
        <v>1117.282104492188</v>
      </c>
      <c r="C208">
        <f t="shared" si="11"/>
        <v>-3.288346976736603E-2</v>
      </c>
      <c r="K208">
        <f t="shared" si="9"/>
        <v>1403</v>
      </c>
      <c r="L208" s="5">
        <f t="shared" si="10"/>
        <v>-0.20364782288511196</v>
      </c>
    </row>
    <row r="209" spans="1:12" x14ac:dyDescent="0.3">
      <c r="A209" s="2">
        <v>45308</v>
      </c>
      <c r="B209">
        <v>1080.5419921875</v>
      </c>
      <c r="C209">
        <f t="shared" si="11"/>
        <v>1.404414921258953E-2</v>
      </c>
      <c r="K209">
        <f t="shared" si="9"/>
        <v>1403</v>
      </c>
      <c r="L209" s="5">
        <f t="shared" si="10"/>
        <v>-0.22983464562544542</v>
      </c>
    </row>
    <row r="210" spans="1:12" x14ac:dyDescent="0.3">
      <c r="A210" s="2">
        <v>45309</v>
      </c>
      <c r="B210">
        <v>1095.71728515625</v>
      </c>
      <c r="C210">
        <f t="shared" si="11"/>
        <v>1.7357618818651631E-2</v>
      </c>
      <c r="K210">
        <f t="shared" si="9"/>
        <v>1403</v>
      </c>
      <c r="L210" s="5">
        <f t="shared" si="10"/>
        <v>-0.21901832847024238</v>
      </c>
    </row>
    <row r="211" spans="1:12" x14ac:dyDescent="0.3">
      <c r="A211" s="2">
        <v>45310</v>
      </c>
      <c r="B211">
        <v>1114.736328125</v>
      </c>
      <c r="C211">
        <f t="shared" si="11"/>
        <v>-2.4450389403324134E-2</v>
      </c>
      <c r="K211">
        <f t="shared" si="9"/>
        <v>1403</v>
      </c>
      <c r="L211" s="5">
        <f t="shared" si="10"/>
        <v>-0.20546234631147542</v>
      </c>
    </row>
    <row r="212" spans="1:12" x14ac:dyDescent="0.3">
      <c r="A212" s="2">
        <v>45314</v>
      </c>
      <c r="B212">
        <v>1087.480590820312</v>
      </c>
      <c r="C212">
        <f t="shared" si="11"/>
        <v>-2.7633619987604469E-2</v>
      </c>
      <c r="K212">
        <f t="shared" si="9"/>
        <v>1403</v>
      </c>
      <c r="L212" s="5">
        <f t="shared" si="10"/>
        <v>-0.22488910133976336</v>
      </c>
    </row>
    <row r="213" spans="1:12" x14ac:dyDescent="0.3">
      <c r="A213" s="2">
        <v>45315</v>
      </c>
      <c r="B213">
        <v>1057.429565429688</v>
      </c>
      <c r="C213">
        <f t="shared" si="11"/>
        <v>-1.5956200909602723E-2</v>
      </c>
      <c r="K213">
        <f t="shared" si="9"/>
        <v>1403</v>
      </c>
      <c r="L213" s="5">
        <f t="shared" si="10"/>
        <v>-0.24630822136159092</v>
      </c>
    </row>
    <row r="214" spans="1:12" x14ac:dyDescent="0.3">
      <c r="A214" s="2">
        <v>45316</v>
      </c>
      <c r="B214">
        <v>1040.557006835938</v>
      </c>
      <c r="C214">
        <f t="shared" si="11"/>
        <v>1.8229771253587705E-2</v>
      </c>
      <c r="K214">
        <f t="shared" si="9"/>
        <v>1403</v>
      </c>
      <c r="L214" s="5">
        <f t="shared" si="10"/>
        <v>-0.25833427880546123</v>
      </c>
    </row>
    <row r="215" spans="1:12" x14ac:dyDescent="0.3">
      <c r="A215" s="2">
        <v>45320</v>
      </c>
      <c r="B215">
        <v>1059.526123046875</v>
      </c>
      <c r="C215">
        <f t="shared" si="11"/>
        <v>-6.737377756998621E-3</v>
      </c>
      <c r="K215">
        <f t="shared" si="9"/>
        <v>1403</v>
      </c>
      <c r="L215" s="5">
        <f t="shared" si="10"/>
        <v>-0.24481388236145762</v>
      </c>
    </row>
    <row r="216" spans="1:12" x14ac:dyDescent="0.3">
      <c r="A216" s="2">
        <v>45321</v>
      </c>
      <c r="B216">
        <v>1052.3876953125</v>
      </c>
      <c r="C216">
        <f t="shared" si="11"/>
        <v>1.2949533473453689E-2</v>
      </c>
      <c r="K216">
        <f t="shared" si="9"/>
        <v>1403</v>
      </c>
      <c r="L216" s="5">
        <f t="shared" si="10"/>
        <v>-0.2499018565128297</v>
      </c>
    </row>
    <row r="217" spans="1:12" x14ac:dyDescent="0.3">
      <c r="A217" s="2">
        <v>45322</v>
      </c>
      <c r="B217">
        <v>1066.015625</v>
      </c>
      <c r="C217">
        <f t="shared" si="11"/>
        <v>1.5452890252840294E-2</v>
      </c>
      <c r="K217">
        <f t="shared" si="9"/>
        <v>1403</v>
      </c>
      <c r="L217" s="5">
        <f t="shared" si="10"/>
        <v>-0.24018843549536706</v>
      </c>
    </row>
    <row r="218" spans="1:12" x14ac:dyDescent="0.3">
      <c r="A218" s="2">
        <v>45323</v>
      </c>
      <c r="B218">
        <v>1082.488647460938</v>
      </c>
      <c r="C218">
        <f t="shared" si="11"/>
        <v>-1.5863330336330066E-2</v>
      </c>
      <c r="K218">
        <f t="shared" si="9"/>
        <v>1403</v>
      </c>
      <c r="L218" s="5">
        <f t="shared" si="10"/>
        <v>-0.22844715077623812</v>
      </c>
    </row>
    <row r="219" spans="1:12" x14ac:dyDescent="0.3">
      <c r="A219" s="2">
        <v>45324</v>
      </c>
      <c r="B219">
        <v>1065.316772460938</v>
      </c>
      <c r="C219">
        <f t="shared" si="11"/>
        <v>-5.201399094198653E-3</v>
      </c>
      <c r="K219">
        <f t="shared" si="9"/>
        <v>1403</v>
      </c>
      <c r="L219" s="5">
        <f t="shared" si="10"/>
        <v>-0.24068654849541127</v>
      </c>
    </row>
    <row r="220" spans="1:12" x14ac:dyDescent="0.3">
      <c r="A220" s="2">
        <v>45327</v>
      </c>
      <c r="B220">
        <v>1059.775634765625</v>
      </c>
      <c r="C220">
        <f t="shared" si="11"/>
        <v>-1.0786619459224607E-2</v>
      </c>
      <c r="K220">
        <f t="shared" si="9"/>
        <v>1403</v>
      </c>
      <c r="L220" s="5">
        <f t="shared" si="10"/>
        <v>-0.24463604079428014</v>
      </c>
    </row>
    <row r="221" spans="1:12" x14ac:dyDescent="0.3">
      <c r="A221" s="2">
        <v>45328</v>
      </c>
      <c r="B221">
        <v>1048.34423828125</v>
      </c>
      <c r="C221">
        <f t="shared" si="11"/>
        <v>1.8141982637240924E-2</v>
      </c>
      <c r="K221">
        <f t="shared" si="9"/>
        <v>1403</v>
      </c>
      <c r="L221" s="5">
        <f t="shared" si="10"/>
        <v>-0.25278386437544542</v>
      </c>
    </row>
    <row r="222" spans="1:12" x14ac:dyDescent="0.3">
      <c r="A222" s="2">
        <v>45329</v>
      </c>
      <c r="B222">
        <v>1067.36328125</v>
      </c>
      <c r="C222">
        <f t="shared" si="11"/>
        <v>-3.1054090651247049E-2</v>
      </c>
      <c r="K222">
        <f t="shared" si="9"/>
        <v>1403</v>
      </c>
      <c r="L222" s="5">
        <f t="shared" si="10"/>
        <v>-0.23922788221667857</v>
      </c>
    </row>
    <row r="223" spans="1:12" x14ac:dyDescent="0.3">
      <c r="A223" s="2">
        <v>45330</v>
      </c>
      <c r="B223">
        <v>1034.21728515625</v>
      </c>
      <c r="C223">
        <f t="shared" si="11"/>
        <v>1.4962864900567826E-2</v>
      </c>
      <c r="K223">
        <f t="shared" si="9"/>
        <v>1403</v>
      </c>
      <c r="L223" s="5">
        <f t="shared" si="10"/>
        <v>-0.26285296852726303</v>
      </c>
    </row>
    <row r="224" spans="1:12" x14ac:dyDescent="0.3">
      <c r="A224" s="2">
        <v>45331</v>
      </c>
      <c r="B224">
        <v>1049.692138671875</v>
      </c>
      <c r="C224">
        <f t="shared" si="11"/>
        <v>-4.4702466938897406E-3</v>
      </c>
      <c r="K224">
        <f t="shared" si="9"/>
        <v>1403</v>
      </c>
      <c r="L224" s="5">
        <f t="shared" si="10"/>
        <v>-0.25182313708348181</v>
      </c>
    </row>
    <row r="225" spans="1:12" x14ac:dyDescent="0.3">
      <c r="A225" s="2">
        <v>45334</v>
      </c>
      <c r="B225">
        <v>1044.999755859375</v>
      </c>
      <c r="C225">
        <f t="shared" si="11"/>
        <v>2.2977025777751611E-2</v>
      </c>
      <c r="K225">
        <f t="shared" si="9"/>
        <v>1403</v>
      </c>
      <c r="L225" s="5">
        <f t="shared" si="10"/>
        <v>-0.25516767223137915</v>
      </c>
    </row>
    <row r="226" spans="1:12" x14ac:dyDescent="0.3">
      <c r="A226" s="2">
        <v>45335</v>
      </c>
      <c r="B226">
        <v>1069.0107421875</v>
      </c>
      <c r="C226">
        <f t="shared" si="11"/>
        <v>2.437533514758412E-2</v>
      </c>
      <c r="K226">
        <f t="shared" si="9"/>
        <v>1403</v>
      </c>
      <c r="L226" s="5">
        <f t="shared" si="10"/>
        <v>-0.23805364063613688</v>
      </c>
    </row>
    <row r="227" spans="1:12" x14ac:dyDescent="0.3">
      <c r="A227" s="2">
        <v>45336</v>
      </c>
      <c r="B227">
        <v>1095.068237304688</v>
      </c>
      <c r="C227">
        <f t="shared" si="11"/>
        <v>-2.2473360511142865E-2</v>
      </c>
      <c r="K227">
        <f t="shared" si="9"/>
        <v>1403</v>
      </c>
      <c r="L227" s="5">
        <f t="shared" si="10"/>
        <v>-0.21948094276216112</v>
      </c>
    </row>
    <row r="228" spans="1:12" x14ac:dyDescent="0.3">
      <c r="A228" s="2">
        <v>45337</v>
      </c>
      <c r="B228">
        <v>1070.458374023438</v>
      </c>
      <c r="C228">
        <f t="shared" si="11"/>
        <v>-3.2177411951728424E-3</v>
      </c>
      <c r="K228">
        <f t="shared" si="9"/>
        <v>1403</v>
      </c>
      <c r="L228" s="5">
        <f t="shared" si="10"/>
        <v>-0.23702182892128443</v>
      </c>
    </row>
    <row r="229" spans="1:12" x14ac:dyDescent="0.3">
      <c r="A229" s="2">
        <v>45338</v>
      </c>
      <c r="B229">
        <v>1067.013916015625</v>
      </c>
      <c r="C229">
        <f t="shared" si="11"/>
        <v>-5.4269670968172812E-3</v>
      </c>
      <c r="K229">
        <f t="shared" si="9"/>
        <v>1403</v>
      </c>
      <c r="L229" s="5">
        <f t="shared" si="10"/>
        <v>-0.239476895213382</v>
      </c>
    </row>
    <row r="230" spans="1:12" x14ac:dyDescent="0.3">
      <c r="A230" s="2">
        <v>45341</v>
      </c>
      <c r="B230">
        <v>1061.223266601562</v>
      </c>
      <c r="C230">
        <f t="shared" si="11"/>
        <v>2.4131018649362797E-2</v>
      </c>
      <c r="K230">
        <f t="shared" si="9"/>
        <v>1403</v>
      </c>
      <c r="L230" s="5">
        <f t="shared" si="10"/>
        <v>-0.24360422907942836</v>
      </c>
    </row>
    <row r="231" spans="1:12" x14ac:dyDescent="0.3">
      <c r="A231" s="2">
        <v>45342</v>
      </c>
      <c r="B231">
        <v>1086.831665039062</v>
      </c>
      <c r="C231">
        <f t="shared" si="11"/>
        <v>-4.0418607654996944E-3</v>
      </c>
      <c r="K231">
        <f t="shared" si="9"/>
        <v>1403</v>
      </c>
      <c r="L231" s="5">
        <f t="shared" si="10"/>
        <v>-0.22535162862504488</v>
      </c>
    </row>
    <row r="232" spans="1:12" x14ac:dyDescent="0.3">
      <c r="A232" s="2">
        <v>45343</v>
      </c>
      <c r="B232">
        <v>1082.438842773438</v>
      </c>
      <c r="C232">
        <f t="shared" si="11"/>
        <v>1.5403042558765368E-2</v>
      </c>
      <c r="K232">
        <f t="shared" si="9"/>
        <v>1403</v>
      </c>
      <c r="L232" s="5">
        <f t="shared" si="10"/>
        <v>-0.22848264948436359</v>
      </c>
    </row>
    <row r="233" spans="1:12" x14ac:dyDescent="0.3">
      <c r="A233" s="2">
        <v>45344</v>
      </c>
      <c r="B233">
        <v>1099.111694335938</v>
      </c>
      <c r="C233">
        <f t="shared" si="11"/>
        <v>-3.724154460228057E-3</v>
      </c>
      <c r="K233">
        <f t="shared" si="9"/>
        <v>1403</v>
      </c>
      <c r="L233" s="5">
        <f t="shared" si="10"/>
        <v>-0.21659893489954529</v>
      </c>
    </row>
    <row r="234" spans="1:12" x14ac:dyDescent="0.3">
      <c r="A234" s="2">
        <v>45345</v>
      </c>
      <c r="B234">
        <v>1095.018432617188</v>
      </c>
      <c r="C234">
        <f t="shared" si="11"/>
        <v>-1.0576350573794097E-2</v>
      </c>
      <c r="K234">
        <f t="shared" si="9"/>
        <v>1403</v>
      </c>
      <c r="L234" s="5">
        <f t="shared" si="10"/>
        <v>-0.21951644147028659</v>
      </c>
    </row>
    <row r="235" spans="1:12" x14ac:dyDescent="0.3">
      <c r="A235" s="2">
        <v>45348</v>
      </c>
      <c r="B235">
        <v>1083.437133789062</v>
      </c>
      <c r="C235">
        <f t="shared" si="11"/>
        <v>-5.6670501560633114E-3</v>
      </c>
      <c r="K235">
        <f t="shared" si="9"/>
        <v>1403</v>
      </c>
      <c r="L235" s="5">
        <f t="shared" si="10"/>
        <v>-0.2277711092023792</v>
      </c>
    </row>
    <row r="236" spans="1:12" x14ac:dyDescent="0.3">
      <c r="A236" s="2">
        <v>45349</v>
      </c>
      <c r="B236">
        <v>1077.297241210938</v>
      </c>
      <c r="C236">
        <f t="shared" si="11"/>
        <v>-4.4947326519606716E-3</v>
      </c>
      <c r="K236">
        <f t="shared" si="9"/>
        <v>1403</v>
      </c>
      <c r="L236" s="5">
        <f t="shared" si="10"/>
        <v>-0.23214736905849043</v>
      </c>
    </row>
    <row r="237" spans="1:12" x14ac:dyDescent="0.3">
      <c r="A237" s="2">
        <v>45350</v>
      </c>
      <c r="B237">
        <v>1072.455078125</v>
      </c>
      <c r="C237">
        <f t="shared" si="11"/>
        <v>8.3773905157012328E-4</v>
      </c>
      <c r="K237">
        <f t="shared" si="9"/>
        <v>1403</v>
      </c>
      <c r="L237" s="5">
        <f t="shared" si="10"/>
        <v>-0.23559866135067709</v>
      </c>
    </row>
    <row r="238" spans="1:12" x14ac:dyDescent="0.3">
      <c r="A238" s="2">
        <v>45351</v>
      </c>
      <c r="B238">
        <v>1073.353515625</v>
      </c>
      <c r="C238">
        <f t="shared" si="11"/>
        <v>2.2463206728328029E-2</v>
      </c>
      <c r="K238">
        <f t="shared" si="9"/>
        <v>1403</v>
      </c>
      <c r="L238" s="5">
        <f t="shared" si="10"/>
        <v>-0.23495829249821809</v>
      </c>
    </row>
    <row r="239" spans="1:12" x14ac:dyDescent="0.3">
      <c r="A239" s="2">
        <v>45352</v>
      </c>
      <c r="B239">
        <v>1097.464477539062</v>
      </c>
      <c r="C239">
        <f t="shared" si="11"/>
        <v>6.8227000068632714E-3</v>
      </c>
      <c r="K239">
        <f t="shared" si="9"/>
        <v>1403</v>
      </c>
      <c r="L239" s="5">
        <f t="shared" si="10"/>
        <v>-0.21777300246681253</v>
      </c>
    </row>
    <row r="240" spans="1:12" x14ac:dyDescent="0.3">
      <c r="A240" s="2">
        <v>45355</v>
      </c>
      <c r="B240">
        <v>1104.9521484375</v>
      </c>
      <c r="C240">
        <f t="shared" si="11"/>
        <v>-5.3759663305555337E-3</v>
      </c>
      <c r="K240">
        <f t="shared" si="9"/>
        <v>1403</v>
      </c>
      <c r="L240" s="5">
        <f t="shared" si="10"/>
        <v>-0.21243610232537424</v>
      </c>
    </row>
    <row r="241" spans="1:12" x14ac:dyDescent="0.3">
      <c r="A241" s="2">
        <v>45356</v>
      </c>
      <c r="B241">
        <v>1099.011962890625</v>
      </c>
      <c r="C241">
        <f t="shared" si="11"/>
        <v>2.1983968643710293E-2</v>
      </c>
      <c r="K241">
        <f t="shared" si="9"/>
        <v>1403</v>
      </c>
      <c r="L241" s="5">
        <f t="shared" si="10"/>
        <v>-0.21667001932243402</v>
      </c>
    </row>
    <row r="242" spans="1:12" x14ac:dyDescent="0.3">
      <c r="A242" s="2">
        <v>45357</v>
      </c>
      <c r="B242">
        <v>1123.172607421875</v>
      </c>
      <c r="C242">
        <f t="shared" si="11"/>
        <v>-1.2044521102528738E-2</v>
      </c>
      <c r="K242">
        <f t="shared" si="9"/>
        <v>1403</v>
      </c>
      <c r="L242" s="5">
        <f t="shared" si="10"/>
        <v>-0.19944931758954032</v>
      </c>
    </row>
    <row r="243" spans="1:12" x14ac:dyDescent="0.3">
      <c r="A243" s="2">
        <v>45358</v>
      </c>
      <c r="B243">
        <v>1109.64453125</v>
      </c>
      <c r="C243">
        <f t="shared" si="11"/>
        <v>-5.7131806004879094E-3</v>
      </c>
      <c r="K243">
        <f t="shared" si="9"/>
        <v>1403</v>
      </c>
      <c r="L243" s="5">
        <f t="shared" si="10"/>
        <v>-0.20909156717747679</v>
      </c>
    </row>
    <row r="244" spans="1:12" x14ac:dyDescent="0.3">
      <c r="A244" s="2">
        <v>45362</v>
      </c>
      <c r="B244">
        <v>1103.304931640625</v>
      </c>
      <c r="C244">
        <f t="shared" si="11"/>
        <v>-7.3297180412985928E-3</v>
      </c>
      <c r="K244">
        <f t="shared" si="9"/>
        <v>1403</v>
      </c>
      <c r="L244" s="5">
        <f t="shared" si="10"/>
        <v>-0.21361016989264081</v>
      </c>
    </row>
    <row r="245" spans="1:12" x14ac:dyDescent="0.3">
      <c r="A245" s="2">
        <v>45363</v>
      </c>
      <c r="B245">
        <v>1095.218017578125</v>
      </c>
      <c r="C245">
        <f t="shared" si="11"/>
        <v>-1.513214518103269E-2</v>
      </c>
      <c r="K245">
        <f t="shared" si="9"/>
        <v>1403</v>
      </c>
      <c r="L245" s="5">
        <f t="shared" si="10"/>
        <v>-0.21937418561787236</v>
      </c>
    </row>
    <row r="246" spans="1:12" x14ac:dyDescent="0.3">
      <c r="A246" s="2">
        <v>45364</v>
      </c>
      <c r="B246">
        <v>1078.64501953125</v>
      </c>
      <c r="C246">
        <f t="shared" si="11"/>
        <v>-2.050166020465672E-2</v>
      </c>
      <c r="K246">
        <f t="shared" si="9"/>
        <v>1403</v>
      </c>
      <c r="L246" s="5">
        <f t="shared" si="10"/>
        <v>-0.2311867287731646</v>
      </c>
    </row>
    <row r="247" spans="1:12" x14ac:dyDescent="0.3">
      <c r="A247" s="2">
        <v>45365</v>
      </c>
      <c r="B247">
        <v>1056.531005859375</v>
      </c>
      <c r="C247">
        <f t="shared" si="11"/>
        <v>-1.1197788310293744E-2</v>
      </c>
      <c r="K247">
        <f t="shared" si="9"/>
        <v>1403</v>
      </c>
      <c r="L247" s="5">
        <f t="shared" si="10"/>
        <v>-0.24694867722068781</v>
      </c>
    </row>
    <row r="248" spans="1:12" x14ac:dyDescent="0.3">
      <c r="A248" s="2">
        <v>45366</v>
      </c>
      <c r="B248">
        <v>1044.7001953125</v>
      </c>
      <c r="C248">
        <f t="shared" si="11"/>
        <v>1.4287026313059373E-2</v>
      </c>
      <c r="K248">
        <f t="shared" si="9"/>
        <v>1403</v>
      </c>
      <c r="L248" s="5">
        <f t="shared" si="10"/>
        <v>-0.25538118651995723</v>
      </c>
    </row>
    <row r="249" spans="1:12" x14ac:dyDescent="0.3">
      <c r="A249" s="2">
        <v>45369</v>
      </c>
      <c r="B249">
        <v>1059.625854492188</v>
      </c>
      <c r="C249">
        <f t="shared" si="11"/>
        <v>-9.9400319453300506E-3</v>
      </c>
      <c r="K249">
        <f t="shared" si="9"/>
        <v>1403</v>
      </c>
      <c r="L249" s="5">
        <f t="shared" si="10"/>
        <v>-0.24474279793856879</v>
      </c>
    </row>
    <row r="250" spans="1:12" x14ac:dyDescent="0.3">
      <c r="A250" s="2">
        <v>45370</v>
      </c>
      <c r="B250">
        <v>1049.093139648438</v>
      </c>
      <c r="C250">
        <f t="shared" si="11"/>
        <v>-1.5274189913140392E-2</v>
      </c>
      <c r="K250">
        <f t="shared" si="9"/>
        <v>1403</v>
      </c>
      <c r="L250" s="5">
        <f t="shared" si="10"/>
        <v>-0.25225007865400007</v>
      </c>
    </row>
    <row r="251" spans="1:12" x14ac:dyDescent="0.3">
      <c r="A251" s="2">
        <v>45371</v>
      </c>
      <c r="B251">
        <v>1033.069091796875</v>
      </c>
      <c r="C251">
        <f t="shared" si="11"/>
        <v>8.2146762422629965E-4</v>
      </c>
      <c r="K251">
        <f t="shared" si="9"/>
        <v>1403</v>
      </c>
      <c r="L251" s="5">
        <f t="shared" si="10"/>
        <v>-0.26367135296017463</v>
      </c>
    </row>
    <row r="252" spans="1:12" x14ac:dyDescent="0.3">
      <c r="A252" s="2">
        <v>45372</v>
      </c>
      <c r="B252">
        <v>1033.917724609375</v>
      </c>
      <c r="C252">
        <f t="shared" si="11"/>
        <v>-2.2208175016948345E-3</v>
      </c>
      <c r="K252">
        <f t="shared" si="9"/>
        <v>1403</v>
      </c>
      <c r="L252" s="5">
        <f t="shared" si="10"/>
        <v>-0.26306648281584111</v>
      </c>
    </row>
    <row r="253" spans="1:12" x14ac:dyDescent="0.3">
      <c r="A253" s="2">
        <v>45373</v>
      </c>
      <c r="B253">
        <v>1031.62158203125</v>
      </c>
      <c r="C253">
        <f t="shared" si="11"/>
        <v>7.0162928982506452E-3</v>
      </c>
      <c r="K253">
        <f t="shared" si="9"/>
        <v>1403</v>
      </c>
      <c r="L253" s="5">
        <f t="shared" si="10"/>
        <v>-0.26470307766838919</v>
      </c>
    </row>
    <row r="254" spans="1:12" x14ac:dyDescent="0.3">
      <c r="A254" s="2">
        <v>45377</v>
      </c>
      <c r="B254">
        <v>1038.859741210938</v>
      </c>
      <c r="C254">
        <f t="shared" si="11"/>
        <v>1.1820680703787769E-2</v>
      </c>
      <c r="K254">
        <f t="shared" si="9"/>
        <v>1403</v>
      </c>
      <c r="L254" s="5">
        <f t="shared" si="10"/>
        <v>-0.25954401909412828</v>
      </c>
    </row>
    <row r="255" spans="1:12" x14ac:dyDescent="0.3">
      <c r="A255" s="2">
        <v>45378</v>
      </c>
      <c r="B255">
        <v>1051.139770507812</v>
      </c>
      <c r="C255">
        <f t="shared" si="11"/>
        <v>-5.3665472177994444E-3</v>
      </c>
      <c r="K255">
        <f t="shared" si="9"/>
        <v>1403</v>
      </c>
      <c r="L255" s="5">
        <f t="shared" si="10"/>
        <v>-0.25079132536863002</v>
      </c>
    </row>
    <row r="256" spans="1:12" x14ac:dyDescent="0.3">
      <c r="A256" s="2">
        <v>45379</v>
      </c>
      <c r="B256">
        <v>1045.498779296875</v>
      </c>
      <c r="C256">
        <f t="shared" si="11"/>
        <v>5.6341557219689543E-3</v>
      </c>
      <c r="K256">
        <f t="shared" si="9"/>
        <v>1403</v>
      </c>
      <c r="L256" s="5">
        <f t="shared" si="10"/>
        <v>-0.25481198909702418</v>
      </c>
    </row>
    <row r="257" spans="1:12" x14ac:dyDescent="0.3">
      <c r="A257" s="2">
        <v>45383</v>
      </c>
      <c r="B257">
        <v>1051.389282226562</v>
      </c>
      <c r="C257">
        <f t="shared" si="11"/>
        <v>-5.6025898582611868E-3</v>
      </c>
      <c r="K257">
        <f t="shared" si="9"/>
        <v>1403</v>
      </c>
      <c r="L257" s="5">
        <f t="shared" si="10"/>
        <v>-0.25061348380145254</v>
      </c>
    </row>
    <row r="258" spans="1:12" x14ac:dyDescent="0.3">
      <c r="A258" s="2">
        <v>45384</v>
      </c>
      <c r="B258">
        <v>1045.498779296875</v>
      </c>
      <c r="C258">
        <f t="shared" si="11"/>
        <v>1.5326701636456755E-2</v>
      </c>
      <c r="K258">
        <f t="shared" ref="K258:K321" si="12">MAX(B258:B997)</f>
        <v>1403</v>
      </c>
      <c r="L258" s="5">
        <f t="shared" ref="L258:L321" si="13">B258/K258-1</f>
        <v>-0.25481198909702418</v>
      </c>
    </row>
    <row r="259" spans="1:12" x14ac:dyDescent="0.3">
      <c r="A259" s="2">
        <v>45385</v>
      </c>
      <c r="B259">
        <v>1061.522827148438</v>
      </c>
      <c r="C259">
        <f t="shared" ref="C259:C322" si="14">(B260-B259)/B259</f>
        <v>-2.82198874310237E-4</v>
      </c>
      <c r="K259">
        <f t="shared" si="12"/>
        <v>1403</v>
      </c>
      <c r="L259" s="5">
        <f t="shared" si="13"/>
        <v>-0.24339071479084962</v>
      </c>
    </row>
    <row r="260" spans="1:12" x14ac:dyDescent="0.3">
      <c r="A260" s="2">
        <v>45386</v>
      </c>
      <c r="B260">
        <v>1061.223266601562</v>
      </c>
      <c r="C260">
        <f t="shared" si="14"/>
        <v>-3.6219993671163467E-3</v>
      </c>
      <c r="K260">
        <f t="shared" si="12"/>
        <v>1403</v>
      </c>
      <c r="L260" s="5">
        <f t="shared" si="13"/>
        <v>-0.24360422907942836</v>
      </c>
    </row>
    <row r="261" spans="1:12" x14ac:dyDescent="0.3">
      <c r="A261" s="2">
        <v>45387</v>
      </c>
      <c r="B261">
        <v>1057.379516601562</v>
      </c>
      <c r="C261">
        <f t="shared" si="14"/>
        <v>1.6004289052492234E-2</v>
      </c>
      <c r="K261">
        <f t="shared" si="12"/>
        <v>1403</v>
      </c>
      <c r="L261" s="5">
        <f t="shared" si="13"/>
        <v>-0.24634389408299218</v>
      </c>
    </row>
    <row r="262" spans="1:12" x14ac:dyDescent="0.3">
      <c r="A262" s="2">
        <v>45390</v>
      </c>
      <c r="B262">
        <v>1074.302124023438</v>
      </c>
      <c r="C262">
        <f t="shared" si="14"/>
        <v>3.6707378279613369E-3</v>
      </c>
      <c r="K262">
        <f t="shared" si="12"/>
        <v>1403</v>
      </c>
      <c r="L262" s="5">
        <f t="shared" si="13"/>
        <v>-0.23428216391772061</v>
      </c>
    </row>
    <row r="263" spans="1:12" x14ac:dyDescent="0.3">
      <c r="A263" s="2">
        <v>45391</v>
      </c>
      <c r="B263">
        <v>1078.24560546875</v>
      </c>
      <c r="C263">
        <f t="shared" si="14"/>
        <v>7.2223578250082219E-3</v>
      </c>
      <c r="K263">
        <f t="shared" si="12"/>
        <v>1403</v>
      </c>
      <c r="L263" s="5">
        <f t="shared" si="13"/>
        <v>-0.23147141449126873</v>
      </c>
    </row>
    <row r="264" spans="1:12" x14ac:dyDescent="0.3">
      <c r="A264" s="2">
        <v>45392</v>
      </c>
      <c r="B264">
        <v>1086.033081054688</v>
      </c>
      <c r="C264">
        <f t="shared" si="14"/>
        <v>-1.3191846985590597E-2</v>
      </c>
      <c r="K264">
        <f t="shared" si="12"/>
        <v>1403</v>
      </c>
      <c r="L264" s="5">
        <f t="shared" si="13"/>
        <v>-0.22592082604797725</v>
      </c>
    </row>
    <row r="265" spans="1:12" x14ac:dyDescent="0.3">
      <c r="A265" s="2">
        <v>45394</v>
      </c>
      <c r="B265">
        <v>1071.706298828125</v>
      </c>
      <c r="C265">
        <f t="shared" si="14"/>
        <v>-1.4439453731443246E-2</v>
      </c>
      <c r="K265">
        <f t="shared" si="12"/>
        <v>1403</v>
      </c>
      <c r="L265" s="5">
        <f t="shared" si="13"/>
        <v>-0.23613236006548466</v>
      </c>
    </row>
    <row r="266" spans="1:12" x14ac:dyDescent="0.3">
      <c r="A266" s="2">
        <v>45397</v>
      </c>
      <c r="B266">
        <v>1056.2314453125</v>
      </c>
      <c r="C266">
        <f t="shared" si="14"/>
        <v>-5.7184806315939349E-3</v>
      </c>
      <c r="K266">
        <f t="shared" si="12"/>
        <v>1403</v>
      </c>
      <c r="L266" s="5">
        <f t="shared" si="13"/>
        <v>-0.24716219150926588</v>
      </c>
    </row>
    <row r="267" spans="1:12" x14ac:dyDescent="0.3">
      <c r="A267" s="2">
        <v>45398</v>
      </c>
      <c r="B267">
        <v>1050.19140625</v>
      </c>
      <c r="C267">
        <f t="shared" si="14"/>
        <v>-2.6523543420284033E-2</v>
      </c>
      <c r="K267">
        <f t="shared" si="12"/>
        <v>1403</v>
      </c>
      <c r="L267" s="5">
        <f t="shared" si="13"/>
        <v>-0.25146727993585172</v>
      </c>
    </row>
    <row r="268" spans="1:12" x14ac:dyDescent="0.3">
      <c r="A268" s="2">
        <v>45400</v>
      </c>
      <c r="B268">
        <v>1022.336608886719</v>
      </c>
      <c r="C268">
        <f t="shared" si="14"/>
        <v>4.9804886136159705E-3</v>
      </c>
      <c r="K268">
        <f t="shared" si="12"/>
        <v>1403</v>
      </c>
      <c r="L268" s="5">
        <f t="shared" si="13"/>
        <v>-0.27132102003797653</v>
      </c>
    </row>
    <row r="269" spans="1:12" x14ac:dyDescent="0.3">
      <c r="A269" s="2">
        <v>45401</v>
      </c>
      <c r="B269">
        <v>1027.428344726562</v>
      </c>
      <c r="C269">
        <f t="shared" si="14"/>
        <v>2.4147251182857696E-2</v>
      </c>
      <c r="K269">
        <f t="shared" si="12"/>
        <v>1403</v>
      </c>
      <c r="L269" s="5">
        <f t="shared" si="13"/>
        <v>-0.26769184267529433</v>
      </c>
    </row>
    <row r="270" spans="1:12" x14ac:dyDescent="0.3">
      <c r="A270" s="2">
        <v>45404</v>
      </c>
      <c r="B270">
        <v>1052.237915039062</v>
      </c>
      <c r="C270">
        <f t="shared" si="14"/>
        <v>1.7079019059669555E-3</v>
      </c>
      <c r="K270">
        <f t="shared" si="12"/>
        <v>1403</v>
      </c>
      <c r="L270" s="5">
        <f t="shared" si="13"/>
        <v>-0.25000861365711902</v>
      </c>
    </row>
    <row r="271" spans="1:12" x14ac:dyDescent="0.3">
      <c r="A271" s="2">
        <v>45405</v>
      </c>
      <c r="B271">
        <v>1054.035034179688</v>
      </c>
      <c r="C271">
        <f t="shared" si="14"/>
        <v>7.1039317726070087E-3</v>
      </c>
      <c r="K271">
        <f t="shared" si="12"/>
        <v>1403</v>
      </c>
      <c r="L271" s="5">
        <f t="shared" si="13"/>
        <v>-0.24872770193892524</v>
      </c>
    </row>
    <row r="272" spans="1:12" x14ac:dyDescent="0.3">
      <c r="A272" s="2">
        <v>45406</v>
      </c>
      <c r="B272">
        <v>1061.522827148438</v>
      </c>
      <c r="C272">
        <f t="shared" si="14"/>
        <v>5.9957716167040091E-2</v>
      </c>
      <c r="K272">
        <f t="shared" si="12"/>
        <v>1403</v>
      </c>
      <c r="L272" s="5">
        <f t="shared" si="13"/>
        <v>-0.24339071479084962</v>
      </c>
    </row>
    <row r="273" spans="1:12" x14ac:dyDescent="0.3">
      <c r="A273" s="2">
        <v>45407</v>
      </c>
      <c r="B273">
        <v>1125.169311523438</v>
      </c>
      <c r="C273">
        <f t="shared" si="14"/>
        <v>2.9281617447539676E-3</v>
      </c>
      <c r="K273">
        <f t="shared" si="12"/>
        <v>1403</v>
      </c>
      <c r="L273" s="5">
        <f t="shared" si="13"/>
        <v>-0.19802615001893231</v>
      </c>
    </row>
    <row r="274" spans="1:12" x14ac:dyDescent="0.3">
      <c r="A274" s="2">
        <v>45408</v>
      </c>
      <c r="B274">
        <v>1128.463989257812</v>
      </c>
      <c r="C274">
        <f t="shared" si="14"/>
        <v>2.5612650803835003E-2</v>
      </c>
      <c r="K274">
        <f t="shared" si="12"/>
        <v>1403</v>
      </c>
      <c r="L274" s="5">
        <f t="shared" si="13"/>
        <v>-0.19567784087112472</v>
      </c>
    </row>
    <row r="275" spans="1:12" x14ac:dyDescent="0.3">
      <c r="A275" s="2">
        <v>45411</v>
      </c>
      <c r="B275">
        <v>1157.366943359375</v>
      </c>
      <c r="C275">
        <f t="shared" si="14"/>
        <v>5.7365403985807336E-3</v>
      </c>
      <c r="K275">
        <f t="shared" si="12"/>
        <v>1403</v>
      </c>
      <c r="L275" s="5">
        <f t="shared" si="13"/>
        <v>-0.17507701827557021</v>
      </c>
    </row>
    <row r="276" spans="1:12" x14ac:dyDescent="0.3">
      <c r="A276" s="2">
        <v>45412</v>
      </c>
      <c r="B276">
        <v>1164.006225585938</v>
      </c>
      <c r="C276">
        <f t="shared" si="14"/>
        <v>-1.3766290505445332E-2</v>
      </c>
      <c r="K276">
        <f t="shared" si="12"/>
        <v>1403</v>
      </c>
      <c r="L276" s="5">
        <f t="shared" si="13"/>
        <v>-0.17034481426519033</v>
      </c>
    </row>
    <row r="277" spans="1:12" x14ac:dyDescent="0.3">
      <c r="A277" s="2">
        <v>45414</v>
      </c>
      <c r="B277">
        <v>1147.982177734375</v>
      </c>
      <c r="C277">
        <f t="shared" si="14"/>
        <v>-7.2618076682187983E-3</v>
      </c>
      <c r="K277">
        <f t="shared" si="12"/>
        <v>1403</v>
      </c>
      <c r="L277" s="5">
        <f t="shared" si="13"/>
        <v>-0.18176608857136489</v>
      </c>
    </row>
    <row r="278" spans="1:12" x14ac:dyDescent="0.3">
      <c r="A278" s="2">
        <v>45415</v>
      </c>
      <c r="B278">
        <v>1139.645751953125</v>
      </c>
      <c r="C278">
        <f t="shared" si="14"/>
        <v>1.8834663063687597E-3</v>
      </c>
      <c r="K278">
        <f t="shared" si="12"/>
        <v>1403</v>
      </c>
      <c r="L278" s="5">
        <f t="shared" si="13"/>
        <v>-0.18770794586377404</v>
      </c>
    </row>
    <row r="279" spans="1:12" x14ac:dyDescent="0.3">
      <c r="A279" s="2">
        <v>45418</v>
      </c>
      <c r="B279">
        <v>1141.792236328125</v>
      </c>
      <c r="C279">
        <f t="shared" si="14"/>
        <v>-1.3946558541013574E-2</v>
      </c>
      <c r="K279">
        <f t="shared" si="12"/>
        <v>1403</v>
      </c>
      <c r="L279" s="5">
        <f t="shared" si="13"/>
        <v>-0.18617802114887738</v>
      </c>
    </row>
    <row r="280" spans="1:12" x14ac:dyDescent="0.3">
      <c r="A280" s="2">
        <v>45419</v>
      </c>
      <c r="B280">
        <v>1125.8681640625</v>
      </c>
      <c r="C280">
        <f t="shared" si="14"/>
        <v>8.4244883939390528E-4</v>
      </c>
      <c r="K280">
        <f t="shared" si="12"/>
        <v>1403</v>
      </c>
      <c r="L280" s="5">
        <f t="shared" si="13"/>
        <v>-0.1975280370188881</v>
      </c>
    </row>
    <row r="281" spans="1:12" x14ac:dyDescent="0.3">
      <c r="A281" s="2">
        <v>45420</v>
      </c>
      <c r="B281">
        <v>1126.816650390625</v>
      </c>
      <c r="C281">
        <f t="shared" si="14"/>
        <v>-1.1518184286181567E-2</v>
      </c>
      <c r="K281">
        <f t="shared" si="12"/>
        <v>1403</v>
      </c>
      <c r="L281" s="5">
        <f t="shared" si="13"/>
        <v>-0.19685199544502852</v>
      </c>
    </row>
    <row r="282" spans="1:12" x14ac:dyDescent="0.3">
      <c r="A282" s="2">
        <v>45421</v>
      </c>
      <c r="B282">
        <v>1113.837768554688</v>
      </c>
      <c r="C282">
        <f t="shared" si="14"/>
        <v>3.9886859189574271E-3</v>
      </c>
      <c r="K282">
        <f t="shared" si="12"/>
        <v>1403</v>
      </c>
      <c r="L282" s="5">
        <f t="shared" si="13"/>
        <v>-0.20610280217057164</v>
      </c>
    </row>
    <row r="283" spans="1:12" x14ac:dyDescent="0.3">
      <c r="A283" s="2">
        <v>45422</v>
      </c>
      <c r="B283">
        <v>1118.280517578125</v>
      </c>
      <c r="C283">
        <f t="shared" si="14"/>
        <v>1.0624111855598911E-2</v>
      </c>
      <c r="K283">
        <f t="shared" si="12"/>
        <v>1403</v>
      </c>
      <c r="L283" s="5">
        <f t="shared" si="13"/>
        <v>-0.20293619559648968</v>
      </c>
    </row>
    <row r="284" spans="1:12" x14ac:dyDescent="0.3">
      <c r="A284" s="2">
        <v>45425</v>
      </c>
      <c r="B284">
        <v>1130.161254882812</v>
      </c>
      <c r="C284">
        <f t="shared" si="14"/>
        <v>-8.0830339887065766E-3</v>
      </c>
      <c r="K284">
        <f t="shared" si="12"/>
        <v>1403</v>
      </c>
      <c r="L284" s="5">
        <f t="shared" si="13"/>
        <v>-0.19446810058245756</v>
      </c>
    </row>
    <row r="285" spans="1:12" x14ac:dyDescent="0.3">
      <c r="A285" s="2">
        <v>45426</v>
      </c>
      <c r="B285">
        <v>1121.026123046875</v>
      </c>
      <c r="C285">
        <f t="shared" si="14"/>
        <v>4.6310502615253277E-3</v>
      </c>
      <c r="K285">
        <f t="shared" si="12"/>
        <v>1403</v>
      </c>
      <c r="L285" s="5">
        <f t="shared" si="13"/>
        <v>-0.20097924230443687</v>
      </c>
    </row>
    <row r="286" spans="1:12" x14ac:dyDescent="0.3">
      <c r="A286" s="2">
        <v>45427</v>
      </c>
      <c r="B286">
        <v>1126.217651367188</v>
      </c>
      <c r="C286">
        <f t="shared" si="14"/>
        <v>9.9730380799857177E-3</v>
      </c>
      <c r="K286">
        <f t="shared" si="12"/>
        <v>1403</v>
      </c>
      <c r="L286" s="5">
        <f t="shared" si="13"/>
        <v>-0.19727893701554666</v>
      </c>
    </row>
    <row r="287" spans="1:12" x14ac:dyDescent="0.3">
      <c r="A287" s="2">
        <v>45428</v>
      </c>
      <c r="B287">
        <v>1137.449462890625</v>
      </c>
      <c r="C287">
        <f t="shared" si="14"/>
        <v>1.7992085414169677E-3</v>
      </c>
      <c r="K287">
        <f t="shared" si="12"/>
        <v>1403</v>
      </c>
      <c r="L287" s="5">
        <f t="shared" si="13"/>
        <v>-0.18927336928679617</v>
      </c>
    </row>
    <row r="288" spans="1:12" x14ac:dyDescent="0.3">
      <c r="A288" s="2">
        <v>45429</v>
      </c>
      <c r="B288">
        <v>1139.495971679688</v>
      </c>
      <c r="C288">
        <f t="shared" si="14"/>
        <v>-3.2417576001763423E-3</v>
      </c>
      <c r="K288">
        <f t="shared" si="12"/>
        <v>1403</v>
      </c>
      <c r="L288" s="5">
        <f t="shared" si="13"/>
        <v>-0.1878147030080628</v>
      </c>
    </row>
    <row r="289" spans="1:12" x14ac:dyDescent="0.3">
      <c r="A289" s="2">
        <v>45433</v>
      </c>
      <c r="B289">
        <v>1135.802001953125</v>
      </c>
      <c r="C289">
        <f t="shared" si="14"/>
        <v>-1.0240324832420017E-2</v>
      </c>
      <c r="K289">
        <f t="shared" si="12"/>
        <v>1403</v>
      </c>
      <c r="L289" s="5">
        <f t="shared" si="13"/>
        <v>-0.19044761086733786</v>
      </c>
    </row>
    <row r="290" spans="1:12" x14ac:dyDescent="0.3">
      <c r="A290" s="2">
        <v>45434</v>
      </c>
      <c r="B290">
        <v>1124.171020507812</v>
      </c>
      <c r="C290">
        <f t="shared" si="14"/>
        <v>3.4857825465792323E-2</v>
      </c>
      <c r="K290">
        <f t="shared" si="12"/>
        <v>1403</v>
      </c>
      <c r="L290" s="5">
        <f t="shared" si="13"/>
        <v>-0.19873769030091804</v>
      </c>
    </row>
    <row r="291" spans="1:12" x14ac:dyDescent="0.3">
      <c r="A291" s="2">
        <v>45435</v>
      </c>
      <c r="B291">
        <v>1163.357177734375</v>
      </c>
      <c r="C291">
        <f t="shared" si="14"/>
        <v>7.5090590754335286E-3</v>
      </c>
      <c r="K291">
        <f t="shared" si="12"/>
        <v>1403</v>
      </c>
      <c r="L291" s="5">
        <f t="shared" si="13"/>
        <v>-0.17080742855710973</v>
      </c>
    </row>
    <row r="292" spans="1:12" x14ac:dyDescent="0.3">
      <c r="A292" s="2">
        <v>45436</v>
      </c>
      <c r="B292">
        <v>1172.092895507812</v>
      </c>
      <c r="C292">
        <f t="shared" si="14"/>
        <v>1.1073253566915294E-2</v>
      </c>
      <c r="K292">
        <f t="shared" si="12"/>
        <v>1403</v>
      </c>
      <c r="L292" s="5">
        <f t="shared" si="13"/>
        <v>-0.16458097255323445</v>
      </c>
    </row>
    <row r="293" spans="1:12" x14ac:dyDescent="0.3">
      <c r="A293" s="2">
        <v>45439</v>
      </c>
      <c r="B293">
        <v>1185.07177734375</v>
      </c>
      <c r="C293">
        <f t="shared" si="14"/>
        <v>-3.032825757604234E-3</v>
      </c>
      <c r="K293">
        <f t="shared" si="12"/>
        <v>1403</v>
      </c>
      <c r="L293" s="5">
        <f t="shared" si="13"/>
        <v>-0.15533016582769066</v>
      </c>
    </row>
    <row r="294" spans="1:12" x14ac:dyDescent="0.3">
      <c r="A294" s="2">
        <v>45440</v>
      </c>
      <c r="B294">
        <v>1181.477661132812</v>
      </c>
      <c r="C294">
        <f t="shared" si="14"/>
        <v>-1.9984780958943474E-2</v>
      </c>
      <c r="K294">
        <f t="shared" si="12"/>
        <v>1403</v>
      </c>
      <c r="L294" s="5">
        <f t="shared" si="13"/>
        <v>-0.15789190225743976</v>
      </c>
    </row>
    <row r="295" spans="1:12" x14ac:dyDescent="0.3">
      <c r="A295" s="2">
        <v>45441</v>
      </c>
      <c r="B295">
        <v>1157.866088867188</v>
      </c>
      <c r="C295">
        <f t="shared" si="14"/>
        <v>7.0704596900506411E-3</v>
      </c>
      <c r="K295">
        <f t="shared" si="12"/>
        <v>1403</v>
      </c>
      <c r="L295" s="5">
        <f t="shared" si="13"/>
        <v>-0.17472124813457734</v>
      </c>
    </row>
    <row r="296" spans="1:12" x14ac:dyDescent="0.3">
      <c r="A296" s="2">
        <v>45442</v>
      </c>
      <c r="B296">
        <v>1166.052734375</v>
      </c>
      <c r="C296">
        <f t="shared" si="14"/>
        <v>-4.9659223575799095E-3</v>
      </c>
      <c r="K296">
        <f t="shared" si="12"/>
        <v>1403</v>
      </c>
      <c r="L296" s="5">
        <f t="shared" si="13"/>
        <v>-0.16888614798645762</v>
      </c>
    </row>
    <row r="297" spans="1:12" x14ac:dyDescent="0.3">
      <c r="A297" s="2">
        <v>45443</v>
      </c>
      <c r="B297">
        <v>1160.26220703125</v>
      </c>
      <c r="C297">
        <f t="shared" si="14"/>
        <v>5.3134246577648425E-2</v>
      </c>
      <c r="K297">
        <f t="shared" si="12"/>
        <v>1403</v>
      </c>
      <c r="L297" s="5">
        <f t="shared" si="13"/>
        <v>-0.17301339484586598</v>
      </c>
    </row>
    <row r="298" spans="1:12" x14ac:dyDescent="0.3">
      <c r="A298" s="2">
        <v>45446</v>
      </c>
      <c r="B298">
        <v>1221.911865234375</v>
      </c>
      <c r="C298">
        <f t="shared" si="14"/>
        <v>-7.5700641225058943E-2</v>
      </c>
      <c r="K298">
        <f t="shared" si="12"/>
        <v>1403</v>
      </c>
      <c r="L298" s="5">
        <f t="shared" si="13"/>
        <v>-0.12907208465119391</v>
      </c>
    </row>
    <row r="299" spans="1:12" x14ac:dyDescent="0.3">
      <c r="A299" s="2">
        <v>45447</v>
      </c>
      <c r="B299">
        <v>1129.412353515625</v>
      </c>
      <c r="C299">
        <f t="shared" si="14"/>
        <v>4.707189013230012E-2</v>
      </c>
      <c r="K299">
        <f t="shared" si="12"/>
        <v>1403</v>
      </c>
      <c r="L299" s="5">
        <f t="shared" si="13"/>
        <v>-0.19500188630390236</v>
      </c>
    </row>
    <row r="300" spans="1:12" x14ac:dyDescent="0.3">
      <c r="A300" s="2">
        <v>45448</v>
      </c>
      <c r="B300">
        <v>1182.575927734375</v>
      </c>
      <c r="C300">
        <f t="shared" si="14"/>
        <v>-1.1439499024635666E-2</v>
      </c>
      <c r="K300">
        <f t="shared" si="12"/>
        <v>1403</v>
      </c>
      <c r="L300" s="5">
        <f t="shared" si="13"/>
        <v>-0.15710910353929075</v>
      </c>
    </row>
    <row r="301" spans="1:12" x14ac:dyDescent="0.3">
      <c r="A301" s="2">
        <v>45449</v>
      </c>
      <c r="B301">
        <v>1169.0478515625</v>
      </c>
      <c r="C301">
        <f t="shared" si="14"/>
        <v>1.3536197743723399E-2</v>
      </c>
      <c r="K301">
        <f t="shared" si="12"/>
        <v>1403</v>
      </c>
      <c r="L301" s="5">
        <f t="shared" si="13"/>
        <v>-0.16675135312722733</v>
      </c>
    </row>
    <row r="302" spans="1:12" x14ac:dyDescent="0.3">
      <c r="A302" s="2">
        <v>45450</v>
      </c>
      <c r="B302">
        <v>1184.872314453125</v>
      </c>
      <c r="C302">
        <f t="shared" si="14"/>
        <v>1.1122164444061122E-2</v>
      </c>
      <c r="K302">
        <f t="shared" si="12"/>
        <v>1403</v>
      </c>
      <c r="L302" s="5">
        <f t="shared" si="13"/>
        <v>-0.15547233467346755</v>
      </c>
    </row>
    <row r="303" spans="1:12" x14ac:dyDescent="0.3">
      <c r="A303" s="2">
        <v>45453</v>
      </c>
      <c r="B303">
        <v>1198.050659179688</v>
      </c>
      <c r="C303">
        <f t="shared" si="14"/>
        <v>-4.5000061643923842E-3</v>
      </c>
      <c r="K303">
        <f t="shared" si="12"/>
        <v>1403</v>
      </c>
      <c r="L303" s="5">
        <f t="shared" si="13"/>
        <v>-0.14607935910214687</v>
      </c>
    </row>
    <row r="304" spans="1:12" x14ac:dyDescent="0.3">
      <c r="A304" s="2">
        <v>45454</v>
      </c>
      <c r="B304">
        <v>1192.659423828125</v>
      </c>
      <c r="C304">
        <f t="shared" si="14"/>
        <v>-5.6084450515472145E-3</v>
      </c>
      <c r="K304">
        <f t="shared" si="12"/>
        <v>1403</v>
      </c>
      <c r="L304" s="5">
        <f t="shared" si="13"/>
        <v>-0.14992200725008908</v>
      </c>
    </row>
    <row r="305" spans="1:12" x14ac:dyDescent="0.3">
      <c r="A305" s="2">
        <v>45455</v>
      </c>
      <c r="B305">
        <v>1185.970458984375</v>
      </c>
      <c r="C305">
        <f t="shared" si="14"/>
        <v>-1.1154169587266494E-2</v>
      </c>
      <c r="K305">
        <f t="shared" si="12"/>
        <v>1403</v>
      </c>
      <c r="L305" s="5">
        <f t="shared" si="13"/>
        <v>-0.15468962296195654</v>
      </c>
    </row>
    <row r="306" spans="1:12" x14ac:dyDescent="0.3">
      <c r="A306" s="2">
        <v>45456</v>
      </c>
      <c r="B306">
        <v>1172.741943359375</v>
      </c>
      <c r="C306">
        <f t="shared" si="14"/>
        <v>5.4484692678395631E-3</v>
      </c>
      <c r="K306">
        <f t="shared" si="12"/>
        <v>1403</v>
      </c>
      <c r="L306" s="5">
        <f t="shared" si="13"/>
        <v>-0.16411835826131504</v>
      </c>
    </row>
    <row r="307" spans="1:12" x14ac:dyDescent="0.3">
      <c r="A307" s="2">
        <v>45457</v>
      </c>
      <c r="B307">
        <v>1179.131591796875</v>
      </c>
      <c r="C307">
        <f t="shared" si="14"/>
        <v>9.1866552181149932E-3</v>
      </c>
      <c r="K307">
        <f t="shared" si="12"/>
        <v>1403</v>
      </c>
      <c r="L307" s="5">
        <f t="shared" si="13"/>
        <v>-0.15956408282475054</v>
      </c>
    </row>
    <row r="308" spans="1:12" x14ac:dyDescent="0.3">
      <c r="A308" s="2">
        <v>45461</v>
      </c>
      <c r="B308">
        <v>1189.9638671875</v>
      </c>
      <c r="C308">
        <f t="shared" si="14"/>
        <v>2.915517392777978E-2</v>
      </c>
      <c r="K308">
        <f t="shared" si="12"/>
        <v>1403</v>
      </c>
      <c r="L308" s="5">
        <f t="shared" si="13"/>
        <v>-0.1518432878207413</v>
      </c>
    </row>
    <row r="309" spans="1:12" x14ac:dyDescent="0.3">
      <c r="A309" s="2">
        <v>45462</v>
      </c>
      <c r="B309">
        <v>1224.657470703125</v>
      </c>
      <c r="C309">
        <f t="shared" si="14"/>
        <v>1.0475665130376658E-2</v>
      </c>
      <c r="K309">
        <f t="shared" si="12"/>
        <v>1403</v>
      </c>
      <c r="L309" s="5">
        <f t="shared" si="13"/>
        <v>-0.1271151313591411</v>
      </c>
    </row>
    <row r="310" spans="1:12" x14ac:dyDescent="0.3">
      <c r="A310" s="2">
        <v>45463</v>
      </c>
      <c r="B310">
        <v>1237.486572265625</v>
      </c>
      <c r="C310">
        <f t="shared" si="14"/>
        <v>-1.6538610642279302E-3</v>
      </c>
      <c r="K310">
        <f t="shared" si="12"/>
        <v>1403</v>
      </c>
      <c r="L310" s="5">
        <f t="shared" si="13"/>
        <v>-0.11797108177788662</v>
      </c>
    </row>
    <row r="311" spans="1:12" x14ac:dyDescent="0.3">
      <c r="A311" s="2">
        <v>45464</v>
      </c>
      <c r="B311">
        <v>1235.43994140625</v>
      </c>
      <c r="C311">
        <f t="shared" si="14"/>
        <v>-7.5558823657283537E-3</v>
      </c>
      <c r="K311">
        <f t="shared" si="12"/>
        <v>1403</v>
      </c>
      <c r="L311" s="5">
        <f t="shared" si="13"/>
        <v>-0.11942983506325733</v>
      </c>
    </row>
    <row r="312" spans="1:12" x14ac:dyDescent="0.3">
      <c r="A312" s="2">
        <v>45467</v>
      </c>
      <c r="B312">
        <v>1226.105102539062</v>
      </c>
      <c r="C312">
        <f t="shared" si="14"/>
        <v>3.5298394016957516E-2</v>
      </c>
      <c r="K312">
        <f t="shared" si="12"/>
        <v>1403</v>
      </c>
      <c r="L312" s="5">
        <f t="shared" si="13"/>
        <v>-0.12608331964428932</v>
      </c>
    </row>
    <row r="313" spans="1:12" x14ac:dyDescent="0.3">
      <c r="A313" s="2">
        <v>45468</v>
      </c>
      <c r="B313">
        <v>1269.384643554688</v>
      </c>
      <c r="C313">
        <f t="shared" si="14"/>
        <v>1.0971747795105591E-2</v>
      </c>
      <c r="K313">
        <f t="shared" si="12"/>
        <v>1403</v>
      </c>
      <c r="L313" s="5">
        <f t="shared" si="13"/>
        <v>-9.5235464323101926E-2</v>
      </c>
    </row>
    <row r="314" spans="1:12" x14ac:dyDescent="0.3">
      <c r="A314" s="2">
        <v>45469</v>
      </c>
      <c r="B314">
        <v>1283.31201171875</v>
      </c>
      <c r="C314">
        <f t="shared" si="14"/>
        <v>2.7617519517940448E-3</v>
      </c>
      <c r="K314">
        <f t="shared" si="12"/>
        <v>1403</v>
      </c>
      <c r="L314" s="5">
        <f t="shared" si="13"/>
        <v>-8.5308616023699213E-2</v>
      </c>
    </row>
    <row r="315" spans="1:12" x14ac:dyDescent="0.3">
      <c r="A315" s="2">
        <v>45470</v>
      </c>
      <c r="B315">
        <v>1286.856201171875</v>
      </c>
      <c r="C315">
        <f t="shared" si="14"/>
        <v>-1.8387057545271736E-2</v>
      </c>
      <c r="K315">
        <f t="shared" si="12"/>
        <v>1403</v>
      </c>
      <c r="L315" s="5">
        <f t="shared" si="13"/>
        <v>-8.2782465308713471E-2</v>
      </c>
    </row>
    <row r="316" spans="1:12" x14ac:dyDescent="0.3">
      <c r="A316" s="2">
        <v>45471</v>
      </c>
      <c r="B316">
        <v>1263.194702148438</v>
      </c>
      <c r="C316">
        <f t="shared" si="14"/>
        <v>-2.647638100593379E-3</v>
      </c>
      <c r="K316">
        <f t="shared" si="12"/>
        <v>1403</v>
      </c>
      <c r="L316" s="5">
        <f t="shared" si="13"/>
        <v>-9.9647396900614416E-2</v>
      </c>
    </row>
    <row r="317" spans="1:12" x14ac:dyDescent="0.3">
      <c r="A317" s="2">
        <v>45474</v>
      </c>
      <c r="B317">
        <v>1259.850219726562</v>
      </c>
      <c r="C317">
        <f t="shared" si="14"/>
        <v>-6.7358848867993945E-3</v>
      </c>
      <c r="K317">
        <f t="shared" si="12"/>
        <v>1403</v>
      </c>
      <c r="L317" s="5">
        <f t="shared" si="13"/>
        <v>-0.10203120475654881</v>
      </c>
    </row>
    <row r="318" spans="1:12" x14ac:dyDescent="0.3">
      <c r="A318" s="2">
        <v>45475</v>
      </c>
      <c r="B318">
        <v>1251.364013671875</v>
      </c>
      <c r="C318">
        <f t="shared" si="14"/>
        <v>2.1222252202528581E-2</v>
      </c>
      <c r="K318">
        <f t="shared" si="12"/>
        <v>1403</v>
      </c>
      <c r="L318" s="5">
        <f t="shared" si="13"/>
        <v>-0.10807981919324661</v>
      </c>
    </row>
    <row r="319" spans="1:12" x14ac:dyDescent="0.3">
      <c r="A319" s="2">
        <v>45476</v>
      </c>
      <c r="B319">
        <v>1277.920776367188</v>
      </c>
      <c r="C319">
        <f t="shared" si="14"/>
        <v>7.0314184332023104E-4</v>
      </c>
      <c r="K319">
        <f t="shared" si="12"/>
        <v>1403</v>
      </c>
      <c r="L319" s="5">
        <f t="shared" si="13"/>
        <v>-8.9151264171640765E-2</v>
      </c>
    </row>
    <row r="320" spans="1:12" x14ac:dyDescent="0.3">
      <c r="A320" s="2">
        <v>45477</v>
      </c>
      <c r="B320">
        <v>1278.8193359375</v>
      </c>
      <c r="C320">
        <f t="shared" si="14"/>
        <v>4.8013151474103431E-3</v>
      </c>
      <c r="K320">
        <f t="shared" si="12"/>
        <v>1403</v>
      </c>
      <c r="L320" s="5">
        <f t="shared" si="13"/>
        <v>-8.8510808312544542E-2</v>
      </c>
    </row>
    <row r="321" spans="1:12" x14ac:dyDescent="0.3">
      <c r="A321" s="2">
        <v>45478</v>
      </c>
      <c r="B321">
        <v>1284.959350585938</v>
      </c>
      <c r="C321">
        <f t="shared" si="14"/>
        <v>6.2148579564788445E-4</v>
      </c>
      <c r="K321">
        <f t="shared" si="12"/>
        <v>1403</v>
      </c>
      <c r="L321" s="5">
        <f t="shared" si="13"/>
        <v>-8.4134461449794751E-2</v>
      </c>
    </row>
    <row r="322" spans="1:12" x14ac:dyDescent="0.3">
      <c r="A322" s="2">
        <v>45481</v>
      </c>
      <c r="B322">
        <v>1285.757934570312</v>
      </c>
      <c r="C322">
        <f t="shared" si="14"/>
        <v>1.2035588581299399E-3</v>
      </c>
      <c r="K322">
        <f t="shared" ref="K322:K385" si="15">MAX(B322:B1061)</f>
        <v>1403</v>
      </c>
      <c r="L322" s="5">
        <f t="shared" ref="L322:L385" si="16">B322/K322-1</f>
        <v>-8.3565264026862374E-2</v>
      </c>
    </row>
    <row r="323" spans="1:12" x14ac:dyDescent="0.3">
      <c r="A323" s="2">
        <v>45482</v>
      </c>
      <c r="B323">
        <v>1287.305419921875</v>
      </c>
      <c r="C323">
        <f t="shared" ref="C323:C386" si="17">(B324-B323)/B323</f>
        <v>1.7450870059052344E-3</v>
      </c>
      <c r="K323">
        <f t="shared" si="15"/>
        <v>1403</v>
      </c>
      <c r="L323" s="5">
        <f t="shared" si="16"/>
        <v>-8.2462280882483974E-2</v>
      </c>
    </row>
    <row r="324" spans="1:12" x14ac:dyDescent="0.3">
      <c r="A324" s="2">
        <v>45483</v>
      </c>
      <c r="B324">
        <v>1289.551879882812</v>
      </c>
      <c r="C324">
        <f t="shared" si="17"/>
        <v>3.9484063294534999E-3</v>
      </c>
      <c r="K324">
        <f t="shared" si="15"/>
        <v>1403</v>
      </c>
      <c r="L324" s="5">
        <f t="shared" si="16"/>
        <v>-8.0861097731424025E-2</v>
      </c>
    </row>
    <row r="325" spans="1:12" x14ac:dyDescent="0.3">
      <c r="A325" s="2">
        <v>45484</v>
      </c>
      <c r="B325">
        <v>1294.6435546875</v>
      </c>
      <c r="C325">
        <f t="shared" si="17"/>
        <v>1.6631308388304022E-2</v>
      </c>
      <c r="K325">
        <f t="shared" si="15"/>
        <v>1403</v>
      </c>
      <c r="L325" s="5">
        <f t="shared" si="16"/>
        <v>-7.7231963872059883E-2</v>
      </c>
    </row>
    <row r="326" spans="1:12" x14ac:dyDescent="0.3">
      <c r="A326" s="2">
        <v>45485</v>
      </c>
      <c r="B326">
        <v>1316.175170898438</v>
      </c>
      <c r="C326">
        <f t="shared" si="17"/>
        <v>-7.4774809784399002E-3</v>
      </c>
      <c r="K326">
        <f t="shared" si="15"/>
        <v>1403</v>
      </c>
      <c r="L326" s="5">
        <f t="shared" si="16"/>
        <v>-6.1885124092346477E-2</v>
      </c>
    </row>
    <row r="327" spans="1:12" x14ac:dyDescent="0.3">
      <c r="A327" s="2">
        <v>45488</v>
      </c>
      <c r="B327">
        <v>1306.33349609375</v>
      </c>
      <c r="C327">
        <f t="shared" si="17"/>
        <v>-2.6386994551409878E-3</v>
      </c>
      <c r="K327">
        <f t="shared" si="15"/>
        <v>1403</v>
      </c>
      <c r="L327" s="5">
        <f t="shared" si="16"/>
        <v>-6.8899860232537469E-2</v>
      </c>
    </row>
    <row r="328" spans="1:12" x14ac:dyDescent="0.3">
      <c r="A328" s="2">
        <v>45489</v>
      </c>
      <c r="B328">
        <v>1302.886474609375</v>
      </c>
      <c r="C328">
        <f t="shared" si="17"/>
        <v>4.1411956587527358E-3</v>
      </c>
      <c r="K328">
        <f t="shared" si="15"/>
        <v>1403</v>
      </c>
      <c r="L328" s="5">
        <f t="shared" si="16"/>
        <v>-7.1356753664023498E-2</v>
      </c>
    </row>
    <row r="329" spans="1:12" x14ac:dyDescent="0.3">
      <c r="A329" s="2">
        <v>45491</v>
      </c>
      <c r="B329">
        <v>1308.281982421875</v>
      </c>
      <c r="C329">
        <f t="shared" si="17"/>
        <v>-1.302129257287569E-2</v>
      </c>
      <c r="K329">
        <f t="shared" si="15"/>
        <v>1403</v>
      </c>
      <c r="L329" s="5">
        <f t="shared" si="16"/>
        <v>-6.7511060283766966E-2</v>
      </c>
    </row>
    <row r="330" spans="1:12" x14ac:dyDescent="0.3">
      <c r="A330" s="2">
        <v>45492</v>
      </c>
      <c r="B330">
        <v>1291.246459960938</v>
      </c>
      <c r="C330">
        <f t="shared" si="17"/>
        <v>-7.6217461495876092E-3</v>
      </c>
      <c r="K330">
        <f t="shared" si="15"/>
        <v>1403</v>
      </c>
      <c r="L330" s="5">
        <f t="shared" si="16"/>
        <v>-7.9653271588782659E-2</v>
      </c>
    </row>
    <row r="331" spans="1:12" x14ac:dyDescent="0.3">
      <c r="A331" s="2">
        <v>45495</v>
      </c>
      <c r="B331">
        <v>1281.404907226562</v>
      </c>
      <c r="C331">
        <f t="shared" si="17"/>
        <v>-1.5009808741682489E-2</v>
      </c>
      <c r="K331">
        <f t="shared" si="15"/>
        <v>1403</v>
      </c>
      <c r="L331" s="5">
        <f t="shared" si="16"/>
        <v>-8.6667920722336422E-2</v>
      </c>
    </row>
    <row r="332" spans="1:12" x14ac:dyDescent="0.3">
      <c r="A332" s="2">
        <v>45496</v>
      </c>
      <c r="B332">
        <v>1262.171264648438</v>
      </c>
      <c r="C332">
        <f t="shared" si="17"/>
        <v>-1.8998604119052884E-2</v>
      </c>
      <c r="K332">
        <f t="shared" si="15"/>
        <v>1403</v>
      </c>
      <c r="L332" s="5">
        <f t="shared" si="16"/>
        <v>-0.10037686054993733</v>
      </c>
    </row>
    <row r="333" spans="1:12" x14ac:dyDescent="0.3">
      <c r="A333" s="2">
        <v>45497</v>
      </c>
      <c r="B333">
        <v>1238.191772460938</v>
      </c>
      <c r="C333">
        <f t="shared" si="17"/>
        <v>-5.1119624476019393E-2</v>
      </c>
      <c r="K333">
        <f t="shared" si="15"/>
        <v>1403</v>
      </c>
      <c r="L333" s="5">
        <f t="shared" si="16"/>
        <v>-0.11746844443268856</v>
      </c>
    </row>
    <row r="334" spans="1:12" x14ac:dyDescent="0.3">
      <c r="A334" s="2">
        <v>45498</v>
      </c>
      <c r="B334">
        <v>1174.895874023438</v>
      </c>
      <c r="C334">
        <f t="shared" si="17"/>
        <v>1.2330713732007705E-3</v>
      </c>
      <c r="K334">
        <f t="shared" si="15"/>
        <v>1403</v>
      </c>
      <c r="L334" s="5">
        <f t="shared" si="16"/>
        <v>-0.16258312614152681</v>
      </c>
    </row>
    <row r="335" spans="1:12" x14ac:dyDescent="0.3">
      <c r="A335" s="2">
        <v>45499</v>
      </c>
      <c r="B335">
        <v>1176.344604492188</v>
      </c>
      <c r="C335">
        <f t="shared" si="17"/>
        <v>-6.2003099636135121E-3</v>
      </c>
      <c r="K335">
        <f t="shared" si="15"/>
        <v>1403</v>
      </c>
      <c r="L335" s="5">
        <f t="shared" si="16"/>
        <v>-0.16155053136693664</v>
      </c>
    </row>
    <row r="336" spans="1:12" x14ac:dyDescent="0.3">
      <c r="A336" s="2">
        <v>45502</v>
      </c>
      <c r="B336">
        <v>1169.050903320312</v>
      </c>
      <c r="C336">
        <f t="shared" si="17"/>
        <v>-4.2707086295596194E-5</v>
      </c>
      <c r="K336">
        <f t="shared" si="15"/>
        <v>1403</v>
      </c>
      <c r="L336" s="5">
        <f t="shared" si="16"/>
        <v>-0.16674917796128863</v>
      </c>
    </row>
    <row r="337" spans="1:12" x14ac:dyDescent="0.3">
      <c r="A337" s="2">
        <v>45503</v>
      </c>
      <c r="B337">
        <v>1169.0009765625</v>
      </c>
      <c r="C337">
        <f t="shared" si="17"/>
        <v>-3.3333834562598104E-3</v>
      </c>
      <c r="K337">
        <f t="shared" si="15"/>
        <v>1403</v>
      </c>
      <c r="L337" s="5">
        <f t="shared" si="16"/>
        <v>-0.16678476367605133</v>
      </c>
    </row>
    <row r="338" spans="1:12" x14ac:dyDescent="0.3">
      <c r="A338" s="2">
        <v>45504</v>
      </c>
      <c r="B338">
        <v>1165.104248046875</v>
      </c>
      <c r="C338">
        <f t="shared" si="17"/>
        <v>5.3169699013068629E-3</v>
      </c>
      <c r="K338">
        <f t="shared" si="15"/>
        <v>1403</v>
      </c>
      <c r="L338" s="5">
        <f t="shared" si="16"/>
        <v>-0.16956218956031721</v>
      </c>
    </row>
    <row r="339" spans="1:12" x14ac:dyDescent="0.3">
      <c r="A339" s="2">
        <v>45505</v>
      </c>
      <c r="B339">
        <v>1171.299072265625</v>
      </c>
      <c r="C339">
        <f t="shared" si="17"/>
        <v>-9.7671960032020191E-3</v>
      </c>
      <c r="K339">
        <f t="shared" si="15"/>
        <v>1403</v>
      </c>
      <c r="L339" s="5">
        <f t="shared" si="16"/>
        <v>-0.16514677671730216</v>
      </c>
    </row>
    <row r="340" spans="1:12" x14ac:dyDescent="0.3">
      <c r="A340" s="2">
        <v>45506</v>
      </c>
      <c r="B340">
        <v>1159.858764648438</v>
      </c>
      <c r="C340">
        <f t="shared" si="17"/>
        <v>-2.3560334231325933E-2</v>
      </c>
      <c r="K340">
        <f t="shared" si="15"/>
        <v>1403</v>
      </c>
      <c r="L340" s="5">
        <f t="shared" si="16"/>
        <v>-0.1733009517830093</v>
      </c>
    </row>
    <row r="341" spans="1:12" x14ac:dyDescent="0.3">
      <c r="A341" s="2">
        <v>45509</v>
      </c>
      <c r="B341">
        <v>1132.532104492188</v>
      </c>
      <c r="C341">
        <f t="shared" si="17"/>
        <v>-6.5284478280888819E-3</v>
      </c>
      <c r="K341">
        <f t="shared" si="15"/>
        <v>1403</v>
      </c>
      <c r="L341" s="5">
        <f t="shared" si="16"/>
        <v>-0.19277825766772061</v>
      </c>
    </row>
    <row r="342" spans="1:12" x14ac:dyDescent="0.3">
      <c r="A342" s="2">
        <v>45510</v>
      </c>
      <c r="B342">
        <v>1125.138427734375</v>
      </c>
      <c r="C342">
        <f t="shared" si="17"/>
        <v>9.5018690191549775E-3</v>
      </c>
      <c r="K342">
        <f t="shared" si="15"/>
        <v>1403</v>
      </c>
      <c r="L342" s="5">
        <f t="shared" si="16"/>
        <v>-0.19804816269823589</v>
      </c>
    </row>
    <row r="343" spans="1:12" x14ac:dyDescent="0.3">
      <c r="A343" s="2">
        <v>45511</v>
      </c>
      <c r="B343">
        <v>1135.829345703125</v>
      </c>
      <c r="C343">
        <f t="shared" si="17"/>
        <v>1.1875700854427121E-3</v>
      </c>
      <c r="K343">
        <f t="shared" si="15"/>
        <v>1403</v>
      </c>
      <c r="L343" s="5">
        <f t="shared" si="16"/>
        <v>-0.1904281213805239</v>
      </c>
    </row>
    <row r="344" spans="1:12" x14ac:dyDescent="0.3">
      <c r="A344" s="2">
        <v>45512</v>
      </c>
      <c r="B344">
        <v>1137.17822265625</v>
      </c>
      <c r="C344">
        <f t="shared" si="17"/>
        <v>4.0415364751618865E-3</v>
      </c>
      <c r="K344">
        <f t="shared" si="15"/>
        <v>1403</v>
      </c>
      <c r="L344" s="5">
        <f t="shared" si="16"/>
        <v>-0.18946669803545968</v>
      </c>
    </row>
    <row r="345" spans="1:12" x14ac:dyDescent="0.3">
      <c r="A345" s="2">
        <v>45513</v>
      </c>
      <c r="B345">
        <v>1141.774169921875</v>
      </c>
      <c r="C345">
        <f t="shared" si="17"/>
        <v>1.8858140995362763E-2</v>
      </c>
      <c r="K345">
        <f t="shared" si="15"/>
        <v>1403</v>
      </c>
      <c r="L345" s="5">
        <f t="shared" si="16"/>
        <v>-0.18619089813123668</v>
      </c>
    </row>
    <row r="346" spans="1:12" x14ac:dyDescent="0.3">
      <c r="A346" s="2">
        <v>45516</v>
      </c>
      <c r="B346">
        <v>1163.305908203125</v>
      </c>
      <c r="C346">
        <f t="shared" si="17"/>
        <v>-4.0369149327547701E-3</v>
      </c>
      <c r="K346">
        <f t="shared" si="15"/>
        <v>1403</v>
      </c>
      <c r="L346" s="5">
        <f t="shared" si="16"/>
        <v>-0.17084397134488594</v>
      </c>
    </row>
    <row r="347" spans="1:12" x14ac:dyDescent="0.3">
      <c r="A347" s="2">
        <v>45517</v>
      </c>
      <c r="B347">
        <v>1158.609741210938</v>
      </c>
      <c r="C347">
        <f t="shared" si="17"/>
        <v>-5.6053255333743425E-3</v>
      </c>
      <c r="K347">
        <f t="shared" si="15"/>
        <v>1403</v>
      </c>
      <c r="L347" s="5">
        <f t="shared" si="16"/>
        <v>-0.17419120369854746</v>
      </c>
    </row>
    <row r="348" spans="1:12" x14ac:dyDescent="0.3">
      <c r="A348" s="2">
        <v>45518</v>
      </c>
      <c r="B348">
        <v>1152.115356445312</v>
      </c>
      <c r="C348">
        <f t="shared" si="17"/>
        <v>1.192439730374527E-2</v>
      </c>
      <c r="K348">
        <f t="shared" si="15"/>
        <v>1403</v>
      </c>
      <c r="L348" s="5">
        <f t="shared" si="16"/>
        <v>-0.17882013083014114</v>
      </c>
    </row>
    <row r="349" spans="1:12" x14ac:dyDescent="0.3">
      <c r="A349" s="2">
        <v>45520</v>
      </c>
      <c r="B349">
        <v>1165.853637695312</v>
      </c>
      <c r="C349">
        <f t="shared" si="17"/>
        <v>-1.1655304291121688E-2</v>
      </c>
      <c r="K349">
        <f t="shared" si="15"/>
        <v>1403</v>
      </c>
      <c r="L349" s="5">
        <f t="shared" si="16"/>
        <v>-0.16902805581232216</v>
      </c>
    </row>
    <row r="350" spans="1:12" x14ac:dyDescent="0.3">
      <c r="A350" s="2">
        <v>45523</v>
      </c>
      <c r="B350">
        <v>1152.265258789062</v>
      </c>
      <c r="C350">
        <f t="shared" si="17"/>
        <v>1.2789960163600527E-2</v>
      </c>
      <c r="K350">
        <f t="shared" si="15"/>
        <v>1403</v>
      </c>
      <c r="L350" s="5">
        <f t="shared" si="16"/>
        <v>-0.17871328667921449</v>
      </c>
    </row>
    <row r="351" spans="1:12" x14ac:dyDescent="0.3">
      <c r="A351" s="2">
        <v>45524</v>
      </c>
      <c r="B351">
        <v>1167.002685546875</v>
      </c>
      <c r="C351">
        <f t="shared" si="17"/>
        <v>5.4794486158388118E-3</v>
      </c>
      <c r="K351">
        <f t="shared" si="15"/>
        <v>1403</v>
      </c>
      <c r="L351" s="5">
        <f t="shared" si="16"/>
        <v>-0.1682090623329473</v>
      </c>
    </row>
    <row r="352" spans="1:12" x14ac:dyDescent="0.3">
      <c r="A352" s="2">
        <v>45525</v>
      </c>
      <c r="B352">
        <v>1173.397216796875</v>
      </c>
      <c r="C352">
        <f t="shared" si="17"/>
        <v>-3.7892445958218855E-3</v>
      </c>
      <c r="K352">
        <f t="shared" si="15"/>
        <v>1403</v>
      </c>
      <c r="L352" s="5">
        <f t="shared" si="16"/>
        <v>-0.16365130663088023</v>
      </c>
    </row>
    <row r="353" spans="1:12" x14ac:dyDescent="0.3">
      <c r="A353" s="2">
        <v>45526</v>
      </c>
      <c r="B353">
        <v>1168.950927734375</v>
      </c>
      <c r="C353">
        <f t="shared" si="17"/>
        <v>-3.4189476533425175E-3</v>
      </c>
      <c r="K353">
        <f t="shared" si="15"/>
        <v>1403</v>
      </c>
      <c r="L353" s="5">
        <f t="shared" si="16"/>
        <v>-0.16682043639745192</v>
      </c>
    </row>
    <row r="354" spans="1:12" x14ac:dyDescent="0.3">
      <c r="A354" s="2">
        <v>45527</v>
      </c>
      <c r="B354">
        <v>1164.954345703125</v>
      </c>
      <c r="C354">
        <f t="shared" si="17"/>
        <v>3.730992173990858E-3</v>
      </c>
      <c r="K354">
        <f t="shared" si="15"/>
        <v>1403</v>
      </c>
      <c r="L354" s="5">
        <f t="shared" si="16"/>
        <v>-0.16966903371124376</v>
      </c>
    </row>
    <row r="355" spans="1:12" x14ac:dyDescent="0.3">
      <c r="A355" s="2">
        <v>45530</v>
      </c>
      <c r="B355">
        <v>1169.30078125</v>
      </c>
      <c r="C355">
        <f t="shared" si="17"/>
        <v>9.3564905909978378E-3</v>
      </c>
      <c r="K355">
        <f t="shared" si="15"/>
        <v>1403</v>
      </c>
      <c r="L355" s="5">
        <f t="shared" si="16"/>
        <v>-0.16657107537419813</v>
      </c>
    </row>
    <row r="356" spans="1:12" x14ac:dyDescent="0.3">
      <c r="A356" s="2">
        <v>45531</v>
      </c>
      <c r="B356">
        <v>1180.241333007812</v>
      </c>
      <c r="C356">
        <f t="shared" si="17"/>
        <v>-8.7196232480666498E-3</v>
      </c>
      <c r="K356">
        <f t="shared" si="15"/>
        <v>1403</v>
      </c>
      <c r="L356" s="5">
        <f t="shared" si="16"/>
        <v>-0.15877310548267143</v>
      </c>
    </row>
    <row r="357" spans="1:12" x14ac:dyDescent="0.3">
      <c r="A357" s="2">
        <v>45532</v>
      </c>
      <c r="B357">
        <v>1169.950073242188</v>
      </c>
      <c r="C357">
        <f t="shared" si="17"/>
        <v>3.8004092347106392E-3</v>
      </c>
      <c r="K357">
        <f t="shared" si="15"/>
        <v>1403</v>
      </c>
      <c r="L357" s="5">
        <f t="shared" si="16"/>
        <v>-0.1661082870690036</v>
      </c>
    </row>
    <row r="358" spans="1:12" x14ac:dyDescent="0.3">
      <c r="A358" s="2">
        <v>45533</v>
      </c>
      <c r="B358">
        <v>1174.396362304688</v>
      </c>
      <c r="C358">
        <f t="shared" si="17"/>
        <v>-1.2764203684676351E-4</v>
      </c>
      <c r="K358">
        <f t="shared" si="15"/>
        <v>1403</v>
      </c>
      <c r="L358" s="5">
        <f t="shared" si="16"/>
        <v>-0.16293915730243191</v>
      </c>
    </row>
    <row r="359" spans="1:12" x14ac:dyDescent="0.3">
      <c r="A359" s="2">
        <v>45534</v>
      </c>
      <c r="B359">
        <v>1174.246459960938</v>
      </c>
      <c r="C359">
        <f t="shared" si="17"/>
        <v>1.1529480913987521E-2</v>
      </c>
      <c r="K359">
        <f t="shared" si="15"/>
        <v>1403</v>
      </c>
      <c r="L359" s="5">
        <f t="shared" si="16"/>
        <v>-0.16304600145335857</v>
      </c>
    </row>
    <row r="360" spans="1:12" x14ac:dyDescent="0.3">
      <c r="A360" s="2">
        <v>45537</v>
      </c>
      <c r="B360">
        <v>1187.784912109375</v>
      </c>
      <c r="C360">
        <f t="shared" si="17"/>
        <v>2.3553148329749011E-3</v>
      </c>
      <c r="K360">
        <f t="shared" si="15"/>
        <v>1403</v>
      </c>
      <c r="L360" s="5">
        <f t="shared" si="16"/>
        <v>-0.1533963563012295</v>
      </c>
    </row>
    <row r="361" spans="1:12" x14ac:dyDescent="0.3">
      <c r="A361" s="2">
        <v>45538</v>
      </c>
      <c r="B361">
        <v>1190.58251953125</v>
      </c>
      <c r="C361">
        <f t="shared" si="17"/>
        <v>-1.1665032339982603E-2</v>
      </c>
      <c r="K361">
        <f t="shared" si="15"/>
        <v>1403</v>
      </c>
      <c r="L361" s="5">
        <f t="shared" si="16"/>
        <v>-0.15140233818157522</v>
      </c>
    </row>
    <row r="362" spans="1:12" x14ac:dyDescent="0.3">
      <c r="A362" s="2">
        <v>45539</v>
      </c>
      <c r="B362">
        <v>1176.6943359375</v>
      </c>
      <c r="C362">
        <f t="shared" si="17"/>
        <v>2.420047554432397E-3</v>
      </c>
      <c r="K362">
        <f t="shared" si="15"/>
        <v>1403</v>
      </c>
      <c r="L362" s="5">
        <f t="shared" si="16"/>
        <v>-0.16130125735032075</v>
      </c>
    </row>
    <row r="363" spans="1:12" x14ac:dyDescent="0.3">
      <c r="A363" s="2">
        <v>45540</v>
      </c>
      <c r="B363">
        <v>1179.5419921875</v>
      </c>
      <c r="C363">
        <f t="shared" si="17"/>
        <v>-1.8466060797234098E-2</v>
      </c>
      <c r="K363">
        <f t="shared" si="15"/>
        <v>1403</v>
      </c>
      <c r="L363" s="5">
        <f t="shared" si="16"/>
        <v>-0.15927156650926588</v>
      </c>
    </row>
    <row r="364" spans="1:12" x14ac:dyDescent="0.3">
      <c r="A364" s="2">
        <v>45541</v>
      </c>
      <c r="B364">
        <v>1157.760498046875</v>
      </c>
      <c r="C364">
        <f t="shared" si="17"/>
        <v>1.0442333885188023E-2</v>
      </c>
      <c r="K364">
        <f t="shared" si="15"/>
        <v>1403</v>
      </c>
      <c r="L364" s="5">
        <f t="shared" si="16"/>
        <v>-0.17479650887606912</v>
      </c>
    </row>
    <row r="365" spans="1:12" x14ac:dyDescent="0.3">
      <c r="A365" s="2">
        <v>45544</v>
      </c>
      <c r="B365">
        <v>1169.850219726562</v>
      </c>
      <c r="C365">
        <f t="shared" si="17"/>
        <v>1.3964127393862713E-2</v>
      </c>
      <c r="K365">
        <f t="shared" si="15"/>
        <v>1403</v>
      </c>
      <c r="L365" s="5">
        <f t="shared" si="16"/>
        <v>-0.16617945849853022</v>
      </c>
    </row>
    <row r="366" spans="1:12" x14ac:dyDescent="0.3">
      <c r="A366" s="2">
        <v>45545</v>
      </c>
      <c r="B366">
        <v>1186.186157226562</v>
      </c>
      <c r="C366">
        <f t="shared" si="17"/>
        <v>-9.2649793351713846E-4</v>
      </c>
      <c r="K366">
        <f t="shared" si="15"/>
        <v>1403</v>
      </c>
      <c r="L366" s="5">
        <f t="shared" si="16"/>
        <v>-0.1545358822333841</v>
      </c>
    </row>
    <row r="367" spans="1:12" x14ac:dyDescent="0.3">
      <c r="A367" s="2">
        <v>45546</v>
      </c>
      <c r="B367">
        <v>1185.087158203125</v>
      </c>
      <c r="C367">
        <f t="shared" si="17"/>
        <v>1.4543427774814273E-2</v>
      </c>
      <c r="K367">
        <f t="shared" si="15"/>
        <v>1403</v>
      </c>
      <c r="L367" s="5">
        <f t="shared" si="16"/>
        <v>-0.15531920299135782</v>
      </c>
    </row>
    <row r="368" spans="1:12" x14ac:dyDescent="0.3">
      <c r="A368" s="2">
        <v>45547</v>
      </c>
      <c r="B368">
        <v>1202.322387695312</v>
      </c>
      <c r="C368">
        <f t="shared" si="17"/>
        <v>1.1717333752985963E-2</v>
      </c>
      <c r="K368">
        <f t="shared" si="15"/>
        <v>1403</v>
      </c>
      <c r="L368" s="5">
        <f t="shared" si="16"/>
        <v>-0.14303464882729011</v>
      </c>
    </row>
    <row r="369" spans="1:12" x14ac:dyDescent="0.3">
      <c r="A369" s="2">
        <v>45548</v>
      </c>
      <c r="B369">
        <v>1216.410400390625</v>
      </c>
      <c r="C369">
        <f t="shared" si="17"/>
        <v>1.1170983881919531E-2</v>
      </c>
      <c r="K369">
        <f t="shared" si="15"/>
        <v>1403</v>
      </c>
      <c r="L369" s="5">
        <f t="shared" si="16"/>
        <v>-0.13299329979285457</v>
      </c>
    </row>
    <row r="370" spans="1:12" x14ac:dyDescent="0.3">
      <c r="A370" s="2">
        <v>45551</v>
      </c>
      <c r="B370">
        <v>1229.998901367188</v>
      </c>
      <c r="C370">
        <f t="shared" si="17"/>
        <v>8.5280579856299014E-4</v>
      </c>
      <c r="K370">
        <f t="shared" si="15"/>
        <v>1403</v>
      </c>
      <c r="L370" s="5">
        <f t="shared" si="16"/>
        <v>-0.12330798191932435</v>
      </c>
    </row>
    <row r="371" spans="1:12" x14ac:dyDescent="0.3">
      <c r="A371" s="2">
        <v>45552</v>
      </c>
      <c r="B371">
        <v>1231.0478515625</v>
      </c>
      <c r="C371">
        <f t="shared" si="17"/>
        <v>6.7770684114536054E-3</v>
      </c>
      <c r="K371">
        <f t="shared" si="15"/>
        <v>1403</v>
      </c>
      <c r="L371" s="5">
        <f t="shared" si="16"/>
        <v>-0.12256033388275123</v>
      </c>
    </row>
    <row r="372" spans="1:12" x14ac:dyDescent="0.3">
      <c r="A372" s="2">
        <v>45553</v>
      </c>
      <c r="B372">
        <v>1239.390747070312</v>
      </c>
      <c r="C372">
        <f t="shared" si="17"/>
        <v>1.8138322238680274E-3</v>
      </c>
      <c r="K372">
        <f t="shared" si="15"/>
        <v>1403</v>
      </c>
      <c r="L372" s="5">
        <f t="shared" si="16"/>
        <v>-0.11661386523855166</v>
      </c>
    </row>
    <row r="373" spans="1:12" x14ac:dyDescent="0.3">
      <c r="A373" s="2">
        <v>45554</v>
      </c>
      <c r="B373">
        <v>1241.638793945312</v>
      </c>
      <c r="C373">
        <f t="shared" si="17"/>
        <v>1.850856879095813E-3</v>
      </c>
      <c r="K373">
        <f t="shared" si="15"/>
        <v>1403</v>
      </c>
      <c r="L373" s="5">
        <f t="shared" si="16"/>
        <v>-0.11501155100120308</v>
      </c>
    </row>
    <row r="374" spans="1:12" x14ac:dyDescent="0.3">
      <c r="A374" s="2">
        <v>45555</v>
      </c>
      <c r="B374">
        <v>1243.936889648438</v>
      </c>
      <c r="C374">
        <f t="shared" si="17"/>
        <v>1.4457822812621365E-3</v>
      </c>
      <c r="K374">
        <f t="shared" si="15"/>
        <v>1403</v>
      </c>
      <c r="L374" s="5">
        <f t="shared" si="16"/>
        <v>-0.11337356404245336</v>
      </c>
    </row>
    <row r="375" spans="1:12" x14ac:dyDescent="0.3">
      <c r="A375" s="2">
        <v>45558</v>
      </c>
      <c r="B375">
        <v>1245.7353515625</v>
      </c>
      <c r="C375">
        <f t="shared" si="17"/>
        <v>-5.814858191971777E-3</v>
      </c>
      <c r="K375">
        <f t="shared" si="15"/>
        <v>1403</v>
      </c>
      <c r="L375" s="5">
        <f t="shared" si="16"/>
        <v>-0.11209169525124729</v>
      </c>
    </row>
    <row r="376" spans="1:12" x14ac:dyDescent="0.3">
      <c r="A376" s="2">
        <v>45559</v>
      </c>
      <c r="B376">
        <v>1238.491577148438</v>
      </c>
      <c r="C376">
        <f t="shared" si="17"/>
        <v>2.3032464024495464E-2</v>
      </c>
      <c r="K376">
        <f t="shared" si="15"/>
        <v>1403</v>
      </c>
      <c r="L376" s="5">
        <f t="shared" si="16"/>
        <v>-0.11725475613083536</v>
      </c>
    </row>
    <row r="377" spans="1:12" x14ac:dyDescent="0.3">
      <c r="A377" s="2">
        <v>45560</v>
      </c>
      <c r="B377">
        <v>1267.01708984375</v>
      </c>
      <c r="C377">
        <f t="shared" si="17"/>
        <v>7.0973246633429053E-3</v>
      </c>
      <c r="K377">
        <f t="shared" si="15"/>
        <v>1403</v>
      </c>
      <c r="L377" s="5">
        <f t="shared" si="16"/>
        <v>-9.6922958058624387E-2</v>
      </c>
    </row>
    <row r="378" spans="1:12" x14ac:dyDescent="0.3">
      <c r="A378" s="2">
        <v>45561</v>
      </c>
      <c r="B378">
        <v>1276.009521484375</v>
      </c>
      <c r="C378">
        <f t="shared" si="17"/>
        <v>-3.0929669465521877E-3</v>
      </c>
      <c r="K378">
        <f t="shared" si="15"/>
        <v>1403</v>
      </c>
      <c r="L378" s="5">
        <f t="shared" si="16"/>
        <v>-9.051352709595506E-2</v>
      </c>
    </row>
    <row r="379" spans="1:12" x14ac:dyDescent="0.3">
      <c r="A379" s="2">
        <v>45562</v>
      </c>
      <c r="B379">
        <v>1272.062866210938</v>
      </c>
      <c r="C379">
        <f t="shared" si="17"/>
        <v>-3.2164321551475368E-2</v>
      </c>
      <c r="K379">
        <f t="shared" si="15"/>
        <v>1403</v>
      </c>
      <c r="L379" s="5">
        <f t="shared" si="16"/>
        <v>-9.3326538694983641E-2</v>
      </c>
    </row>
    <row r="380" spans="1:12" x14ac:dyDescent="0.3">
      <c r="A380" s="2">
        <v>45565</v>
      </c>
      <c r="B380">
        <v>1231.147827148438</v>
      </c>
      <c r="C380">
        <f t="shared" si="17"/>
        <v>-4.5041610468353338E-3</v>
      </c>
      <c r="K380">
        <f t="shared" si="15"/>
        <v>1403</v>
      </c>
      <c r="L380" s="5">
        <f t="shared" si="16"/>
        <v>-0.12248907544658738</v>
      </c>
    </row>
    <row r="381" spans="1:12" x14ac:dyDescent="0.3">
      <c r="A381" s="2">
        <v>45566</v>
      </c>
      <c r="B381">
        <v>1225.6025390625</v>
      </c>
      <c r="C381">
        <f t="shared" si="17"/>
        <v>-4.1535891545692212E-2</v>
      </c>
      <c r="K381">
        <f t="shared" si="15"/>
        <v>1403</v>
      </c>
      <c r="L381" s="5">
        <f t="shared" si="16"/>
        <v>-0.12644152597113334</v>
      </c>
    </row>
    <row r="382" spans="1:12" x14ac:dyDescent="0.3">
      <c r="A382" s="2">
        <v>45568</v>
      </c>
      <c r="B382">
        <v>1174.696044921875</v>
      </c>
      <c r="C382">
        <f t="shared" si="17"/>
        <v>2.2965548559665222E-3</v>
      </c>
      <c r="K382">
        <f t="shared" si="15"/>
        <v>1403</v>
      </c>
      <c r="L382" s="5">
        <f t="shared" si="16"/>
        <v>-0.16272555600721672</v>
      </c>
    </row>
    <row r="383" spans="1:12" x14ac:dyDescent="0.3">
      <c r="A383" s="2">
        <v>45569</v>
      </c>
      <c r="B383">
        <v>1177.393798828125</v>
      </c>
      <c r="C383">
        <f t="shared" si="17"/>
        <v>-2.7749525412095744E-2</v>
      </c>
      <c r="K383">
        <f t="shared" si="15"/>
        <v>1403</v>
      </c>
      <c r="L383" s="5">
        <f t="shared" si="16"/>
        <v>-0.1608027093170884</v>
      </c>
    </row>
    <row r="384" spans="1:12" x14ac:dyDescent="0.3">
      <c r="A384" s="2">
        <v>45572</v>
      </c>
      <c r="B384">
        <v>1144.7216796875</v>
      </c>
      <c r="C384">
        <f t="shared" si="17"/>
        <v>6.6336019177700521E-3</v>
      </c>
      <c r="K384">
        <f t="shared" si="15"/>
        <v>1403</v>
      </c>
      <c r="L384" s="5">
        <f t="shared" si="16"/>
        <v>-0.18409003586065575</v>
      </c>
    </row>
    <row r="385" spans="1:12" x14ac:dyDescent="0.3">
      <c r="A385" s="2">
        <v>45573</v>
      </c>
      <c r="B385">
        <v>1152.315307617188</v>
      </c>
      <c r="C385">
        <f t="shared" si="17"/>
        <v>1.4610212307146587E-2</v>
      </c>
      <c r="K385">
        <f t="shared" si="15"/>
        <v>1403</v>
      </c>
      <c r="L385" s="5">
        <f t="shared" si="16"/>
        <v>-0.17867761395781334</v>
      </c>
    </row>
    <row r="386" spans="1:12" x14ac:dyDescent="0.3">
      <c r="A386" s="2">
        <v>45574</v>
      </c>
      <c r="B386">
        <v>1169.15087890625</v>
      </c>
      <c r="C386">
        <f t="shared" si="17"/>
        <v>1.2049677145330751E-2</v>
      </c>
      <c r="K386">
        <f t="shared" ref="K386:K449" si="18">MAX(B386:B1125)</f>
        <v>1403</v>
      </c>
      <c r="L386" s="5">
        <f t="shared" ref="L386:L449" si="19">B386/K386-1</f>
        <v>-0.16667791952512478</v>
      </c>
    </row>
    <row r="387" spans="1:12" x14ac:dyDescent="0.3">
      <c r="A387" s="2">
        <v>45575</v>
      </c>
      <c r="B387">
        <v>1183.23876953125</v>
      </c>
      <c r="C387">
        <f t="shared" ref="C387:C450" si="20">(B388-B387)/B387</f>
        <v>-9.9641063965970542E-3</v>
      </c>
      <c r="K387">
        <f t="shared" si="18"/>
        <v>1403</v>
      </c>
      <c r="L387" s="5">
        <f t="shared" si="19"/>
        <v>-0.15663665749732714</v>
      </c>
    </row>
    <row r="388" spans="1:12" x14ac:dyDescent="0.3">
      <c r="A388" s="2">
        <v>45576</v>
      </c>
      <c r="B388">
        <v>1171.448852539062</v>
      </c>
      <c r="C388">
        <f t="shared" si="20"/>
        <v>-6.9086581380787843E-3</v>
      </c>
      <c r="K388">
        <f t="shared" si="18"/>
        <v>1403</v>
      </c>
      <c r="L388" s="5">
        <f t="shared" si="19"/>
        <v>-0.16504001957301351</v>
      </c>
    </row>
    <row r="389" spans="1:12" x14ac:dyDescent="0.3">
      <c r="A389" s="2">
        <v>45579</v>
      </c>
      <c r="B389">
        <v>1163.355712890625</v>
      </c>
      <c r="C389">
        <f t="shared" si="20"/>
        <v>-9.0178495542070948E-3</v>
      </c>
      <c r="K389">
        <f t="shared" si="18"/>
        <v>1403</v>
      </c>
      <c r="L389" s="5">
        <f t="shared" si="19"/>
        <v>-0.17080847263676047</v>
      </c>
    </row>
    <row r="390" spans="1:12" x14ac:dyDescent="0.3">
      <c r="A390" s="2">
        <v>45580</v>
      </c>
      <c r="B390">
        <v>1152.86474609375</v>
      </c>
      <c r="C390">
        <f t="shared" si="20"/>
        <v>-5.6341052583389994E-4</v>
      </c>
      <c r="K390">
        <f t="shared" si="18"/>
        <v>1403</v>
      </c>
      <c r="L390" s="5">
        <f t="shared" si="19"/>
        <v>-0.17828599708214543</v>
      </c>
    </row>
    <row r="391" spans="1:12" x14ac:dyDescent="0.3">
      <c r="A391" s="2">
        <v>45581</v>
      </c>
      <c r="B391">
        <v>1152.215209960938</v>
      </c>
      <c r="C391">
        <f t="shared" si="20"/>
        <v>-1.8513611740801558E-2</v>
      </c>
      <c r="K391">
        <f t="shared" si="18"/>
        <v>1403</v>
      </c>
      <c r="L391" s="5">
        <f t="shared" si="19"/>
        <v>-0.17874895940061442</v>
      </c>
    </row>
    <row r="392" spans="1:12" x14ac:dyDescent="0.3">
      <c r="A392" s="2">
        <v>45582</v>
      </c>
      <c r="B392">
        <v>1130.883544921875</v>
      </c>
      <c r="C392">
        <f t="shared" si="20"/>
        <v>5.7428068786958539E-2</v>
      </c>
      <c r="K392">
        <f t="shared" si="18"/>
        <v>1403</v>
      </c>
      <c r="L392" s="5">
        <f t="shared" si="19"/>
        <v>-0.19395328230800069</v>
      </c>
    </row>
    <row r="393" spans="1:12" x14ac:dyDescent="0.3">
      <c r="A393" s="2">
        <v>45583</v>
      </c>
      <c r="B393">
        <v>1195.828002929688</v>
      </c>
      <c r="C393">
        <f t="shared" si="20"/>
        <v>-5.4726193962717782E-3</v>
      </c>
      <c r="K393">
        <f t="shared" si="18"/>
        <v>1403</v>
      </c>
      <c r="L393" s="5">
        <f t="shared" si="19"/>
        <v>-0.14766357595888246</v>
      </c>
    </row>
    <row r="394" spans="1:12" x14ac:dyDescent="0.3">
      <c r="A394" s="2">
        <v>45586</v>
      </c>
      <c r="B394">
        <v>1189.28369140625</v>
      </c>
      <c r="C394">
        <f t="shared" si="20"/>
        <v>-1.2223929270712646E-2</v>
      </c>
      <c r="K394">
        <f t="shared" si="18"/>
        <v>1403</v>
      </c>
      <c r="L394" s="5">
        <f t="shared" si="19"/>
        <v>-0.15232808880523874</v>
      </c>
    </row>
    <row r="395" spans="1:12" x14ac:dyDescent="0.3">
      <c r="A395" s="2">
        <v>45587</v>
      </c>
      <c r="B395">
        <v>1174.745971679688</v>
      </c>
      <c r="C395">
        <f t="shared" si="20"/>
        <v>-1.305541143525603E-2</v>
      </c>
      <c r="K395">
        <f t="shared" si="18"/>
        <v>1403</v>
      </c>
      <c r="L395" s="5">
        <f t="shared" si="19"/>
        <v>-0.16268997029245336</v>
      </c>
    </row>
    <row r="396" spans="1:12" x14ac:dyDescent="0.3">
      <c r="A396" s="2">
        <v>45588</v>
      </c>
      <c r="B396">
        <v>1159.4091796875</v>
      </c>
      <c r="C396">
        <f t="shared" si="20"/>
        <v>5.9892312810854919E-3</v>
      </c>
      <c r="K396">
        <f t="shared" si="18"/>
        <v>1403</v>
      </c>
      <c r="L396" s="5">
        <f t="shared" si="19"/>
        <v>-0.17362139722915182</v>
      </c>
    </row>
    <row r="397" spans="1:12" x14ac:dyDescent="0.3">
      <c r="A397" s="2">
        <v>45589</v>
      </c>
      <c r="B397">
        <v>1166.353149414062</v>
      </c>
      <c r="C397">
        <f t="shared" si="20"/>
        <v>1.8846094069295008E-2</v>
      </c>
      <c r="K397">
        <f t="shared" si="18"/>
        <v>1403</v>
      </c>
      <c r="L397" s="5">
        <f t="shared" si="19"/>
        <v>-0.16867202465141695</v>
      </c>
    </row>
    <row r="398" spans="1:12" x14ac:dyDescent="0.3">
      <c r="A398" s="2">
        <v>45590</v>
      </c>
      <c r="B398">
        <v>1188.334350585938</v>
      </c>
      <c r="C398">
        <f t="shared" si="20"/>
        <v>-1.4924033124341981E-2</v>
      </c>
      <c r="K398">
        <f t="shared" si="18"/>
        <v>1403</v>
      </c>
      <c r="L398" s="5">
        <f t="shared" si="19"/>
        <v>-0.15300473942556092</v>
      </c>
    </row>
    <row r="399" spans="1:12" x14ac:dyDescent="0.3">
      <c r="A399" s="2">
        <v>45593</v>
      </c>
      <c r="B399">
        <v>1170.599609375</v>
      </c>
      <c r="C399">
        <f t="shared" si="20"/>
        <v>1.3016353631535266E-2</v>
      </c>
      <c r="K399">
        <f t="shared" si="18"/>
        <v>1403</v>
      </c>
      <c r="L399" s="5">
        <f t="shared" si="19"/>
        <v>-0.16564532475053462</v>
      </c>
    </row>
    <row r="400" spans="1:12" x14ac:dyDescent="0.3">
      <c r="A400" s="2">
        <v>45594</v>
      </c>
      <c r="B400">
        <v>1185.836547851562</v>
      </c>
      <c r="C400">
        <f t="shared" si="20"/>
        <v>-1.3860184285696702E-2</v>
      </c>
      <c r="K400">
        <f t="shared" si="18"/>
        <v>1403</v>
      </c>
      <c r="L400" s="5">
        <f t="shared" si="19"/>
        <v>-0.15478506924336277</v>
      </c>
    </row>
    <row r="401" spans="1:12" x14ac:dyDescent="0.3">
      <c r="A401" s="2">
        <v>45595</v>
      </c>
      <c r="B401">
        <v>1169.400634765625</v>
      </c>
      <c r="C401">
        <f t="shared" si="20"/>
        <v>-9.2703030252414501E-3</v>
      </c>
      <c r="K401">
        <f t="shared" si="18"/>
        <v>1403</v>
      </c>
      <c r="L401" s="5">
        <f t="shared" si="19"/>
        <v>-0.16649990394467218</v>
      </c>
    </row>
    <row r="402" spans="1:12" x14ac:dyDescent="0.3">
      <c r="A402" s="2">
        <v>45596</v>
      </c>
      <c r="B402">
        <v>1158.559936523438</v>
      </c>
      <c r="C402">
        <f t="shared" si="20"/>
        <v>8.624029506929148E-3</v>
      </c>
      <c r="K402">
        <f t="shared" si="18"/>
        <v>1403</v>
      </c>
      <c r="L402" s="5">
        <f t="shared" si="19"/>
        <v>-0.17422670240667293</v>
      </c>
    </row>
    <row r="403" spans="1:12" x14ac:dyDescent="0.3">
      <c r="A403" s="2">
        <v>45597</v>
      </c>
      <c r="B403">
        <v>1168.551391601562</v>
      </c>
      <c r="C403">
        <f t="shared" si="20"/>
        <v>-2.5907435598858622E-2</v>
      </c>
      <c r="K403">
        <f t="shared" si="18"/>
        <v>1403</v>
      </c>
      <c r="L403" s="5">
        <f t="shared" si="19"/>
        <v>-0.16710520912219384</v>
      </c>
    </row>
    <row r="404" spans="1:12" x14ac:dyDescent="0.3">
      <c r="A404" s="2">
        <v>45600</v>
      </c>
      <c r="B404">
        <v>1138.277221679688</v>
      </c>
      <c r="C404">
        <f t="shared" si="20"/>
        <v>2.8483607150719816E-2</v>
      </c>
      <c r="K404">
        <f t="shared" si="18"/>
        <v>1403</v>
      </c>
      <c r="L404" s="5">
        <f t="shared" si="19"/>
        <v>-0.18868337727748541</v>
      </c>
    </row>
    <row r="405" spans="1:12" x14ac:dyDescent="0.3">
      <c r="A405" s="2">
        <v>45601</v>
      </c>
      <c r="B405">
        <v>1170.699462890625</v>
      </c>
      <c r="C405">
        <f t="shared" si="20"/>
        <v>-4.43799352892537E-3</v>
      </c>
      <c r="K405">
        <f t="shared" si="18"/>
        <v>1403</v>
      </c>
      <c r="L405" s="5">
        <f t="shared" si="19"/>
        <v>-0.16557415332100855</v>
      </c>
    </row>
    <row r="406" spans="1:12" x14ac:dyDescent="0.3">
      <c r="A406" s="2">
        <v>45602</v>
      </c>
      <c r="B406">
        <v>1165.50390625</v>
      </c>
      <c r="C406">
        <f t="shared" si="20"/>
        <v>-5.6579478766221811E-3</v>
      </c>
      <c r="K406">
        <f t="shared" si="18"/>
        <v>1403</v>
      </c>
      <c r="L406" s="5">
        <f t="shared" si="19"/>
        <v>-0.16927732982893795</v>
      </c>
    </row>
    <row r="407" spans="1:12" x14ac:dyDescent="0.3">
      <c r="A407" s="2">
        <v>45603</v>
      </c>
      <c r="B407">
        <v>1158.909545898438</v>
      </c>
      <c r="C407">
        <f t="shared" si="20"/>
        <v>9.0522359517783012E-4</v>
      </c>
      <c r="K407">
        <f t="shared" si="18"/>
        <v>1403</v>
      </c>
      <c r="L407" s="5">
        <f t="shared" si="19"/>
        <v>-0.17397751539669426</v>
      </c>
    </row>
    <row r="408" spans="1:12" x14ac:dyDescent="0.3">
      <c r="A408" s="2">
        <v>45604</v>
      </c>
      <c r="B408">
        <v>1159.958618164062</v>
      </c>
      <c r="C408">
        <f t="shared" si="20"/>
        <v>8.6567777065558651E-3</v>
      </c>
      <c r="K408">
        <f t="shared" si="18"/>
        <v>1403</v>
      </c>
      <c r="L408" s="5">
        <f t="shared" si="19"/>
        <v>-0.17322978035348391</v>
      </c>
    </row>
    <row r="409" spans="1:12" x14ac:dyDescent="0.3">
      <c r="A409" s="2">
        <v>45607</v>
      </c>
      <c r="B409">
        <v>1170.000122070312</v>
      </c>
      <c r="C409">
        <f t="shared" si="20"/>
        <v>-1.0973493947242919E-2</v>
      </c>
      <c r="K409">
        <f t="shared" si="18"/>
        <v>1403</v>
      </c>
      <c r="L409" s="5">
        <f t="shared" si="19"/>
        <v>-0.16607261434760368</v>
      </c>
    </row>
    <row r="410" spans="1:12" x14ac:dyDescent="0.3">
      <c r="A410" s="2">
        <v>45608</v>
      </c>
      <c r="B410">
        <v>1157.1611328125</v>
      </c>
      <c r="C410">
        <f t="shared" si="20"/>
        <v>-1.6405463431266126E-2</v>
      </c>
      <c r="K410">
        <f t="shared" si="18"/>
        <v>1403</v>
      </c>
      <c r="L410" s="5">
        <f t="shared" si="19"/>
        <v>-0.1752237114665004</v>
      </c>
    </row>
    <row r="411" spans="1:12" x14ac:dyDescent="0.3">
      <c r="A411" s="2">
        <v>45609</v>
      </c>
      <c r="B411">
        <v>1138.177368164062</v>
      </c>
      <c r="C411">
        <f t="shared" si="20"/>
        <v>1.3605823026281521E-3</v>
      </c>
      <c r="K411">
        <f t="shared" si="18"/>
        <v>1403</v>
      </c>
      <c r="L411" s="5">
        <f t="shared" si="19"/>
        <v>-0.18875454870701214</v>
      </c>
    </row>
    <row r="412" spans="1:12" x14ac:dyDescent="0.3">
      <c r="A412" s="2">
        <v>45610</v>
      </c>
      <c r="B412">
        <v>1139.725952148438</v>
      </c>
      <c r="C412">
        <f t="shared" si="20"/>
        <v>-1.2711539007362254E-2</v>
      </c>
      <c r="K412">
        <f t="shared" si="18"/>
        <v>1403</v>
      </c>
      <c r="L412" s="5">
        <f t="shared" si="19"/>
        <v>-0.18765078250289524</v>
      </c>
    </row>
    <row r="413" spans="1:12" x14ac:dyDescent="0.3">
      <c r="A413" s="2">
        <v>45614</v>
      </c>
      <c r="B413">
        <v>1125.23828125</v>
      </c>
      <c r="C413">
        <f t="shared" si="20"/>
        <v>6.8815719587170775E-3</v>
      </c>
      <c r="K413">
        <f t="shared" si="18"/>
        <v>1403</v>
      </c>
      <c r="L413" s="5">
        <f t="shared" si="19"/>
        <v>-0.19797699126870993</v>
      </c>
    </row>
    <row r="414" spans="1:12" x14ac:dyDescent="0.3">
      <c r="A414" s="2">
        <v>45615</v>
      </c>
      <c r="B414">
        <v>1132.981689453125</v>
      </c>
      <c r="C414">
        <f t="shared" si="20"/>
        <v>4.5858452606104601E-3</v>
      </c>
      <c r="K414">
        <f t="shared" si="18"/>
        <v>1403</v>
      </c>
      <c r="L414" s="5">
        <f t="shared" si="19"/>
        <v>-0.19245781222157876</v>
      </c>
    </row>
    <row r="415" spans="1:12" x14ac:dyDescent="0.3">
      <c r="A415" s="2">
        <v>45617</v>
      </c>
      <c r="B415">
        <v>1138.177368164062</v>
      </c>
      <c r="C415">
        <f t="shared" si="20"/>
        <v>2.852975708039988E-3</v>
      </c>
      <c r="K415">
        <f t="shared" si="18"/>
        <v>1403</v>
      </c>
      <c r="L415" s="5">
        <f t="shared" si="19"/>
        <v>-0.18875454870701214</v>
      </c>
    </row>
    <row r="416" spans="1:12" x14ac:dyDescent="0.3">
      <c r="A416" s="2">
        <v>45618</v>
      </c>
      <c r="B416">
        <v>1141.424560546875</v>
      </c>
      <c r="C416">
        <f t="shared" si="20"/>
        <v>1.1817165835165174E-2</v>
      </c>
      <c r="K416">
        <f t="shared" si="18"/>
        <v>1403</v>
      </c>
      <c r="L416" s="5">
        <f t="shared" si="19"/>
        <v>-0.18644008514121524</v>
      </c>
    </row>
    <row r="417" spans="1:12" x14ac:dyDescent="0.3">
      <c r="A417" s="2">
        <v>45621</v>
      </c>
      <c r="B417">
        <v>1154.912963867188</v>
      </c>
      <c r="C417">
        <f t="shared" si="20"/>
        <v>-9.6028483951093035E-3</v>
      </c>
      <c r="K417">
        <f t="shared" si="18"/>
        <v>1403</v>
      </c>
      <c r="L417" s="5">
        <f t="shared" si="19"/>
        <v>-0.17682611271048609</v>
      </c>
    </row>
    <row r="418" spans="1:12" x14ac:dyDescent="0.3">
      <c r="A418" s="2">
        <v>45622</v>
      </c>
      <c r="B418">
        <v>1143.822509765625</v>
      </c>
      <c r="C418">
        <f t="shared" si="20"/>
        <v>4.2365184754983437E-3</v>
      </c>
      <c r="K418">
        <f t="shared" si="18"/>
        <v>1403</v>
      </c>
      <c r="L418" s="5">
        <f t="shared" si="19"/>
        <v>-0.18473092675294012</v>
      </c>
    </row>
    <row r="419" spans="1:12" x14ac:dyDescent="0.3">
      <c r="A419" s="2">
        <v>45623</v>
      </c>
      <c r="B419">
        <v>1148.668334960938</v>
      </c>
      <c r="C419">
        <f t="shared" si="20"/>
        <v>-1.4917601064667345E-2</v>
      </c>
      <c r="K419">
        <f t="shared" si="18"/>
        <v>1403</v>
      </c>
      <c r="L419" s="5">
        <f t="shared" si="19"/>
        <v>-0.18127702426162651</v>
      </c>
    </row>
    <row r="420" spans="1:12" x14ac:dyDescent="0.3">
      <c r="A420" s="2">
        <v>45624</v>
      </c>
      <c r="B420">
        <v>1131.532958984375</v>
      </c>
      <c r="C420">
        <f t="shared" si="20"/>
        <v>3.3554063976138E-3</v>
      </c>
      <c r="K420">
        <f t="shared" si="18"/>
        <v>1403</v>
      </c>
      <c r="L420" s="5">
        <f t="shared" si="19"/>
        <v>-0.19349040699616893</v>
      </c>
    </row>
    <row r="421" spans="1:12" x14ac:dyDescent="0.3">
      <c r="A421" s="2">
        <v>45625</v>
      </c>
      <c r="B421">
        <v>1135.329711914062</v>
      </c>
      <c r="C421">
        <f t="shared" si="20"/>
        <v>7.0403900986826609E-4</v>
      </c>
      <c r="K421">
        <f t="shared" si="18"/>
        <v>1403</v>
      </c>
      <c r="L421" s="5">
        <f t="shared" si="19"/>
        <v>-0.190784239548067</v>
      </c>
    </row>
    <row r="422" spans="1:12" x14ac:dyDescent="0.3">
      <c r="A422" s="2">
        <v>45628</v>
      </c>
      <c r="B422">
        <v>1136.129028320312</v>
      </c>
      <c r="C422">
        <f t="shared" si="20"/>
        <v>2.0578652864260208E-2</v>
      </c>
      <c r="K422">
        <f t="shared" si="18"/>
        <v>1403</v>
      </c>
      <c r="L422" s="5">
        <f t="shared" si="19"/>
        <v>-0.19021452008530859</v>
      </c>
    </row>
    <row r="423" spans="1:12" x14ac:dyDescent="0.3">
      <c r="A423" s="2">
        <v>45629</v>
      </c>
      <c r="B423">
        <v>1159.509033203125</v>
      </c>
      <c r="C423">
        <f t="shared" si="20"/>
        <v>-9.0475557808028008E-4</v>
      </c>
      <c r="K423">
        <f t="shared" si="18"/>
        <v>1403</v>
      </c>
      <c r="L423" s="5">
        <f t="shared" si="19"/>
        <v>-0.17355022579962576</v>
      </c>
    </row>
    <row r="424" spans="1:12" x14ac:dyDescent="0.3">
      <c r="A424" s="2">
        <v>45630</v>
      </c>
      <c r="B424">
        <v>1158.4599609375</v>
      </c>
      <c r="C424">
        <f t="shared" si="20"/>
        <v>5.9942441094428473E-3</v>
      </c>
      <c r="K424">
        <f t="shared" si="18"/>
        <v>1403</v>
      </c>
      <c r="L424" s="5">
        <f t="shared" si="19"/>
        <v>-0.17429796084283677</v>
      </c>
    </row>
    <row r="425" spans="1:12" x14ac:dyDescent="0.3">
      <c r="A425" s="2">
        <v>45631</v>
      </c>
      <c r="B425">
        <v>1165.404052734375</v>
      </c>
      <c r="C425">
        <f t="shared" si="20"/>
        <v>1.5560715995303231E-2</v>
      </c>
      <c r="K425">
        <f t="shared" si="18"/>
        <v>1403</v>
      </c>
      <c r="L425" s="5">
        <f t="shared" si="19"/>
        <v>-0.16934850125846401</v>
      </c>
    </row>
    <row r="426" spans="1:12" x14ac:dyDescent="0.3">
      <c r="A426" s="2">
        <v>45632</v>
      </c>
      <c r="B426">
        <v>1183.53857421875</v>
      </c>
      <c r="C426">
        <f t="shared" si="20"/>
        <v>-1.7981551945284193E-2</v>
      </c>
      <c r="K426">
        <f t="shared" si="18"/>
        <v>1403</v>
      </c>
      <c r="L426" s="5">
        <f t="shared" si="19"/>
        <v>-0.15642296919547394</v>
      </c>
    </row>
    <row r="427" spans="1:12" x14ac:dyDescent="0.3">
      <c r="A427" s="2">
        <v>45635</v>
      </c>
      <c r="B427">
        <v>1162.256713867188</v>
      </c>
      <c r="C427">
        <f t="shared" si="20"/>
        <v>-8.2527351836799642E-3</v>
      </c>
      <c r="K427">
        <f t="shared" si="18"/>
        <v>1403</v>
      </c>
      <c r="L427" s="5">
        <f t="shared" si="19"/>
        <v>-0.17159179339473418</v>
      </c>
    </row>
    <row r="428" spans="1:12" x14ac:dyDescent="0.3">
      <c r="A428" s="2">
        <v>45636</v>
      </c>
      <c r="B428">
        <v>1152.664916992188</v>
      </c>
      <c r="C428">
        <f t="shared" si="20"/>
        <v>-5.5476063821619185E-3</v>
      </c>
      <c r="K428">
        <f t="shared" si="18"/>
        <v>1403</v>
      </c>
      <c r="L428" s="5">
        <f t="shared" si="19"/>
        <v>-0.17842842694783467</v>
      </c>
    </row>
    <row r="429" spans="1:12" x14ac:dyDescent="0.3">
      <c r="A429" s="2">
        <v>45637</v>
      </c>
      <c r="B429">
        <v>1146.270385742188</v>
      </c>
      <c r="C429">
        <f t="shared" si="20"/>
        <v>-1.3946385009893771E-3</v>
      </c>
      <c r="K429">
        <f t="shared" si="18"/>
        <v>1403</v>
      </c>
      <c r="L429" s="5">
        <f t="shared" si="19"/>
        <v>-0.18298618264990163</v>
      </c>
    </row>
    <row r="430" spans="1:12" x14ac:dyDescent="0.3">
      <c r="A430" s="2">
        <v>45638</v>
      </c>
      <c r="B430">
        <v>1144.671752929688</v>
      </c>
      <c r="C430">
        <f t="shared" si="20"/>
        <v>2.1822193116007482E-3</v>
      </c>
      <c r="K430">
        <f t="shared" si="18"/>
        <v>1403</v>
      </c>
      <c r="L430" s="5">
        <f t="shared" si="19"/>
        <v>-0.18412562157541845</v>
      </c>
    </row>
    <row r="431" spans="1:12" x14ac:dyDescent="0.3">
      <c r="A431" s="2">
        <v>45639</v>
      </c>
      <c r="B431">
        <v>1147.169677734375</v>
      </c>
      <c r="C431">
        <f t="shared" si="20"/>
        <v>2.3950760267446611E-3</v>
      </c>
      <c r="K431">
        <f t="shared" si="18"/>
        <v>1403</v>
      </c>
      <c r="L431" s="5">
        <f t="shared" si="19"/>
        <v>-0.18234520475098004</v>
      </c>
    </row>
    <row r="432" spans="1:12" x14ac:dyDescent="0.3">
      <c r="A432" s="2">
        <v>45642</v>
      </c>
      <c r="B432">
        <v>1149.917236328125</v>
      </c>
      <c r="C432">
        <f t="shared" si="20"/>
        <v>-1.2729134505901303E-2</v>
      </c>
      <c r="K432">
        <f t="shared" si="18"/>
        <v>1403</v>
      </c>
      <c r="L432" s="5">
        <f t="shared" si="19"/>
        <v>-0.18038685935272625</v>
      </c>
    </row>
    <row r="433" spans="1:12" x14ac:dyDescent="0.3">
      <c r="A433" s="2">
        <v>45643</v>
      </c>
      <c r="B433">
        <v>1135.27978515625</v>
      </c>
      <c r="C433">
        <f t="shared" si="20"/>
        <v>-1.2321224505419877E-2</v>
      </c>
      <c r="K433">
        <f t="shared" si="18"/>
        <v>1403</v>
      </c>
      <c r="L433" s="5">
        <f t="shared" si="19"/>
        <v>-0.1908198252628297</v>
      </c>
    </row>
    <row r="434" spans="1:12" x14ac:dyDescent="0.3">
      <c r="A434" s="2">
        <v>45644</v>
      </c>
      <c r="B434">
        <v>1121.291748046875</v>
      </c>
      <c r="C434">
        <f t="shared" si="20"/>
        <v>-1.1895764924792246E-2</v>
      </c>
      <c r="K434">
        <f t="shared" si="18"/>
        <v>1403</v>
      </c>
      <c r="L434" s="5">
        <f t="shared" si="19"/>
        <v>-0.20078991586110118</v>
      </c>
    </row>
    <row r="435" spans="1:12" x14ac:dyDescent="0.3">
      <c r="A435" s="2">
        <v>45645</v>
      </c>
      <c r="B435">
        <v>1107.953125</v>
      </c>
      <c r="C435">
        <f t="shared" si="20"/>
        <v>-3.341155124878406E-2</v>
      </c>
      <c r="K435">
        <f t="shared" si="18"/>
        <v>1403</v>
      </c>
      <c r="L435" s="5">
        <f t="shared" si="19"/>
        <v>-0.21029713114754101</v>
      </c>
    </row>
    <row r="436" spans="1:12" x14ac:dyDescent="0.3">
      <c r="A436" s="2">
        <v>45646</v>
      </c>
      <c r="B436">
        <v>1070.934692382812</v>
      </c>
      <c r="C436">
        <f t="shared" si="20"/>
        <v>6.8107077808445236E-3</v>
      </c>
      <c r="K436">
        <f t="shared" si="18"/>
        <v>1403</v>
      </c>
      <c r="L436" s="5">
        <f t="shared" si="19"/>
        <v>-0.23668232902151676</v>
      </c>
    </row>
    <row r="437" spans="1:12" x14ac:dyDescent="0.3">
      <c r="A437" s="2">
        <v>45649</v>
      </c>
      <c r="B437">
        <v>1078.228515625</v>
      </c>
      <c r="C437">
        <f t="shared" si="20"/>
        <v>-2.3163536834325691E-4</v>
      </c>
      <c r="K437">
        <f t="shared" si="18"/>
        <v>1403</v>
      </c>
      <c r="L437" s="5">
        <f t="shared" si="19"/>
        <v>-0.23148359542052743</v>
      </c>
    </row>
    <row r="438" spans="1:12" x14ac:dyDescent="0.3">
      <c r="A438" s="2">
        <v>45650</v>
      </c>
      <c r="B438">
        <v>1077.978759765625</v>
      </c>
      <c r="C438">
        <f t="shared" si="20"/>
        <v>-2.0392258823151055E-3</v>
      </c>
      <c r="K438">
        <f t="shared" si="18"/>
        <v>1403</v>
      </c>
      <c r="L438" s="5">
        <f t="shared" si="19"/>
        <v>-0.23166161100098004</v>
      </c>
    </row>
    <row r="439" spans="1:12" x14ac:dyDescent="0.3">
      <c r="A439" s="2">
        <v>45652</v>
      </c>
      <c r="B439">
        <v>1075.780517578125</v>
      </c>
      <c r="C439">
        <f t="shared" si="20"/>
        <v>6.9660087368390486E-4</v>
      </c>
      <c r="K439">
        <f t="shared" si="18"/>
        <v>1403</v>
      </c>
      <c r="L439" s="5">
        <f t="shared" si="19"/>
        <v>-0.23322842653020315</v>
      </c>
    </row>
    <row r="440" spans="1:12" x14ac:dyDescent="0.3">
      <c r="A440" s="2">
        <v>45653</v>
      </c>
      <c r="B440">
        <v>1076.529907226562</v>
      </c>
      <c r="C440">
        <f t="shared" si="20"/>
        <v>-6.960819409785322E-3</v>
      </c>
      <c r="K440">
        <f t="shared" si="18"/>
        <v>1403</v>
      </c>
      <c r="L440" s="5">
        <f t="shared" si="19"/>
        <v>-0.2326942927822081</v>
      </c>
    </row>
    <row r="441" spans="1:12" x14ac:dyDescent="0.3">
      <c r="A441" s="2">
        <v>45656</v>
      </c>
      <c r="B441">
        <v>1069.036376953125</v>
      </c>
      <c r="C441">
        <f t="shared" si="20"/>
        <v>-4.9068540433587216E-3</v>
      </c>
      <c r="K441">
        <f t="shared" si="18"/>
        <v>1403</v>
      </c>
      <c r="L441" s="5">
        <f t="shared" si="19"/>
        <v>-0.23803536924224877</v>
      </c>
    </row>
    <row r="442" spans="1:12" x14ac:dyDescent="0.3">
      <c r="A442" s="2">
        <v>45657</v>
      </c>
      <c r="B442">
        <v>1063.790771484375</v>
      </c>
      <c r="C442">
        <f t="shared" si="20"/>
        <v>6.6687138120573967E-3</v>
      </c>
      <c r="K442">
        <f t="shared" si="18"/>
        <v>1403</v>
      </c>
      <c r="L442" s="5">
        <f t="shared" si="19"/>
        <v>-0.24177421847157876</v>
      </c>
    </row>
    <row r="443" spans="1:12" x14ac:dyDescent="0.3">
      <c r="A443" s="2">
        <v>45658</v>
      </c>
      <c r="B443">
        <v>1070.884887695312</v>
      </c>
      <c r="C443">
        <f t="shared" si="20"/>
        <v>1.3808422936228991E-2</v>
      </c>
      <c r="K443">
        <f t="shared" si="18"/>
        <v>1403</v>
      </c>
      <c r="L443" s="5">
        <f t="shared" si="19"/>
        <v>-0.23671782772964212</v>
      </c>
    </row>
    <row r="444" spans="1:12" x14ac:dyDescent="0.3">
      <c r="A444" s="2">
        <v>45659</v>
      </c>
      <c r="B444">
        <v>1085.672119140625</v>
      </c>
      <c r="C444">
        <f t="shared" si="20"/>
        <v>-1.5644560619917681E-3</v>
      </c>
      <c r="K444">
        <f t="shared" si="18"/>
        <v>1403</v>
      </c>
      <c r="L444" s="5">
        <f t="shared" si="19"/>
        <v>-0.22617810467524946</v>
      </c>
    </row>
    <row r="445" spans="1:12" x14ac:dyDescent="0.3">
      <c r="A445" s="2">
        <v>45660</v>
      </c>
      <c r="B445">
        <v>1083.9736328125</v>
      </c>
      <c r="C445">
        <f t="shared" si="20"/>
        <v>-1.9817538732365816E-2</v>
      </c>
      <c r="K445">
        <f t="shared" si="18"/>
        <v>1403</v>
      </c>
      <c r="L445" s="5">
        <f t="shared" si="19"/>
        <v>-0.22738871503029223</v>
      </c>
    </row>
    <row r="446" spans="1:12" x14ac:dyDescent="0.3">
      <c r="A446" s="2">
        <v>45663</v>
      </c>
      <c r="B446">
        <v>1062.491943359375</v>
      </c>
      <c r="C446">
        <f t="shared" si="20"/>
        <v>3.8556128757405877E-3</v>
      </c>
      <c r="K446">
        <f t="shared" si="18"/>
        <v>1403</v>
      </c>
      <c r="L446" s="5">
        <f t="shared" si="19"/>
        <v>-0.24269996909524238</v>
      </c>
    </row>
    <row r="447" spans="1:12" x14ac:dyDescent="0.3">
      <c r="A447" s="2">
        <v>45664</v>
      </c>
      <c r="B447">
        <v>1066.588500976562</v>
      </c>
      <c r="C447">
        <f t="shared" si="20"/>
        <v>6.9788897112715827E-3</v>
      </c>
      <c r="K447">
        <f t="shared" si="18"/>
        <v>1403</v>
      </c>
      <c r="L447" s="5">
        <f t="shared" si="19"/>
        <v>-0.23978011334528726</v>
      </c>
    </row>
    <row r="448" spans="1:12" x14ac:dyDescent="0.3">
      <c r="A448" s="2">
        <v>45665</v>
      </c>
      <c r="B448">
        <v>1074.032104492188</v>
      </c>
      <c r="C448">
        <f t="shared" si="20"/>
        <v>-1.2279633586336467E-2</v>
      </c>
      <c r="K448">
        <f t="shared" si="18"/>
        <v>1403</v>
      </c>
      <c r="L448" s="5">
        <f t="shared" si="19"/>
        <v>-0.23447462260000862</v>
      </c>
    </row>
    <row r="449" spans="1:12" x14ac:dyDescent="0.3">
      <c r="A449" s="2">
        <v>45666</v>
      </c>
      <c r="B449">
        <v>1060.843383789062</v>
      </c>
      <c r="C449">
        <f t="shared" si="20"/>
        <v>-1.9825833684389615E-2</v>
      </c>
      <c r="K449">
        <f t="shared" si="18"/>
        <v>1403</v>
      </c>
      <c r="L449" s="5">
        <f t="shared" si="19"/>
        <v>-0.24387499373552246</v>
      </c>
    </row>
    <row r="450" spans="1:12" x14ac:dyDescent="0.3">
      <c r="A450" s="2">
        <v>45667</v>
      </c>
      <c r="B450">
        <v>1039.811279296875</v>
      </c>
      <c r="C450">
        <f t="shared" si="20"/>
        <v>8.2637817155729182E-3</v>
      </c>
      <c r="K450">
        <f t="shared" ref="K450:K513" si="21">MAX(B450:B1189)</f>
        <v>1403</v>
      </c>
      <c r="L450" s="5">
        <f t="shared" ref="L450:L513" si="22">B450/K450-1</f>
        <v>-0.25886580235432999</v>
      </c>
    </row>
    <row r="451" spans="1:12" x14ac:dyDescent="0.3">
      <c r="A451" s="2">
        <v>45670</v>
      </c>
      <c r="B451">
        <v>1048.404052734375</v>
      </c>
      <c r="C451">
        <f t="shared" ref="C451:C514" si="23">(B452-B451)/B451</f>
        <v>2.2396159713548372E-3</v>
      </c>
      <c r="K451">
        <f t="shared" si="21"/>
        <v>1403</v>
      </c>
      <c r="L451" s="5">
        <f t="shared" si="22"/>
        <v>-0.25274123112303992</v>
      </c>
    </row>
    <row r="452" spans="1:12" x14ac:dyDescent="0.3">
      <c r="A452" s="2">
        <v>45671</v>
      </c>
      <c r="B452">
        <v>1050.752075195312</v>
      </c>
      <c r="C452">
        <f t="shared" si="23"/>
        <v>-2.3629605887058508E-2</v>
      </c>
      <c r="K452">
        <f t="shared" si="21"/>
        <v>1403</v>
      </c>
      <c r="L452" s="5">
        <f t="shared" si="22"/>
        <v>-0.25106765844952816</v>
      </c>
    </row>
    <row r="453" spans="1:12" x14ac:dyDescent="0.3">
      <c r="A453" s="2">
        <v>45672</v>
      </c>
      <c r="B453">
        <v>1025.923217773438</v>
      </c>
      <c r="C453">
        <f t="shared" si="23"/>
        <v>1.0907667838716623E-2</v>
      </c>
      <c r="K453">
        <f t="shared" si="21"/>
        <v>1403</v>
      </c>
      <c r="L453" s="5">
        <f t="shared" si="22"/>
        <v>-0.26876463451643762</v>
      </c>
    </row>
    <row r="454" spans="1:12" x14ac:dyDescent="0.3">
      <c r="A454" s="2">
        <v>45673</v>
      </c>
      <c r="B454">
        <v>1037.113647460938</v>
      </c>
      <c r="C454">
        <f t="shared" si="23"/>
        <v>-4.5231216679310238E-2</v>
      </c>
      <c r="K454">
        <f t="shared" si="21"/>
        <v>1403</v>
      </c>
      <c r="L454" s="5">
        <f t="shared" si="22"/>
        <v>-0.26078856203782042</v>
      </c>
    </row>
    <row r="455" spans="1:12" x14ac:dyDescent="0.3">
      <c r="A455" s="2">
        <v>45674</v>
      </c>
      <c r="B455">
        <v>990.2037353515625</v>
      </c>
      <c r="C455">
        <f t="shared" si="23"/>
        <v>-3.0270907050994797E-3</v>
      </c>
      <c r="K455">
        <f t="shared" si="21"/>
        <v>1403</v>
      </c>
      <c r="L455" s="5">
        <f t="shared" si="22"/>
        <v>-0.2942239947601123</v>
      </c>
    </row>
    <row r="456" spans="1:12" x14ac:dyDescent="0.3">
      <c r="A456" s="2">
        <v>45677</v>
      </c>
      <c r="B456">
        <v>987.206298828125</v>
      </c>
      <c r="C456">
        <f t="shared" si="23"/>
        <v>-1.8065845829839125E-2</v>
      </c>
      <c r="K456">
        <f t="shared" si="21"/>
        <v>1403</v>
      </c>
      <c r="L456" s="5">
        <f t="shared" si="22"/>
        <v>-0.29636044274545614</v>
      </c>
    </row>
    <row r="457" spans="1:12" x14ac:dyDescent="0.3">
      <c r="A457" s="2">
        <v>45678</v>
      </c>
      <c r="B457">
        <v>969.37158203125</v>
      </c>
      <c r="C457">
        <f t="shared" si="23"/>
        <v>-1.1234852838879086E-2</v>
      </c>
      <c r="K457">
        <f t="shared" si="21"/>
        <v>1403</v>
      </c>
      <c r="L457" s="5">
        <f t="shared" si="22"/>
        <v>-0.30907228650659302</v>
      </c>
    </row>
    <row r="458" spans="1:12" x14ac:dyDescent="0.3">
      <c r="A458" s="2">
        <v>45679</v>
      </c>
      <c r="B458">
        <v>958.4808349609375</v>
      </c>
      <c r="C458">
        <f t="shared" si="23"/>
        <v>-8.599984080235613E-3</v>
      </c>
      <c r="K458">
        <f t="shared" si="21"/>
        <v>1403</v>
      </c>
      <c r="L458" s="5">
        <f t="shared" si="22"/>
        <v>-0.31683475768999469</v>
      </c>
    </row>
    <row r="459" spans="1:12" x14ac:dyDescent="0.3">
      <c r="A459" s="2">
        <v>45680</v>
      </c>
      <c r="B459">
        <v>950.2379150390625</v>
      </c>
      <c r="C459">
        <f t="shared" si="23"/>
        <v>-2.681277522372134E-3</v>
      </c>
      <c r="K459">
        <f t="shared" si="21"/>
        <v>1403</v>
      </c>
      <c r="L459" s="5">
        <f t="shared" si="22"/>
        <v>-0.32270996789803097</v>
      </c>
    </row>
    <row r="460" spans="1:12" x14ac:dyDescent="0.3">
      <c r="A460" s="2">
        <v>45681</v>
      </c>
      <c r="B460">
        <v>947.6900634765625</v>
      </c>
      <c r="C460">
        <f t="shared" si="23"/>
        <v>-4.2171825845558632E-4</v>
      </c>
      <c r="K460">
        <f t="shared" si="21"/>
        <v>1403</v>
      </c>
      <c r="L460" s="5">
        <f t="shared" si="22"/>
        <v>-0.32452597043723275</v>
      </c>
    </row>
    <row r="461" spans="1:12" x14ac:dyDescent="0.3">
      <c r="A461" s="2">
        <v>45684</v>
      </c>
      <c r="B461">
        <v>947.2904052734375</v>
      </c>
      <c r="C461">
        <f t="shared" si="23"/>
        <v>3.7654234045166088E-2</v>
      </c>
      <c r="K461">
        <f t="shared" si="21"/>
        <v>1403</v>
      </c>
      <c r="L461" s="5">
        <f t="shared" si="22"/>
        <v>-0.3248108301686119</v>
      </c>
    </row>
    <row r="462" spans="1:12" x14ac:dyDescent="0.3">
      <c r="A462" s="2">
        <v>45685</v>
      </c>
      <c r="B462">
        <v>982.95989990234375</v>
      </c>
      <c r="C462">
        <f t="shared" si="23"/>
        <v>-4.0652438416709539E-4</v>
      </c>
      <c r="K462">
        <f t="shared" si="21"/>
        <v>1403</v>
      </c>
      <c r="L462" s="5">
        <f t="shared" si="22"/>
        <v>-0.29938709914301942</v>
      </c>
    </row>
    <row r="463" spans="1:12" x14ac:dyDescent="0.3">
      <c r="A463" s="2">
        <v>45686</v>
      </c>
      <c r="B463">
        <v>982.560302734375</v>
      </c>
      <c r="C463">
        <f t="shared" si="23"/>
        <v>1.3219434537926689E-3</v>
      </c>
      <c r="K463">
        <f t="shared" si="21"/>
        <v>1403</v>
      </c>
      <c r="L463" s="5">
        <f t="shared" si="22"/>
        <v>-0.29967191537107984</v>
      </c>
    </row>
    <row r="464" spans="1:12" x14ac:dyDescent="0.3">
      <c r="A464" s="2">
        <v>45687</v>
      </c>
      <c r="B464">
        <v>983.85919189453125</v>
      </c>
      <c r="C464">
        <f t="shared" si="23"/>
        <v>1.4216898996367703E-3</v>
      </c>
      <c r="K464">
        <f t="shared" si="21"/>
        <v>1403</v>
      </c>
      <c r="L464" s="5">
        <f t="shared" si="22"/>
        <v>-0.2987461212440975</v>
      </c>
    </row>
    <row r="465" spans="1:12" x14ac:dyDescent="0.3">
      <c r="A465" s="2">
        <v>45688</v>
      </c>
      <c r="B465">
        <v>985.2579345703125</v>
      </c>
      <c r="C465">
        <f t="shared" si="23"/>
        <v>1.2219942107977801E-2</v>
      </c>
      <c r="K465">
        <f t="shared" si="21"/>
        <v>1403</v>
      </c>
      <c r="L465" s="5">
        <f t="shared" si="22"/>
        <v>-0.29774915568758908</v>
      </c>
    </row>
    <row r="466" spans="1:12" x14ac:dyDescent="0.3">
      <c r="A466" s="2">
        <v>45689</v>
      </c>
      <c r="B466">
        <v>997.2977294921875</v>
      </c>
      <c r="C466">
        <f t="shared" si="23"/>
        <v>-8.7662424694269665E-3</v>
      </c>
      <c r="K466">
        <f t="shared" si="21"/>
        <v>1403</v>
      </c>
      <c r="L466" s="5">
        <f t="shared" si="22"/>
        <v>-0.28916769102481288</v>
      </c>
    </row>
    <row r="467" spans="1:12" x14ac:dyDescent="0.3">
      <c r="A467" s="2">
        <v>45691</v>
      </c>
      <c r="B467">
        <v>988.55517578125</v>
      </c>
      <c r="C467">
        <f t="shared" si="23"/>
        <v>2.6177465139356367E-2</v>
      </c>
      <c r="K467">
        <f t="shared" si="21"/>
        <v>1403</v>
      </c>
      <c r="L467" s="5">
        <f t="shared" si="22"/>
        <v>-0.29539901940039204</v>
      </c>
    </row>
    <row r="468" spans="1:12" x14ac:dyDescent="0.3">
      <c r="A468" s="2">
        <v>45692</v>
      </c>
      <c r="B468">
        <v>1014.433044433594</v>
      </c>
      <c r="C468">
        <f t="shared" si="23"/>
        <v>-1.9698599395889557E-3</v>
      </c>
      <c r="K468">
        <f t="shared" si="21"/>
        <v>1403</v>
      </c>
      <c r="L468" s="5">
        <f t="shared" si="22"/>
        <v>-0.27695435179358951</v>
      </c>
    </row>
    <row r="469" spans="1:12" x14ac:dyDescent="0.3">
      <c r="A469" s="2">
        <v>45693</v>
      </c>
      <c r="B469">
        <v>1012.434753417969</v>
      </c>
      <c r="C469">
        <f t="shared" si="23"/>
        <v>7.3028674024188433E-3</v>
      </c>
      <c r="K469">
        <f t="shared" si="21"/>
        <v>1403</v>
      </c>
      <c r="L469" s="5">
        <f t="shared" si="22"/>
        <v>-0.27837865045048538</v>
      </c>
    </row>
    <row r="470" spans="1:12" x14ac:dyDescent="0.3">
      <c r="A470" s="2">
        <v>45694</v>
      </c>
      <c r="B470">
        <v>1019.828430175781</v>
      </c>
      <c r="C470">
        <f t="shared" si="23"/>
        <v>3.3310453268864254E-3</v>
      </c>
      <c r="K470">
        <f t="shared" si="21"/>
        <v>1403</v>
      </c>
      <c r="L470" s="5">
        <f t="shared" si="22"/>
        <v>-0.27310874541997077</v>
      </c>
    </row>
    <row r="471" spans="1:12" x14ac:dyDescent="0.3">
      <c r="A471" s="2">
        <v>45695</v>
      </c>
      <c r="B471">
        <v>1023.225524902344</v>
      </c>
      <c r="C471">
        <f t="shared" si="23"/>
        <v>-1.2059391833721728E-2</v>
      </c>
      <c r="K471">
        <f t="shared" si="21"/>
        <v>1403</v>
      </c>
      <c r="L471" s="5">
        <f t="shared" si="22"/>
        <v>-0.27068743770324732</v>
      </c>
    </row>
    <row r="472" spans="1:12" x14ac:dyDescent="0.3">
      <c r="A472" s="2">
        <v>45698</v>
      </c>
      <c r="B472">
        <v>1010.886047363281</v>
      </c>
      <c r="C472">
        <f t="shared" si="23"/>
        <v>-4.2994484420300983E-3</v>
      </c>
      <c r="K472">
        <f t="shared" si="21"/>
        <v>1403</v>
      </c>
      <c r="L472" s="5">
        <f t="shared" si="22"/>
        <v>-0.2794825036612395</v>
      </c>
    </row>
    <row r="473" spans="1:12" x14ac:dyDescent="0.3">
      <c r="A473" s="2">
        <v>45699</v>
      </c>
      <c r="B473">
        <v>1006.539794921875</v>
      </c>
      <c r="C473">
        <f t="shared" si="23"/>
        <v>-4.9632687791027492E-4</v>
      </c>
      <c r="K473">
        <f t="shared" si="21"/>
        <v>1403</v>
      </c>
      <c r="L473" s="5">
        <f t="shared" si="22"/>
        <v>-0.28258033148832862</v>
      </c>
    </row>
    <row r="474" spans="1:12" x14ac:dyDescent="0.3">
      <c r="A474" s="2">
        <v>45700</v>
      </c>
      <c r="B474">
        <v>1006.040222167969</v>
      </c>
      <c r="C474">
        <f t="shared" si="23"/>
        <v>1.2910906855761472E-3</v>
      </c>
      <c r="K474">
        <f t="shared" si="21"/>
        <v>1403</v>
      </c>
      <c r="L474" s="5">
        <f t="shared" si="22"/>
        <v>-0.28293640615255244</v>
      </c>
    </row>
    <row r="475" spans="1:12" x14ac:dyDescent="0.3">
      <c r="A475" s="2">
        <v>45701</v>
      </c>
      <c r="B475">
        <v>1007.339111328125</v>
      </c>
      <c r="C475">
        <f t="shared" si="23"/>
        <v>-1.0612967185894731E-2</v>
      </c>
      <c r="K475">
        <f t="shared" si="21"/>
        <v>1403</v>
      </c>
      <c r="L475" s="5">
        <f t="shared" si="22"/>
        <v>-0.28201061202557021</v>
      </c>
    </row>
    <row r="476" spans="1:12" x14ac:dyDescent="0.3">
      <c r="A476" s="2">
        <v>45702</v>
      </c>
      <c r="B476">
        <v>996.64825439453125</v>
      </c>
      <c r="C476">
        <f t="shared" si="23"/>
        <v>-4.5614313355586064E-3</v>
      </c>
      <c r="K476">
        <f t="shared" si="21"/>
        <v>1403</v>
      </c>
      <c r="L476" s="5">
        <f t="shared" si="22"/>
        <v>-0.28963060983996347</v>
      </c>
    </row>
    <row r="477" spans="1:12" x14ac:dyDescent="0.3">
      <c r="A477" s="2">
        <v>45705</v>
      </c>
      <c r="B477">
        <v>992.10211181640625</v>
      </c>
      <c r="C477">
        <f t="shared" si="23"/>
        <v>1.2085808811917315E-3</v>
      </c>
      <c r="K477">
        <f t="shared" si="21"/>
        <v>1403</v>
      </c>
      <c r="L477" s="5">
        <f t="shared" si="22"/>
        <v>-0.29287091103606111</v>
      </c>
    </row>
    <row r="478" spans="1:12" x14ac:dyDescent="0.3">
      <c r="A478" s="2">
        <v>45706</v>
      </c>
      <c r="B478">
        <v>993.3011474609375</v>
      </c>
      <c r="C478">
        <f t="shared" si="23"/>
        <v>1.7301139481361919E-2</v>
      </c>
      <c r="K478">
        <f t="shared" si="21"/>
        <v>1403</v>
      </c>
      <c r="L478" s="5">
        <f t="shared" si="22"/>
        <v>-0.29201628833860482</v>
      </c>
    </row>
    <row r="479" spans="1:12" x14ac:dyDescent="0.3">
      <c r="A479" s="2">
        <v>45707</v>
      </c>
      <c r="B479">
        <v>1010.486389160156</v>
      </c>
      <c r="C479">
        <f t="shared" si="23"/>
        <v>5.7843745358509028E-3</v>
      </c>
      <c r="K479">
        <f t="shared" si="21"/>
        <v>1403</v>
      </c>
      <c r="L479" s="5">
        <f t="shared" si="22"/>
        <v>-0.27976736339261865</v>
      </c>
    </row>
    <row r="480" spans="1:12" x14ac:dyDescent="0.3">
      <c r="A480" s="2">
        <v>45708</v>
      </c>
      <c r="B480">
        <v>1016.331420898438</v>
      </c>
      <c r="C480">
        <f t="shared" si="23"/>
        <v>-8.1104645122445987E-3</v>
      </c>
      <c r="K480">
        <f t="shared" si="21"/>
        <v>1403</v>
      </c>
      <c r="L480" s="5">
        <f t="shared" si="22"/>
        <v>-0.27560126806953822</v>
      </c>
    </row>
    <row r="481" spans="1:12" x14ac:dyDescent="0.3">
      <c r="A481" s="2">
        <v>45709</v>
      </c>
      <c r="B481">
        <v>1008.088500976562</v>
      </c>
      <c r="C481">
        <f t="shared" si="23"/>
        <v>1.0901810926057835E-3</v>
      </c>
      <c r="K481">
        <f t="shared" si="21"/>
        <v>1403</v>
      </c>
      <c r="L481" s="5">
        <f t="shared" si="22"/>
        <v>-0.28147647827757516</v>
      </c>
    </row>
    <row r="482" spans="1:12" x14ac:dyDescent="0.3">
      <c r="A482" s="2">
        <v>45712</v>
      </c>
      <c r="B482">
        <v>1009.1875</v>
      </c>
      <c r="C482">
        <f t="shared" si="23"/>
        <v>-9.4057719700253912E-4</v>
      </c>
      <c r="K482">
        <f t="shared" si="21"/>
        <v>1403</v>
      </c>
      <c r="L482" s="5">
        <f t="shared" si="22"/>
        <v>-0.28069315751960089</v>
      </c>
    </row>
    <row r="483" spans="1:12" x14ac:dyDescent="0.3">
      <c r="A483" s="2">
        <v>45713</v>
      </c>
      <c r="B483">
        <v>1008.23828125</v>
      </c>
      <c r="C483">
        <f t="shared" si="23"/>
        <v>7.5315201135951939E-3</v>
      </c>
      <c r="K483">
        <f t="shared" si="21"/>
        <v>1403</v>
      </c>
      <c r="L483" s="5">
        <f t="shared" si="22"/>
        <v>-0.28136972113328584</v>
      </c>
    </row>
    <row r="484" spans="1:12" x14ac:dyDescent="0.3">
      <c r="A484" s="2">
        <v>45715</v>
      </c>
      <c r="B484">
        <v>1015.831848144531</v>
      </c>
      <c r="C484">
        <f t="shared" si="23"/>
        <v>-1.1311398177373943E-3</v>
      </c>
      <c r="K484">
        <f t="shared" si="21"/>
        <v>1403</v>
      </c>
      <c r="L484" s="5">
        <f t="shared" si="22"/>
        <v>-0.2759573427337626</v>
      </c>
    </row>
    <row r="485" spans="1:12" x14ac:dyDescent="0.3">
      <c r="A485" s="2">
        <v>45716</v>
      </c>
      <c r="B485">
        <v>1014.682800292969</v>
      </c>
      <c r="C485">
        <f t="shared" si="23"/>
        <v>-8.1729065600102506E-3</v>
      </c>
      <c r="K485">
        <f t="shared" si="21"/>
        <v>1403</v>
      </c>
      <c r="L485" s="5">
        <f t="shared" si="22"/>
        <v>-0.27677633621313691</v>
      </c>
    </row>
    <row r="486" spans="1:12" x14ac:dyDescent="0.3">
      <c r="A486" s="2">
        <v>45719</v>
      </c>
      <c r="B486">
        <v>1006.389892578125</v>
      </c>
      <c r="C486">
        <f t="shared" si="23"/>
        <v>-5.410738462456573E-3</v>
      </c>
      <c r="K486">
        <f t="shared" si="21"/>
        <v>1403</v>
      </c>
      <c r="L486" s="5">
        <f t="shared" si="22"/>
        <v>-0.28268717563925516</v>
      </c>
    </row>
    <row r="487" spans="1:12" x14ac:dyDescent="0.3">
      <c r="A487" s="2">
        <v>45720</v>
      </c>
      <c r="B487">
        <v>1000.944580078125</v>
      </c>
      <c r="C487">
        <f t="shared" si="23"/>
        <v>1.2627293701335108E-2</v>
      </c>
      <c r="K487">
        <f t="shared" si="21"/>
        <v>1403</v>
      </c>
      <c r="L487" s="5">
        <f t="shared" si="22"/>
        <v>-0.28656836772763716</v>
      </c>
    </row>
    <row r="488" spans="1:12" x14ac:dyDescent="0.3">
      <c r="A488" s="2">
        <v>45721</v>
      </c>
      <c r="B488">
        <v>1013.583801269531</v>
      </c>
      <c r="C488">
        <f t="shared" si="23"/>
        <v>1.936999945262563E-2</v>
      </c>
      <c r="K488">
        <f t="shared" si="21"/>
        <v>1403</v>
      </c>
      <c r="L488" s="5">
        <f t="shared" si="22"/>
        <v>-0.27755965697111118</v>
      </c>
    </row>
    <row r="489" spans="1:12" x14ac:dyDescent="0.3">
      <c r="A489" s="2">
        <v>45722</v>
      </c>
      <c r="B489">
        <v>1033.216918945312</v>
      </c>
      <c r="C489">
        <f t="shared" si="23"/>
        <v>3.4330827104987211E-3</v>
      </c>
      <c r="K489">
        <f t="shared" si="21"/>
        <v>1403</v>
      </c>
      <c r="L489" s="5">
        <f t="shared" si="22"/>
        <v>-0.26356598792208696</v>
      </c>
    </row>
    <row r="490" spans="1:12" x14ac:dyDescent="0.3">
      <c r="A490" s="2">
        <v>45723</v>
      </c>
      <c r="B490">
        <v>1036.764038085938</v>
      </c>
      <c r="C490">
        <f t="shared" si="23"/>
        <v>-1.7348055278773315E-3</v>
      </c>
      <c r="K490">
        <f t="shared" si="21"/>
        <v>1403</v>
      </c>
      <c r="L490" s="5">
        <f t="shared" si="22"/>
        <v>-0.26103774904779908</v>
      </c>
    </row>
    <row r="491" spans="1:12" x14ac:dyDescent="0.3">
      <c r="A491" s="2">
        <v>45726</v>
      </c>
      <c r="B491">
        <v>1034.965454101562</v>
      </c>
      <c r="C491">
        <f t="shared" si="23"/>
        <v>-9.8469800506857941E-3</v>
      </c>
      <c r="K491">
        <f t="shared" si="21"/>
        <v>1403</v>
      </c>
      <c r="L491" s="5">
        <f t="shared" si="22"/>
        <v>-0.2623197048456436</v>
      </c>
    </row>
    <row r="492" spans="1:12" x14ac:dyDescent="0.3">
      <c r="A492" s="2">
        <v>45727</v>
      </c>
      <c r="B492">
        <v>1024.774169921875</v>
      </c>
      <c r="C492">
        <f t="shared" si="23"/>
        <v>-1.4088588973133101E-2</v>
      </c>
      <c r="K492">
        <f t="shared" si="21"/>
        <v>1403</v>
      </c>
      <c r="L492" s="5">
        <f t="shared" si="22"/>
        <v>-0.26958362799581259</v>
      </c>
    </row>
    <row r="493" spans="1:12" x14ac:dyDescent="0.3">
      <c r="A493" s="2">
        <v>45728</v>
      </c>
      <c r="B493">
        <v>1010.336547851562</v>
      </c>
      <c r="C493">
        <f t="shared" si="23"/>
        <v>-9.8892345321634255E-4</v>
      </c>
      <c r="K493">
        <f t="shared" si="21"/>
        <v>1403</v>
      </c>
      <c r="L493" s="5">
        <f t="shared" si="22"/>
        <v>-0.27987416404022658</v>
      </c>
    </row>
    <row r="494" spans="1:12" x14ac:dyDescent="0.3">
      <c r="A494" s="2">
        <v>45729</v>
      </c>
      <c r="B494">
        <v>1009.33740234375</v>
      </c>
      <c r="C494">
        <f t="shared" si="23"/>
        <v>2.3708192497495763E-2</v>
      </c>
      <c r="K494">
        <f t="shared" si="21"/>
        <v>1403</v>
      </c>
      <c r="L494" s="5">
        <f t="shared" si="22"/>
        <v>-0.28058631336867423</v>
      </c>
    </row>
    <row r="495" spans="1:12" x14ac:dyDescent="0.3">
      <c r="A495" s="2">
        <v>45733</v>
      </c>
      <c r="B495">
        <v>1033.266967773438</v>
      </c>
      <c r="C495">
        <f t="shared" si="23"/>
        <v>0</v>
      </c>
      <c r="K495">
        <f t="shared" si="21"/>
        <v>1403</v>
      </c>
      <c r="L495" s="5">
        <f t="shared" si="22"/>
        <v>-0.26353031520068571</v>
      </c>
    </row>
    <row r="496" spans="1:12" x14ac:dyDescent="0.3">
      <c r="A496" s="2">
        <v>45734</v>
      </c>
      <c r="B496">
        <v>1033.266967773438</v>
      </c>
      <c r="C496">
        <f t="shared" si="23"/>
        <v>1.7308949364305576E-2</v>
      </c>
      <c r="K496">
        <f t="shared" si="21"/>
        <v>1403</v>
      </c>
      <c r="L496" s="5">
        <f t="shared" si="22"/>
        <v>-0.26353031520068571</v>
      </c>
    </row>
    <row r="497" spans="1:12" x14ac:dyDescent="0.3">
      <c r="A497" s="2">
        <v>45735</v>
      </c>
      <c r="B497">
        <v>1051.151733398438</v>
      </c>
      <c r="C497">
        <f t="shared" si="23"/>
        <v>2.1861483549882525E-3</v>
      </c>
      <c r="K497">
        <f t="shared" si="21"/>
        <v>1403</v>
      </c>
      <c r="L497" s="5">
        <f t="shared" si="22"/>
        <v>-0.25078279871814824</v>
      </c>
    </row>
    <row r="498" spans="1:12" x14ac:dyDescent="0.3">
      <c r="A498" s="2">
        <v>45736</v>
      </c>
      <c r="B498">
        <v>1053.44970703125</v>
      </c>
      <c r="C498">
        <f t="shared" si="23"/>
        <v>1.4985526995803376E-2</v>
      </c>
      <c r="K498">
        <f t="shared" si="21"/>
        <v>1403</v>
      </c>
      <c r="L498" s="5">
        <f t="shared" si="22"/>
        <v>-0.24914489876603707</v>
      </c>
    </row>
    <row r="499" spans="1:12" x14ac:dyDescent="0.3">
      <c r="A499" s="2">
        <v>45737</v>
      </c>
      <c r="B499">
        <v>1069.236206054688</v>
      </c>
      <c r="C499">
        <f t="shared" si="23"/>
        <v>2.5884149240859553E-2</v>
      </c>
      <c r="K499">
        <f t="shared" si="21"/>
        <v>1403</v>
      </c>
      <c r="L499" s="5">
        <f t="shared" si="22"/>
        <v>-0.23789293937655887</v>
      </c>
    </row>
    <row r="500" spans="1:12" x14ac:dyDescent="0.3">
      <c r="A500" s="2">
        <v>45740</v>
      </c>
      <c r="B500">
        <v>1096.912475585938</v>
      </c>
      <c r="C500">
        <f t="shared" si="23"/>
        <v>1.8855191802006878E-2</v>
      </c>
      <c r="K500">
        <f t="shared" si="21"/>
        <v>1403</v>
      </c>
      <c r="L500" s="5">
        <f t="shared" si="22"/>
        <v>-0.21816644648186889</v>
      </c>
    </row>
    <row r="501" spans="1:12" x14ac:dyDescent="0.3">
      <c r="A501" s="2">
        <v>45741</v>
      </c>
      <c r="B501">
        <v>1117.594970703125</v>
      </c>
      <c r="C501">
        <f t="shared" si="23"/>
        <v>-1.9936565968400075E-2</v>
      </c>
      <c r="K501">
        <f t="shared" si="21"/>
        <v>1403</v>
      </c>
      <c r="L501" s="5">
        <f t="shared" si="22"/>
        <v>-0.20342482487303992</v>
      </c>
    </row>
    <row r="502" spans="1:12" x14ac:dyDescent="0.3">
      <c r="A502" s="2">
        <v>45742</v>
      </c>
      <c r="B502">
        <v>1095.31396484375</v>
      </c>
      <c r="C502">
        <f t="shared" si="23"/>
        <v>1.9155644852472111E-3</v>
      </c>
      <c r="K502">
        <f t="shared" si="21"/>
        <v>1403</v>
      </c>
      <c r="L502" s="5">
        <f t="shared" si="22"/>
        <v>-0.21930579840074838</v>
      </c>
    </row>
    <row r="503" spans="1:12" x14ac:dyDescent="0.3">
      <c r="A503" s="2">
        <v>45743</v>
      </c>
      <c r="B503">
        <v>1097.412109375</v>
      </c>
      <c r="C503">
        <f t="shared" si="23"/>
        <v>3.3231368186878449E-3</v>
      </c>
      <c r="K503">
        <f t="shared" si="21"/>
        <v>1403</v>
      </c>
      <c r="L503" s="5">
        <f t="shared" si="22"/>
        <v>-0.21781032831432645</v>
      </c>
    </row>
    <row r="504" spans="1:12" x14ac:dyDescent="0.3">
      <c r="A504" s="2">
        <v>45744</v>
      </c>
      <c r="B504">
        <v>1101.058959960938</v>
      </c>
      <c r="C504">
        <f t="shared" si="23"/>
        <v>-1.48820244182993E-2</v>
      </c>
      <c r="K504">
        <f t="shared" si="21"/>
        <v>1403</v>
      </c>
      <c r="L504" s="5">
        <f t="shared" si="22"/>
        <v>-0.2152110050171504</v>
      </c>
    </row>
    <row r="505" spans="1:12" x14ac:dyDescent="0.3">
      <c r="A505" s="2">
        <v>45748</v>
      </c>
      <c r="B505">
        <v>1084.672973632812</v>
      </c>
      <c r="C505">
        <f t="shared" si="23"/>
        <v>-1.0593495730917195E-3</v>
      </c>
      <c r="K505">
        <f t="shared" si="21"/>
        <v>1403</v>
      </c>
      <c r="L505" s="5">
        <f t="shared" si="22"/>
        <v>-0.22689025400369778</v>
      </c>
    </row>
    <row r="506" spans="1:12" x14ac:dyDescent="0.3">
      <c r="A506" s="2">
        <v>45749</v>
      </c>
      <c r="B506">
        <v>1083.52392578125</v>
      </c>
      <c r="C506">
        <f t="shared" si="23"/>
        <v>4.9794800223702824E-3</v>
      </c>
      <c r="K506">
        <f t="shared" si="21"/>
        <v>1403</v>
      </c>
      <c r="L506" s="5">
        <f t="shared" si="22"/>
        <v>-0.22770924748307197</v>
      </c>
    </row>
    <row r="507" spans="1:12" x14ac:dyDescent="0.3">
      <c r="A507" s="2">
        <v>45750</v>
      </c>
      <c r="B507">
        <v>1088.919311523438</v>
      </c>
      <c r="C507">
        <f t="shared" si="23"/>
        <v>1.3305416881945527E-3</v>
      </c>
      <c r="K507">
        <f t="shared" si="21"/>
        <v>1403</v>
      </c>
      <c r="L507" s="5">
        <f t="shared" si="22"/>
        <v>-0.22386364110945267</v>
      </c>
    </row>
    <row r="508" spans="1:12" x14ac:dyDescent="0.3">
      <c r="A508" s="2">
        <v>45751</v>
      </c>
      <c r="B508">
        <v>1090.3681640625</v>
      </c>
      <c r="C508">
        <f t="shared" si="23"/>
        <v>-3.9723381312038501E-2</v>
      </c>
      <c r="K508">
        <f t="shared" si="21"/>
        <v>1403</v>
      </c>
      <c r="L508" s="5">
        <f t="shared" si="22"/>
        <v>-0.22283095932822528</v>
      </c>
    </row>
    <row r="509" spans="1:12" x14ac:dyDescent="0.3">
      <c r="A509" s="2">
        <v>45754</v>
      </c>
      <c r="B509">
        <v>1047.055053710938</v>
      </c>
      <c r="C509">
        <f t="shared" si="23"/>
        <v>2.8531939760827036E-2</v>
      </c>
      <c r="K509">
        <f t="shared" si="21"/>
        <v>1403</v>
      </c>
      <c r="L509" s="5">
        <f t="shared" si="22"/>
        <v>-0.25370274147474126</v>
      </c>
    </row>
    <row r="510" spans="1:12" x14ac:dyDescent="0.3">
      <c r="A510" s="2">
        <v>45755</v>
      </c>
      <c r="B510">
        <v>1076.929565429688</v>
      </c>
      <c r="C510">
        <f t="shared" si="23"/>
        <v>-1.5029799232777008E-2</v>
      </c>
      <c r="K510">
        <f t="shared" si="21"/>
        <v>1403</v>
      </c>
      <c r="L510" s="5">
        <f t="shared" si="22"/>
        <v>-0.23240943305082828</v>
      </c>
    </row>
    <row r="511" spans="1:12" x14ac:dyDescent="0.3">
      <c r="A511" s="2">
        <v>45756</v>
      </c>
      <c r="B511">
        <v>1060.743530273438</v>
      </c>
      <c r="C511">
        <f t="shared" si="23"/>
        <v>6.8760270166285378E-3</v>
      </c>
      <c r="K511">
        <f t="shared" si="21"/>
        <v>1403</v>
      </c>
      <c r="L511" s="5">
        <f t="shared" si="22"/>
        <v>-0.24394616516504775</v>
      </c>
    </row>
    <row r="512" spans="1:12" x14ac:dyDescent="0.3">
      <c r="A512" s="2">
        <v>45758</v>
      </c>
      <c r="B512">
        <v>1068.037231445312</v>
      </c>
      <c r="C512">
        <f t="shared" si="23"/>
        <v>4.1021624322050934E-2</v>
      </c>
      <c r="K512">
        <f t="shared" si="21"/>
        <v>1403</v>
      </c>
      <c r="L512" s="5">
        <f t="shared" si="22"/>
        <v>-0.23874751857069709</v>
      </c>
    </row>
    <row r="513" spans="1:12" x14ac:dyDescent="0.3">
      <c r="A513" s="2">
        <v>45762</v>
      </c>
      <c r="B513">
        <v>1111.849853515625</v>
      </c>
      <c r="C513">
        <f t="shared" si="23"/>
        <v>4.3583778880609401E-2</v>
      </c>
      <c r="K513">
        <f t="shared" si="21"/>
        <v>1403</v>
      </c>
      <c r="L513" s="5">
        <f t="shared" si="22"/>
        <v>-0.20751970526327512</v>
      </c>
    </row>
    <row r="514" spans="1:12" x14ac:dyDescent="0.3">
      <c r="A514" s="2">
        <v>45763</v>
      </c>
      <c r="B514">
        <v>1160.308471679688</v>
      </c>
      <c r="C514">
        <f t="shared" si="23"/>
        <v>2.5402496116092108E-2</v>
      </c>
      <c r="K514">
        <f t="shared" ref="K514:K577" si="24">MAX(B514:B1253)</f>
        <v>1403</v>
      </c>
      <c r="L514" s="5">
        <f t="shared" ref="L514:L577" si="25">B514/K514-1</f>
        <v>-0.17298041933022956</v>
      </c>
    </row>
    <row r="515" spans="1:12" x14ac:dyDescent="0.3">
      <c r="A515" s="2">
        <v>45764</v>
      </c>
      <c r="B515">
        <v>1189.783203125</v>
      </c>
      <c r="C515">
        <f t="shared" ref="C515:C578" si="26">(B516-B515)/B515</f>
        <v>2.7040628298550595E-2</v>
      </c>
      <c r="K515">
        <f t="shared" si="24"/>
        <v>1403</v>
      </c>
      <c r="L515" s="5">
        <f t="shared" si="25"/>
        <v>-0.15197205764433352</v>
      </c>
    </row>
    <row r="516" spans="1:12" x14ac:dyDescent="0.3">
      <c r="A516" s="2">
        <v>45768</v>
      </c>
      <c r="B516">
        <v>1221.955688476562</v>
      </c>
      <c r="C516">
        <f t="shared" si="26"/>
        <v>-5.069498187909016E-3</v>
      </c>
      <c r="K516">
        <f t="shared" si="24"/>
        <v>1403</v>
      </c>
      <c r="L516" s="5">
        <f t="shared" si="25"/>
        <v>-0.12904084926830928</v>
      </c>
    </row>
    <row r="517" spans="1:12" x14ac:dyDescent="0.3">
      <c r="A517" s="2">
        <v>45769</v>
      </c>
      <c r="B517">
        <v>1215.760986328125</v>
      </c>
      <c r="C517">
        <f t="shared" si="26"/>
        <v>-8.1360395698019273E-3</v>
      </c>
      <c r="K517">
        <f t="shared" si="24"/>
        <v>1403</v>
      </c>
      <c r="L517" s="5">
        <f t="shared" si="25"/>
        <v>-0.13345617510468644</v>
      </c>
    </row>
    <row r="518" spans="1:12" x14ac:dyDescent="0.3">
      <c r="A518" s="2">
        <v>45770</v>
      </c>
      <c r="B518">
        <v>1205.869506835938</v>
      </c>
      <c r="C518">
        <f t="shared" si="26"/>
        <v>1.6561247308923842E-4</v>
      </c>
      <c r="K518">
        <f t="shared" si="24"/>
        <v>1403</v>
      </c>
      <c r="L518" s="5">
        <f t="shared" si="25"/>
        <v>-0.14050640995300212</v>
      </c>
    </row>
    <row r="519" spans="1:12" x14ac:dyDescent="0.3">
      <c r="A519" s="2">
        <v>45771</v>
      </c>
      <c r="B519">
        <v>1206.069213867188</v>
      </c>
      <c r="C519">
        <f t="shared" si="26"/>
        <v>-3.3799896539708031E-2</v>
      </c>
      <c r="K519">
        <f t="shared" si="24"/>
        <v>1403</v>
      </c>
      <c r="L519" s="5">
        <f t="shared" si="25"/>
        <v>-0.14036406709395011</v>
      </c>
    </row>
    <row r="520" spans="1:12" x14ac:dyDescent="0.3">
      <c r="A520" s="2">
        <v>45772</v>
      </c>
      <c r="B520">
        <v>1165.30419921875</v>
      </c>
      <c r="C520">
        <f t="shared" si="26"/>
        <v>2.2721358886054012E-2</v>
      </c>
      <c r="K520">
        <f t="shared" si="24"/>
        <v>1403</v>
      </c>
      <c r="L520" s="5">
        <f t="shared" si="25"/>
        <v>-0.16941967268799007</v>
      </c>
    </row>
    <row r="521" spans="1:12" x14ac:dyDescent="0.3">
      <c r="A521" s="2">
        <v>45775</v>
      </c>
      <c r="B521">
        <v>1191.781494140625</v>
      </c>
      <c r="C521">
        <f t="shared" si="26"/>
        <v>-4.6109452821932644E-3</v>
      </c>
      <c r="K521">
        <f t="shared" si="24"/>
        <v>1403</v>
      </c>
      <c r="L521" s="5">
        <f t="shared" si="25"/>
        <v>-0.15054775898743766</v>
      </c>
    </row>
    <row r="522" spans="1:12" x14ac:dyDescent="0.3">
      <c r="A522" s="2">
        <v>45776</v>
      </c>
      <c r="B522">
        <v>1186.286254882812</v>
      </c>
      <c r="C522">
        <f t="shared" si="26"/>
        <v>-1.9372185201211062E-3</v>
      </c>
      <c r="K522">
        <f t="shared" si="24"/>
        <v>1403</v>
      </c>
      <c r="L522" s="5">
        <f t="shared" si="25"/>
        <v>-0.15446453679058303</v>
      </c>
    </row>
    <row r="523" spans="1:12" x14ac:dyDescent="0.3">
      <c r="A523" s="2">
        <v>45777</v>
      </c>
      <c r="B523">
        <v>1183.988159179688</v>
      </c>
      <c r="C523">
        <f t="shared" si="26"/>
        <v>-1.3502101352158738E-3</v>
      </c>
      <c r="K523">
        <f t="shared" si="24"/>
        <v>1403</v>
      </c>
      <c r="L523" s="5">
        <f t="shared" si="25"/>
        <v>-0.15610252374933142</v>
      </c>
    </row>
    <row r="524" spans="1:12" x14ac:dyDescent="0.3">
      <c r="A524" s="2">
        <v>45779</v>
      </c>
      <c r="B524">
        <v>1182.389526367188</v>
      </c>
      <c r="C524">
        <f t="shared" si="26"/>
        <v>-8.6193306205209781E-3</v>
      </c>
      <c r="K524">
        <f t="shared" si="24"/>
        <v>1403</v>
      </c>
      <c r="L524" s="5">
        <f t="shared" si="25"/>
        <v>-0.15724196267484825</v>
      </c>
    </row>
    <row r="525" spans="1:12" x14ac:dyDescent="0.3">
      <c r="A525" s="2">
        <v>45782</v>
      </c>
      <c r="B525">
        <v>1172.198120117188</v>
      </c>
      <c r="C525">
        <f t="shared" si="26"/>
        <v>-1.0057851756917381E-2</v>
      </c>
      <c r="K525">
        <f t="shared" si="24"/>
        <v>1403</v>
      </c>
      <c r="L525" s="5">
        <f t="shared" si="25"/>
        <v>-0.16450597283165502</v>
      </c>
    </row>
    <row r="526" spans="1:12" x14ac:dyDescent="0.3">
      <c r="A526" s="2">
        <v>45783</v>
      </c>
      <c r="B526">
        <v>1160.408325195312</v>
      </c>
      <c r="C526">
        <f t="shared" si="26"/>
        <v>-8.6050326816884771E-5</v>
      </c>
      <c r="K526">
        <f t="shared" si="24"/>
        <v>1403</v>
      </c>
      <c r="L526" s="5">
        <f t="shared" si="25"/>
        <v>-0.17290924790070417</v>
      </c>
    </row>
    <row r="527" spans="1:12" x14ac:dyDescent="0.3">
      <c r="A527" s="2">
        <v>45784</v>
      </c>
      <c r="B527">
        <v>1160.308471679688</v>
      </c>
      <c r="C527">
        <f t="shared" si="26"/>
        <v>9.3858686681152249E-3</v>
      </c>
      <c r="K527">
        <f t="shared" si="24"/>
        <v>1403</v>
      </c>
      <c r="L527" s="5">
        <f t="shared" si="25"/>
        <v>-0.17298041933022956</v>
      </c>
    </row>
    <row r="528" spans="1:12" x14ac:dyDescent="0.3">
      <c r="A528" s="2">
        <v>45785</v>
      </c>
      <c r="B528">
        <v>1171.198974609375</v>
      </c>
      <c r="C528">
        <f t="shared" si="26"/>
        <v>-1.8000279744710676E-2</v>
      </c>
      <c r="K528">
        <f t="shared" si="24"/>
        <v>1403</v>
      </c>
      <c r="L528" s="5">
        <f t="shared" si="25"/>
        <v>-0.16521812216010334</v>
      </c>
    </row>
    <row r="529" spans="1:12" x14ac:dyDescent="0.3">
      <c r="A529" s="2">
        <v>45786</v>
      </c>
      <c r="B529">
        <v>1150.117065429688</v>
      </c>
      <c r="C529">
        <f t="shared" si="26"/>
        <v>4.508733454124568E-2</v>
      </c>
      <c r="K529">
        <f t="shared" si="24"/>
        <v>1403</v>
      </c>
      <c r="L529" s="5">
        <f t="shared" si="25"/>
        <v>-0.18024442948703634</v>
      </c>
    </row>
    <row r="530" spans="1:12" x14ac:dyDescent="0.3">
      <c r="A530" s="2">
        <v>45789</v>
      </c>
      <c r="B530">
        <v>1201.972778320312</v>
      </c>
      <c r="C530">
        <f t="shared" si="26"/>
        <v>-7.8137940749055737E-3</v>
      </c>
      <c r="K530">
        <f t="shared" si="24"/>
        <v>1403</v>
      </c>
      <c r="L530" s="5">
        <f t="shared" si="25"/>
        <v>-0.14328383583726867</v>
      </c>
    </row>
    <row r="531" spans="1:12" x14ac:dyDescent="0.3">
      <c r="A531" s="2">
        <v>45790</v>
      </c>
      <c r="B531">
        <v>1192.580810546875</v>
      </c>
      <c r="C531">
        <f t="shared" si="26"/>
        <v>1.5917708996311499E-3</v>
      </c>
      <c r="K531">
        <f t="shared" si="24"/>
        <v>1403</v>
      </c>
      <c r="L531" s="5">
        <f t="shared" si="25"/>
        <v>-0.14997803952467925</v>
      </c>
    </row>
    <row r="532" spans="1:12" x14ac:dyDescent="0.3">
      <c r="A532" s="2">
        <v>45791</v>
      </c>
      <c r="B532">
        <v>1194.479125976562</v>
      </c>
      <c r="C532">
        <f t="shared" si="26"/>
        <v>1.1375986914079091E-2</v>
      </c>
      <c r="K532">
        <f t="shared" si="24"/>
        <v>1403</v>
      </c>
      <c r="L532" s="5">
        <f t="shared" si="25"/>
        <v>-0.14862499930394724</v>
      </c>
    </row>
    <row r="533" spans="1:12" x14ac:dyDescent="0.3">
      <c r="A533" s="2">
        <v>45792</v>
      </c>
      <c r="B533">
        <v>1208.067504882812</v>
      </c>
      <c r="C533">
        <f t="shared" si="26"/>
        <v>-2.4806777433858369E-4</v>
      </c>
      <c r="K533">
        <f t="shared" si="24"/>
        <v>1403</v>
      </c>
      <c r="L533" s="5">
        <f t="shared" si="25"/>
        <v>-0.1389397684370548</v>
      </c>
    </row>
    <row r="534" spans="1:12" x14ac:dyDescent="0.3">
      <c r="A534" s="2">
        <v>45793</v>
      </c>
      <c r="B534">
        <v>1207.767822265625</v>
      </c>
      <c r="C534">
        <f t="shared" si="26"/>
        <v>-4.9635972546688235E-3</v>
      </c>
      <c r="K534">
        <f t="shared" si="24"/>
        <v>1403</v>
      </c>
      <c r="L534" s="5">
        <f t="shared" si="25"/>
        <v>-0.1391533697322701</v>
      </c>
    </row>
    <row r="535" spans="1:12" x14ac:dyDescent="0.3">
      <c r="A535" s="2">
        <v>45796</v>
      </c>
      <c r="B535">
        <v>1201.77294921875</v>
      </c>
      <c r="C535">
        <f t="shared" si="26"/>
        <v>-5.8197503606938691E-3</v>
      </c>
      <c r="K535">
        <f t="shared" si="24"/>
        <v>1403</v>
      </c>
      <c r="L535" s="5">
        <f t="shared" si="25"/>
        <v>-0.14342626570295791</v>
      </c>
    </row>
    <row r="536" spans="1:12" x14ac:dyDescent="0.3">
      <c r="A536" s="2">
        <v>45797</v>
      </c>
      <c r="B536">
        <v>1194.778930664062</v>
      </c>
      <c r="C536">
        <f t="shared" si="26"/>
        <v>1.6725194630903416E-3</v>
      </c>
      <c r="K536">
        <f t="shared" si="24"/>
        <v>1403</v>
      </c>
      <c r="L536" s="5">
        <f t="shared" si="25"/>
        <v>-0.14841131100209404</v>
      </c>
    </row>
    <row r="537" spans="1:12" x14ac:dyDescent="0.3">
      <c r="A537" s="2">
        <v>45798</v>
      </c>
      <c r="B537">
        <v>1196.777221679688</v>
      </c>
      <c r="C537">
        <f t="shared" si="26"/>
        <v>-7.764280677711584E-3</v>
      </c>
      <c r="K537">
        <f t="shared" si="24"/>
        <v>1403</v>
      </c>
      <c r="L537" s="5">
        <f t="shared" si="25"/>
        <v>-0.14698701234519751</v>
      </c>
    </row>
    <row r="538" spans="1:12" x14ac:dyDescent="0.3">
      <c r="A538" s="2">
        <v>45799</v>
      </c>
      <c r="B538">
        <v>1187.485107421875</v>
      </c>
      <c r="C538">
        <f t="shared" si="26"/>
        <v>1.8174158845330912E-2</v>
      </c>
      <c r="K538">
        <f t="shared" si="24"/>
        <v>1403</v>
      </c>
      <c r="L538" s="5">
        <f t="shared" si="25"/>
        <v>-0.1536100446030827</v>
      </c>
    </row>
    <row r="539" spans="1:12" x14ac:dyDescent="0.3">
      <c r="A539" s="2">
        <v>45800</v>
      </c>
      <c r="B539">
        <v>1209.066650390625</v>
      </c>
      <c r="C539">
        <f t="shared" si="26"/>
        <v>4.2145758658992715E-3</v>
      </c>
      <c r="K539">
        <f t="shared" si="24"/>
        <v>1403</v>
      </c>
      <c r="L539" s="5">
        <f t="shared" si="25"/>
        <v>-0.13822761910860659</v>
      </c>
    </row>
    <row r="540" spans="1:12" x14ac:dyDescent="0.3">
      <c r="A540" s="2">
        <v>45803</v>
      </c>
      <c r="B540">
        <v>1214.162353515625</v>
      </c>
      <c r="C540">
        <f t="shared" si="26"/>
        <v>-1.6129022528512275E-2</v>
      </c>
      <c r="K540">
        <f t="shared" si="24"/>
        <v>1403</v>
      </c>
      <c r="L540" s="5">
        <f t="shared" si="25"/>
        <v>-0.13459561403020315</v>
      </c>
    </row>
    <row r="541" spans="1:12" x14ac:dyDescent="0.3">
      <c r="A541" s="2">
        <v>45804</v>
      </c>
      <c r="B541">
        <v>1194.5791015625</v>
      </c>
      <c r="C541">
        <f t="shared" si="26"/>
        <v>-7.5281075234924835E-4</v>
      </c>
      <c r="K541">
        <f t="shared" si="24"/>
        <v>1403</v>
      </c>
      <c r="L541" s="5">
        <f t="shared" si="25"/>
        <v>-0.14855374086778328</v>
      </c>
    </row>
    <row r="542" spans="1:12" x14ac:dyDescent="0.3">
      <c r="A542" s="2">
        <v>45805</v>
      </c>
      <c r="B542">
        <v>1193.679809570312</v>
      </c>
      <c r="C542">
        <f t="shared" si="26"/>
        <v>5.8592082220152372E-3</v>
      </c>
      <c r="K542">
        <f t="shared" si="24"/>
        <v>1403</v>
      </c>
      <c r="L542" s="5">
        <f t="shared" si="25"/>
        <v>-0.14919471876670565</v>
      </c>
    </row>
    <row r="543" spans="1:12" x14ac:dyDescent="0.3">
      <c r="A543" s="2">
        <v>45806</v>
      </c>
      <c r="B543">
        <v>1200.673828125</v>
      </c>
      <c r="C543">
        <f t="shared" si="26"/>
        <v>-7.905513668268957E-3</v>
      </c>
      <c r="K543">
        <f t="shared" si="24"/>
        <v>1403</v>
      </c>
      <c r="L543" s="5">
        <f t="shared" si="25"/>
        <v>-0.14420967346756952</v>
      </c>
    </row>
    <row r="544" spans="1:12" x14ac:dyDescent="0.3">
      <c r="A544" s="2">
        <v>45807</v>
      </c>
      <c r="B544">
        <v>1191.181884765625</v>
      </c>
      <c r="C544">
        <f t="shared" si="26"/>
        <v>1.8454294978910988E-3</v>
      </c>
      <c r="K544">
        <f t="shared" si="24"/>
        <v>1403</v>
      </c>
      <c r="L544" s="5">
        <f t="shared" si="25"/>
        <v>-0.15097513559114395</v>
      </c>
    </row>
    <row r="545" spans="1:12" x14ac:dyDescent="0.3">
      <c r="A545" s="2">
        <v>45810</v>
      </c>
      <c r="B545">
        <v>1193.380126953125</v>
      </c>
      <c r="C545">
        <f t="shared" si="26"/>
        <v>-1.0800446391582418E-2</v>
      </c>
      <c r="K545">
        <f t="shared" si="24"/>
        <v>1403</v>
      </c>
      <c r="L545" s="5">
        <f t="shared" si="25"/>
        <v>-0.14940832006192084</v>
      </c>
    </row>
    <row r="546" spans="1:12" x14ac:dyDescent="0.3">
      <c r="A546" s="2">
        <v>45811</v>
      </c>
      <c r="B546">
        <v>1180.491088867188</v>
      </c>
      <c r="C546">
        <f t="shared" si="26"/>
        <v>-8.8869512830826655E-3</v>
      </c>
      <c r="K546">
        <f t="shared" si="24"/>
        <v>1403</v>
      </c>
      <c r="L546" s="5">
        <f t="shared" si="25"/>
        <v>-0.15859508990221816</v>
      </c>
    </row>
    <row r="547" spans="1:12" x14ac:dyDescent="0.3">
      <c r="A547" s="2">
        <v>45812</v>
      </c>
      <c r="B547">
        <v>1170.000122070312</v>
      </c>
      <c r="C547">
        <f t="shared" si="26"/>
        <v>-1.0247645164800647E-2</v>
      </c>
      <c r="K547">
        <f t="shared" si="24"/>
        <v>1403</v>
      </c>
      <c r="L547" s="5">
        <f t="shared" si="25"/>
        <v>-0.16607261434760368</v>
      </c>
    </row>
    <row r="548" spans="1:12" x14ac:dyDescent="0.3">
      <c r="A548" s="2">
        <v>45813</v>
      </c>
      <c r="B548">
        <v>1158.010375976562</v>
      </c>
      <c r="C548">
        <f t="shared" si="26"/>
        <v>3.0716115171359942E-2</v>
      </c>
      <c r="K548">
        <f t="shared" si="24"/>
        <v>1403</v>
      </c>
      <c r="L548" s="5">
        <f t="shared" si="25"/>
        <v>-0.17461840628897929</v>
      </c>
    </row>
    <row r="549" spans="1:12" x14ac:dyDescent="0.3">
      <c r="A549" s="2">
        <v>45814</v>
      </c>
      <c r="B549">
        <v>1193.579956054688</v>
      </c>
      <c r="C549">
        <f t="shared" si="26"/>
        <v>2.117867534100399E-2</v>
      </c>
      <c r="K549">
        <f t="shared" si="24"/>
        <v>1403</v>
      </c>
      <c r="L549" s="5">
        <f t="shared" si="25"/>
        <v>-0.14926589019623093</v>
      </c>
    </row>
    <row r="550" spans="1:12" x14ac:dyDescent="0.3">
      <c r="A550" s="2">
        <v>45817</v>
      </c>
      <c r="B550">
        <v>1218.8583984375</v>
      </c>
      <c r="C550">
        <f t="shared" si="26"/>
        <v>1.0574580305758061E-2</v>
      </c>
      <c r="K550">
        <f t="shared" si="24"/>
        <v>1403</v>
      </c>
      <c r="L550" s="5">
        <f t="shared" si="25"/>
        <v>-0.13124846868317885</v>
      </c>
    </row>
    <row r="551" spans="1:12" x14ac:dyDescent="0.3">
      <c r="A551" s="2">
        <v>45818</v>
      </c>
      <c r="B551">
        <v>1231.747314453125</v>
      </c>
      <c r="C551">
        <f t="shared" si="26"/>
        <v>-1.1356255414756804E-3</v>
      </c>
      <c r="K551">
        <f t="shared" si="24"/>
        <v>1403</v>
      </c>
      <c r="L551" s="5">
        <f t="shared" si="25"/>
        <v>-0.12206178584951888</v>
      </c>
    </row>
    <row r="552" spans="1:12" x14ac:dyDescent="0.3">
      <c r="A552" s="2">
        <v>45819</v>
      </c>
      <c r="B552">
        <v>1230.348510742188</v>
      </c>
      <c r="C552">
        <f t="shared" si="26"/>
        <v>-1.5023491878919458E-2</v>
      </c>
      <c r="K552">
        <f t="shared" si="24"/>
        <v>1403</v>
      </c>
      <c r="L552" s="5">
        <f t="shared" si="25"/>
        <v>-0.12305879490934568</v>
      </c>
    </row>
    <row r="553" spans="1:12" x14ac:dyDescent="0.3">
      <c r="A553" s="2">
        <v>45820</v>
      </c>
      <c r="B553">
        <v>1211.864379882812</v>
      </c>
      <c r="C553">
        <f t="shared" si="26"/>
        <v>-5.8537855047031614E-3</v>
      </c>
      <c r="K553">
        <f t="shared" si="24"/>
        <v>1403</v>
      </c>
      <c r="L553" s="5">
        <f t="shared" si="25"/>
        <v>-0.13623351398231498</v>
      </c>
    </row>
    <row r="554" spans="1:12" x14ac:dyDescent="0.3">
      <c r="A554" s="2">
        <v>45821</v>
      </c>
      <c r="B554">
        <v>1204.770385742188</v>
      </c>
      <c r="C554">
        <f t="shared" si="26"/>
        <v>7.9615144831859889E-3</v>
      </c>
      <c r="K554">
        <f t="shared" si="24"/>
        <v>1403</v>
      </c>
      <c r="L554" s="5">
        <f t="shared" si="25"/>
        <v>-0.14128981771761373</v>
      </c>
    </row>
    <row r="555" spans="1:12" x14ac:dyDescent="0.3">
      <c r="A555" s="2">
        <v>45824</v>
      </c>
      <c r="B555">
        <v>1214.362182617188</v>
      </c>
      <c r="C555">
        <f t="shared" si="26"/>
        <v>-2.4688243078672153E-4</v>
      </c>
      <c r="K555">
        <f t="shared" si="24"/>
        <v>1403</v>
      </c>
      <c r="L555" s="5">
        <f t="shared" si="25"/>
        <v>-0.13445318416451324</v>
      </c>
    </row>
    <row r="556" spans="1:12" x14ac:dyDescent="0.3">
      <c r="A556" s="2">
        <v>45825</v>
      </c>
      <c r="B556">
        <v>1214.062377929688</v>
      </c>
      <c r="C556">
        <f t="shared" si="26"/>
        <v>4.8556150313319472E-3</v>
      </c>
      <c r="K556">
        <f t="shared" si="24"/>
        <v>1403</v>
      </c>
      <c r="L556" s="5">
        <f t="shared" si="25"/>
        <v>-0.13466687246636644</v>
      </c>
    </row>
    <row r="557" spans="1:12" x14ac:dyDescent="0.3">
      <c r="A557" s="2">
        <v>45826</v>
      </c>
      <c r="B557">
        <v>1219.957397460938</v>
      </c>
      <c r="C557">
        <f t="shared" si="26"/>
        <v>-2.8665511761134868E-3</v>
      </c>
      <c r="K557">
        <f t="shared" si="24"/>
        <v>1403</v>
      </c>
      <c r="L557" s="5">
        <f t="shared" si="25"/>
        <v>-0.13046514792520458</v>
      </c>
    </row>
    <row r="558" spans="1:12" x14ac:dyDescent="0.3">
      <c r="A558" s="2">
        <v>45827</v>
      </c>
      <c r="B558">
        <v>1216.460327148438</v>
      </c>
      <c r="C558">
        <f t="shared" si="26"/>
        <v>2.6283353050196557E-3</v>
      </c>
      <c r="K558">
        <f t="shared" si="24"/>
        <v>1403</v>
      </c>
      <c r="L558" s="5">
        <f t="shared" si="25"/>
        <v>-0.13295771407809132</v>
      </c>
    </row>
    <row r="559" spans="1:12" x14ac:dyDescent="0.3">
      <c r="A559" s="2">
        <v>45828</v>
      </c>
      <c r="B559">
        <v>1219.657592773438</v>
      </c>
      <c r="C559">
        <f t="shared" si="26"/>
        <v>-5.4067308649862313E-3</v>
      </c>
      <c r="K559">
        <f t="shared" si="24"/>
        <v>1403</v>
      </c>
      <c r="L559" s="5">
        <f t="shared" si="25"/>
        <v>-0.13067883622705778</v>
      </c>
    </row>
    <row r="560" spans="1:12" x14ac:dyDescent="0.3">
      <c r="A560" s="2">
        <v>45831</v>
      </c>
      <c r="B560">
        <v>1213.063232421875</v>
      </c>
      <c r="C560">
        <f t="shared" si="26"/>
        <v>5.8480002946440591E-3</v>
      </c>
      <c r="K560">
        <f t="shared" si="24"/>
        <v>1403</v>
      </c>
      <c r="L560" s="5">
        <f t="shared" si="25"/>
        <v>-0.13537902179481465</v>
      </c>
    </row>
    <row r="561" spans="1:12" x14ac:dyDescent="0.3">
      <c r="A561" s="2">
        <v>45832</v>
      </c>
      <c r="B561">
        <v>1220.1572265625</v>
      </c>
      <c r="C561">
        <f t="shared" si="26"/>
        <v>-6.4689929336395509E-3</v>
      </c>
      <c r="K561">
        <f t="shared" si="24"/>
        <v>1403</v>
      </c>
      <c r="L561" s="5">
        <f t="shared" si="25"/>
        <v>-0.13032271805951534</v>
      </c>
    </row>
    <row r="562" spans="1:12" x14ac:dyDescent="0.3">
      <c r="A562" s="2">
        <v>45833</v>
      </c>
      <c r="B562">
        <v>1212.264038085938</v>
      </c>
      <c r="C562">
        <f t="shared" si="26"/>
        <v>1.6648798136154296E-2</v>
      </c>
      <c r="K562">
        <f t="shared" si="24"/>
        <v>1403</v>
      </c>
      <c r="L562" s="5">
        <f t="shared" si="25"/>
        <v>-0.13594865425093516</v>
      </c>
    </row>
    <row r="563" spans="1:12" x14ac:dyDescent="0.3">
      <c r="A563" s="2">
        <v>45834</v>
      </c>
      <c r="B563">
        <v>1232.44677734375</v>
      </c>
      <c r="C563">
        <f t="shared" si="26"/>
        <v>-6.8099852182071322E-3</v>
      </c>
      <c r="K563">
        <f t="shared" si="24"/>
        <v>1403</v>
      </c>
      <c r="L563" s="5">
        <f t="shared" si="25"/>
        <v>-0.12156323781628653</v>
      </c>
    </row>
    <row r="564" spans="1:12" x14ac:dyDescent="0.3">
      <c r="A564" s="2">
        <v>45835</v>
      </c>
      <c r="B564">
        <v>1224.053833007812</v>
      </c>
      <c r="C564">
        <f t="shared" si="26"/>
        <v>-2.1141169603555211E-2</v>
      </c>
      <c r="K564">
        <f t="shared" si="24"/>
        <v>1403</v>
      </c>
      <c r="L564" s="5">
        <f t="shared" si="25"/>
        <v>-0.12754537918188735</v>
      </c>
    </row>
    <row r="565" spans="1:12" x14ac:dyDescent="0.3">
      <c r="A565" s="2">
        <v>45838</v>
      </c>
      <c r="B565">
        <v>1198.175903320312</v>
      </c>
      <c r="C565">
        <f t="shared" si="26"/>
        <v>-2.1597567999125523E-2</v>
      </c>
      <c r="K565">
        <f t="shared" si="24"/>
        <v>1403</v>
      </c>
      <c r="L565" s="5">
        <f t="shared" si="25"/>
        <v>-0.14599009029200849</v>
      </c>
    </row>
    <row r="566" spans="1:12" x14ac:dyDescent="0.3">
      <c r="A566" s="2">
        <v>45839</v>
      </c>
      <c r="B566">
        <v>1172.298217773438</v>
      </c>
      <c r="C566">
        <f t="shared" si="26"/>
        <v>1.7045927267717526E-3</v>
      </c>
      <c r="K566">
        <f t="shared" si="24"/>
        <v>1403</v>
      </c>
      <c r="L566" s="5">
        <f t="shared" si="25"/>
        <v>-0.16443462738885395</v>
      </c>
    </row>
    <row r="567" spans="1:12" x14ac:dyDescent="0.3">
      <c r="A567" s="2">
        <v>45840</v>
      </c>
      <c r="B567">
        <v>1174.296508789062</v>
      </c>
      <c r="C567">
        <f t="shared" si="26"/>
        <v>-3.5736572251684269E-3</v>
      </c>
      <c r="K567">
        <f t="shared" si="24"/>
        <v>1403</v>
      </c>
      <c r="L567" s="5">
        <f t="shared" si="25"/>
        <v>-0.16301032873195864</v>
      </c>
    </row>
    <row r="568" spans="1:12" x14ac:dyDescent="0.3">
      <c r="A568" s="2">
        <v>45841</v>
      </c>
      <c r="B568">
        <v>1170.099975585938</v>
      </c>
      <c r="C568">
        <f t="shared" si="26"/>
        <v>6.4097087056550943E-3</v>
      </c>
      <c r="K568">
        <f t="shared" si="24"/>
        <v>1403</v>
      </c>
      <c r="L568" s="5">
        <f t="shared" si="25"/>
        <v>-0.16600144291807706</v>
      </c>
    </row>
    <row r="569" spans="1:12" x14ac:dyDescent="0.3">
      <c r="A569" s="2">
        <v>45842</v>
      </c>
      <c r="B569">
        <v>1177.599975585938</v>
      </c>
      <c r="C569">
        <f t="shared" si="26"/>
        <v>-2.1229620005350936E-3</v>
      </c>
      <c r="K569">
        <f t="shared" si="24"/>
        <v>1403</v>
      </c>
      <c r="L569" s="5">
        <f t="shared" si="25"/>
        <v>-0.16065575510624519</v>
      </c>
    </row>
    <row r="570" spans="1:12" x14ac:dyDescent="0.3">
      <c r="A570" s="2">
        <v>45845</v>
      </c>
      <c r="B570">
        <v>1175.099975585938</v>
      </c>
      <c r="C570">
        <f t="shared" si="26"/>
        <v>-8.2545752475564824E-3</v>
      </c>
      <c r="K570">
        <f t="shared" si="24"/>
        <v>1403</v>
      </c>
      <c r="L570" s="5">
        <f t="shared" si="25"/>
        <v>-0.16243765104352248</v>
      </c>
    </row>
    <row r="571" spans="1:12" x14ac:dyDescent="0.3">
      <c r="A571" s="2">
        <v>45846</v>
      </c>
      <c r="B571">
        <v>1165.400024414062</v>
      </c>
      <c r="C571">
        <f t="shared" si="26"/>
        <v>-6.0071497127265542E-4</v>
      </c>
      <c r="K571">
        <f t="shared" si="24"/>
        <v>1403</v>
      </c>
      <c r="L571" s="5">
        <f t="shared" si="25"/>
        <v>-0.16935137247750387</v>
      </c>
    </row>
    <row r="572" spans="1:12" x14ac:dyDescent="0.3">
      <c r="A572" s="2">
        <v>45847</v>
      </c>
      <c r="B572">
        <v>1164.699951171875</v>
      </c>
      <c r="C572">
        <f t="shared" si="26"/>
        <v>-3.4335224565574515E-4</v>
      </c>
      <c r="K572">
        <f t="shared" si="24"/>
        <v>1403</v>
      </c>
      <c r="L572" s="5">
        <f t="shared" si="25"/>
        <v>-0.16985035554392369</v>
      </c>
    </row>
    <row r="573" spans="1:12" x14ac:dyDescent="0.3">
      <c r="A573" s="2">
        <v>45848</v>
      </c>
      <c r="B573">
        <v>1164.300048828125</v>
      </c>
      <c r="C573">
        <f t="shared" si="26"/>
        <v>8.1594087448178046E-3</v>
      </c>
      <c r="K573">
        <f t="shared" si="24"/>
        <v>1403</v>
      </c>
      <c r="L573" s="5">
        <f t="shared" si="25"/>
        <v>-0.17013538928857808</v>
      </c>
    </row>
    <row r="574" spans="1:12" x14ac:dyDescent="0.3">
      <c r="A574" s="2">
        <v>45849</v>
      </c>
      <c r="B574">
        <v>1173.800048828125</v>
      </c>
      <c r="C574">
        <f t="shared" si="26"/>
        <v>-9.3721043660570087E-4</v>
      </c>
      <c r="K574">
        <f t="shared" si="24"/>
        <v>1403</v>
      </c>
      <c r="L574" s="5">
        <f t="shared" si="25"/>
        <v>-0.16336418472692449</v>
      </c>
    </row>
    <row r="575" spans="1:12" x14ac:dyDescent="0.3">
      <c r="A575" s="2">
        <v>45852</v>
      </c>
      <c r="B575">
        <v>1172.699951171875</v>
      </c>
      <c r="C575">
        <f t="shared" si="26"/>
        <v>-5.7985222486091276E-3</v>
      </c>
      <c r="K575">
        <f t="shared" si="24"/>
        <v>1403</v>
      </c>
      <c r="L575" s="5">
        <f t="shared" si="25"/>
        <v>-0.16414828854463648</v>
      </c>
    </row>
    <row r="576" spans="1:12" x14ac:dyDescent="0.3">
      <c r="A576" s="2">
        <v>45853</v>
      </c>
      <c r="B576">
        <v>1165.900024414062</v>
      </c>
      <c r="C576">
        <f t="shared" si="26"/>
        <v>2.1442661871942294E-3</v>
      </c>
      <c r="K576">
        <f t="shared" si="24"/>
        <v>1403</v>
      </c>
      <c r="L576" s="5">
        <f t="shared" si="25"/>
        <v>-0.16899499329004841</v>
      </c>
    </row>
    <row r="577" spans="1:12" x14ac:dyDescent="0.3">
      <c r="A577" s="2">
        <v>45854</v>
      </c>
      <c r="B577">
        <v>1168.400024414062</v>
      </c>
      <c r="C577">
        <f t="shared" si="26"/>
        <v>-7.3604719327610641E-3</v>
      </c>
      <c r="K577">
        <f t="shared" si="24"/>
        <v>1403</v>
      </c>
      <c r="L577" s="5">
        <f t="shared" si="25"/>
        <v>-0.16721309735277112</v>
      </c>
    </row>
    <row r="578" spans="1:12" x14ac:dyDescent="0.3">
      <c r="A578" s="2">
        <v>45855</v>
      </c>
      <c r="B578">
        <v>1159.800048828125</v>
      </c>
      <c r="C578">
        <f t="shared" si="26"/>
        <v>-5.2164164039422034E-2</v>
      </c>
      <c r="K578">
        <f t="shared" ref="K578:K641" si="27">MAX(B578:B1317)</f>
        <v>1403</v>
      </c>
      <c r="L578" s="5">
        <f t="shared" ref="L578:L641" si="28">B578/K578-1</f>
        <v>-0.17334280197567709</v>
      </c>
    </row>
    <row r="579" spans="1:12" x14ac:dyDescent="0.3">
      <c r="A579" s="2">
        <v>45856</v>
      </c>
      <c r="B579">
        <v>1099.300048828125</v>
      </c>
      <c r="C579">
        <f t="shared" ref="C579:C642" si="29">(B580-B579)/B579</f>
        <v>2.728342986363754E-4</v>
      </c>
      <c r="K579">
        <f t="shared" si="27"/>
        <v>1403</v>
      </c>
      <c r="L579" s="5">
        <f t="shared" si="28"/>
        <v>-0.21646468365778693</v>
      </c>
    </row>
    <row r="580" spans="1:12" x14ac:dyDescent="0.3">
      <c r="A580" s="2">
        <v>45859</v>
      </c>
      <c r="B580">
        <v>1099.599975585938</v>
      </c>
      <c r="C580">
        <f t="shared" si="29"/>
        <v>-1.4550524022023412E-3</v>
      </c>
      <c r="K580">
        <f t="shared" si="27"/>
        <v>1403</v>
      </c>
      <c r="L580" s="5">
        <f t="shared" si="28"/>
        <v>-0.21625090834929583</v>
      </c>
    </row>
    <row r="581" spans="1:12" x14ac:dyDescent="0.3">
      <c r="A581" s="2">
        <v>45860</v>
      </c>
      <c r="B581">
        <v>1098</v>
      </c>
      <c r="C581">
        <f t="shared" si="29"/>
        <v>6.1931227942850636E-3</v>
      </c>
      <c r="K581">
        <f t="shared" si="27"/>
        <v>1403</v>
      </c>
      <c r="L581" s="5">
        <f t="shared" si="28"/>
        <v>-0.21739130434782605</v>
      </c>
    </row>
    <row r="582" spans="1:12" x14ac:dyDescent="0.3">
      <c r="A582" s="2">
        <v>45861</v>
      </c>
      <c r="B582">
        <v>1104.800048828125</v>
      </c>
      <c r="C582">
        <f t="shared" si="29"/>
        <v>-8.7799355661470433E-3</v>
      </c>
      <c r="K582">
        <f t="shared" si="27"/>
        <v>1403</v>
      </c>
      <c r="L582" s="5">
        <f t="shared" si="28"/>
        <v>-0.21254451259577689</v>
      </c>
    </row>
    <row r="583" spans="1:12" x14ac:dyDescent="0.3">
      <c r="A583" s="2">
        <v>45862</v>
      </c>
      <c r="B583">
        <v>1095.099975585938</v>
      </c>
      <c r="C583">
        <f t="shared" si="29"/>
        <v>-8.2184277240847457E-3</v>
      </c>
      <c r="K583">
        <f t="shared" si="27"/>
        <v>1403</v>
      </c>
      <c r="L583" s="5">
        <f t="shared" si="28"/>
        <v>-0.21945832103639495</v>
      </c>
    </row>
    <row r="584" spans="1:12" x14ac:dyDescent="0.3">
      <c r="A584" s="2">
        <v>45863</v>
      </c>
      <c r="B584">
        <v>1086.099975585938</v>
      </c>
      <c r="C584">
        <f t="shared" si="29"/>
        <v>-1.1509069405195778E-2</v>
      </c>
      <c r="K584">
        <f t="shared" si="27"/>
        <v>1403</v>
      </c>
      <c r="L584" s="5">
        <f t="shared" si="28"/>
        <v>-0.22587314641059308</v>
      </c>
    </row>
    <row r="585" spans="1:12" x14ac:dyDescent="0.3">
      <c r="A585" s="2">
        <v>45866</v>
      </c>
      <c r="B585">
        <v>1073.599975585938</v>
      </c>
      <c r="C585">
        <f t="shared" si="29"/>
        <v>-8.7556116130989188E-3</v>
      </c>
      <c r="K585">
        <f t="shared" si="27"/>
        <v>1403</v>
      </c>
      <c r="L585" s="5">
        <f t="shared" si="28"/>
        <v>-0.23478262609697931</v>
      </c>
    </row>
    <row r="586" spans="1:12" x14ac:dyDescent="0.3">
      <c r="A586" s="2">
        <v>45867</v>
      </c>
      <c r="B586">
        <v>1064.199951171875</v>
      </c>
      <c r="C586">
        <f t="shared" si="29"/>
        <v>8.5511164008503851E-3</v>
      </c>
      <c r="K586">
        <f t="shared" si="27"/>
        <v>1403</v>
      </c>
      <c r="L586" s="5">
        <f t="shared" si="28"/>
        <v>-0.24148257222246972</v>
      </c>
    </row>
    <row r="587" spans="1:12" x14ac:dyDescent="0.3">
      <c r="A587" s="2">
        <v>45868</v>
      </c>
      <c r="B587">
        <v>1073.300048828125</v>
      </c>
      <c r="C587">
        <f t="shared" si="29"/>
        <v>-4.565381711677933E-3</v>
      </c>
      <c r="K587">
        <f t="shared" si="27"/>
        <v>1403</v>
      </c>
      <c r="L587" s="5">
        <f t="shared" si="28"/>
        <v>-0.2349964014054704</v>
      </c>
    </row>
    <row r="588" spans="1:12" x14ac:dyDescent="0.3">
      <c r="A588" s="2">
        <v>45869</v>
      </c>
      <c r="B588">
        <v>1068.400024414062</v>
      </c>
      <c r="C588">
        <f t="shared" si="29"/>
        <v>-5.6158740760892008E-3</v>
      </c>
      <c r="K588">
        <f t="shared" si="27"/>
        <v>1403</v>
      </c>
      <c r="L588" s="5">
        <f t="shared" si="28"/>
        <v>-0.23848893484386169</v>
      </c>
    </row>
    <row r="589" spans="1:12" x14ac:dyDescent="0.3">
      <c r="A589" s="2">
        <v>45870</v>
      </c>
      <c r="B589">
        <v>1062.400024414062</v>
      </c>
      <c r="C589">
        <f t="shared" si="29"/>
        <v>5.8357972791795868E-3</v>
      </c>
      <c r="K589">
        <f t="shared" si="27"/>
        <v>1403</v>
      </c>
      <c r="L589" s="5">
        <f t="shared" si="28"/>
        <v>-0.24276548509332707</v>
      </c>
    </row>
    <row r="590" spans="1:12" x14ac:dyDescent="0.3">
      <c r="A590" s="2">
        <v>45873</v>
      </c>
      <c r="B590">
        <v>1068.599975585938</v>
      </c>
      <c r="C590">
        <f t="shared" si="29"/>
        <v>2.0588370694849534E-3</v>
      </c>
      <c r="K590">
        <f t="shared" si="27"/>
        <v>1403</v>
      </c>
      <c r="L590" s="5">
        <f t="shared" si="28"/>
        <v>-0.23834641797153389</v>
      </c>
    </row>
    <row r="591" spans="1:12" x14ac:dyDescent="0.3">
      <c r="A591" s="2">
        <v>45874</v>
      </c>
      <c r="B591">
        <v>1070.800048828125</v>
      </c>
      <c r="C591">
        <f t="shared" si="29"/>
        <v>1.8673063387868253E-4</v>
      </c>
      <c r="K591">
        <f t="shared" si="27"/>
        <v>1403</v>
      </c>
      <c r="L591" s="5">
        <f t="shared" si="28"/>
        <v>-0.23677829734274769</v>
      </c>
    </row>
    <row r="592" spans="1:12" x14ac:dyDescent="0.3">
      <c r="A592" s="2">
        <v>45875</v>
      </c>
      <c r="B592">
        <v>1071</v>
      </c>
      <c r="C592">
        <f t="shared" si="29"/>
        <v>4.8552298523576098E-3</v>
      </c>
      <c r="K592">
        <f t="shared" si="27"/>
        <v>1403</v>
      </c>
      <c r="L592" s="5">
        <f t="shared" si="28"/>
        <v>-0.23663578047042055</v>
      </c>
    </row>
    <row r="593" spans="1:12" x14ac:dyDescent="0.3">
      <c r="A593" s="2">
        <v>45876</v>
      </c>
      <c r="B593">
        <v>1076.199951171875</v>
      </c>
      <c r="C593">
        <f t="shared" si="29"/>
        <v>-1.6818413312719414E-2</v>
      </c>
      <c r="K593">
        <f t="shared" si="27"/>
        <v>1403</v>
      </c>
      <c r="L593" s="5">
        <f t="shared" si="28"/>
        <v>-0.23292947172353884</v>
      </c>
    </row>
    <row r="594" spans="1:12" x14ac:dyDescent="0.3">
      <c r="A594" s="2">
        <v>45877</v>
      </c>
      <c r="B594">
        <v>1058.099975585938</v>
      </c>
      <c r="C594">
        <f t="shared" si="29"/>
        <v>1.4365441444953997E-2</v>
      </c>
      <c r="K594">
        <f t="shared" si="27"/>
        <v>1403</v>
      </c>
      <c r="L594" s="5">
        <f t="shared" si="28"/>
        <v>-0.24583038090809839</v>
      </c>
    </row>
    <row r="595" spans="1:12" x14ac:dyDescent="0.3">
      <c r="A595" s="2">
        <v>45880</v>
      </c>
      <c r="B595">
        <v>1073.300048828125</v>
      </c>
      <c r="C595">
        <f t="shared" si="29"/>
        <v>-3.0746750004606214E-3</v>
      </c>
      <c r="K595">
        <f t="shared" si="27"/>
        <v>1403</v>
      </c>
      <c r="L595" s="5">
        <f t="shared" si="28"/>
        <v>-0.2349964014054704</v>
      </c>
    </row>
    <row r="596" spans="1:12" x14ac:dyDescent="0.3">
      <c r="A596" s="2">
        <v>45881</v>
      </c>
      <c r="B596">
        <v>1070</v>
      </c>
      <c r="C596">
        <f t="shared" si="29"/>
        <v>-3.7383177570093459E-3</v>
      </c>
      <c r="K596">
        <f t="shared" si="27"/>
        <v>1403</v>
      </c>
      <c r="L596" s="5">
        <f t="shared" si="28"/>
        <v>-0.23734853884533147</v>
      </c>
    </row>
    <row r="597" spans="1:12" x14ac:dyDescent="0.3">
      <c r="A597" s="2">
        <v>45882</v>
      </c>
      <c r="B597">
        <v>1066</v>
      </c>
      <c r="C597">
        <f t="shared" si="29"/>
        <v>2.0637440636726077E-3</v>
      </c>
      <c r="K597">
        <f t="shared" si="27"/>
        <v>1403</v>
      </c>
      <c r="L597" s="5">
        <f t="shared" si="28"/>
        <v>-0.24019957234497502</v>
      </c>
    </row>
    <row r="598" spans="1:12" x14ac:dyDescent="0.3">
      <c r="A598" s="2">
        <v>45883</v>
      </c>
      <c r="B598">
        <v>1068.199951171875</v>
      </c>
      <c r="C598">
        <f t="shared" si="29"/>
        <v>1.3480645077979385E-2</v>
      </c>
      <c r="K598">
        <f t="shared" si="27"/>
        <v>1403</v>
      </c>
      <c r="L598" s="5">
        <f t="shared" si="28"/>
        <v>-0.23863153872282605</v>
      </c>
    </row>
    <row r="599" spans="1:12" x14ac:dyDescent="0.3">
      <c r="A599" s="2">
        <v>45887</v>
      </c>
      <c r="B599">
        <v>1082.599975585938</v>
      </c>
      <c r="C599">
        <f t="shared" si="29"/>
        <v>5.5419878022103144E-4</v>
      </c>
      <c r="K599">
        <f t="shared" si="27"/>
        <v>1403</v>
      </c>
      <c r="L599" s="5">
        <f t="shared" si="28"/>
        <v>-0.22836780072278118</v>
      </c>
    </row>
    <row r="600" spans="1:12" x14ac:dyDescent="0.3">
      <c r="A600" s="2">
        <v>45888</v>
      </c>
      <c r="B600">
        <v>1083.199951171875</v>
      </c>
      <c r="C600">
        <f t="shared" si="29"/>
        <v>-2.7695717644322343E-3</v>
      </c>
      <c r="K600">
        <f t="shared" si="27"/>
        <v>1403</v>
      </c>
      <c r="L600" s="5">
        <f t="shared" si="28"/>
        <v>-0.22794016309916254</v>
      </c>
    </row>
    <row r="601" spans="1:12" x14ac:dyDescent="0.3">
      <c r="A601" s="2">
        <v>45889</v>
      </c>
      <c r="B601">
        <v>1080.199951171875</v>
      </c>
      <c r="C601">
        <f t="shared" si="29"/>
        <v>-1.2034130869962593E-3</v>
      </c>
      <c r="K601">
        <f t="shared" si="27"/>
        <v>1403</v>
      </c>
      <c r="L601" s="5">
        <f t="shared" si="28"/>
        <v>-0.23007843822389518</v>
      </c>
    </row>
    <row r="602" spans="1:12" x14ac:dyDescent="0.3">
      <c r="A602" s="2">
        <v>45890</v>
      </c>
      <c r="B602">
        <v>1078.900024414062</v>
      </c>
      <c r="C602">
        <f t="shared" si="29"/>
        <v>-7.4149595133661305E-3</v>
      </c>
      <c r="K602">
        <f t="shared" si="27"/>
        <v>1403</v>
      </c>
      <c r="L602" s="5">
        <f t="shared" si="28"/>
        <v>-0.23100497190729719</v>
      </c>
    </row>
    <row r="603" spans="1:12" x14ac:dyDescent="0.3">
      <c r="A603" s="2">
        <v>45891</v>
      </c>
      <c r="B603">
        <v>1070.900024414062</v>
      </c>
      <c r="C603">
        <f t="shared" si="29"/>
        <v>-8.4043738308297211E-4</v>
      </c>
      <c r="K603">
        <f t="shared" si="27"/>
        <v>1403</v>
      </c>
      <c r="L603" s="5">
        <f t="shared" si="28"/>
        <v>-0.2367070389065844</v>
      </c>
    </row>
    <row r="604" spans="1:12" x14ac:dyDescent="0.3">
      <c r="A604" s="2">
        <v>45894</v>
      </c>
      <c r="B604">
        <v>1070</v>
      </c>
      <c r="C604">
        <f t="shared" si="29"/>
        <v>-1.8598153658001913E-2</v>
      </c>
      <c r="K604">
        <f t="shared" si="27"/>
        <v>1403</v>
      </c>
      <c r="L604" s="5">
        <f t="shared" si="28"/>
        <v>-0.23734853884533147</v>
      </c>
    </row>
    <row r="605" spans="1:12" x14ac:dyDescent="0.3">
      <c r="A605" s="2">
        <v>45895</v>
      </c>
      <c r="B605">
        <v>1050.099975585938</v>
      </c>
      <c r="C605">
        <f t="shared" si="29"/>
        <v>1.714169002927263E-3</v>
      </c>
      <c r="K605">
        <f t="shared" si="27"/>
        <v>1403</v>
      </c>
      <c r="L605" s="5">
        <f t="shared" si="28"/>
        <v>-0.2515324479073856</v>
      </c>
    </row>
    <row r="606" spans="1:12" x14ac:dyDescent="0.3">
      <c r="A606" s="2">
        <v>45897</v>
      </c>
      <c r="B606">
        <v>1051.900024414062</v>
      </c>
      <c r="C606">
        <f t="shared" si="29"/>
        <v>-6.3694962322290794E-3</v>
      </c>
      <c r="K606">
        <f t="shared" si="27"/>
        <v>1403</v>
      </c>
      <c r="L606" s="5">
        <f t="shared" si="28"/>
        <v>-0.25024944802989157</v>
      </c>
    </row>
    <row r="607" spans="1:12" x14ac:dyDescent="0.3">
      <c r="A607" s="2">
        <v>45898</v>
      </c>
      <c r="B607">
        <v>1045.199951171875</v>
      </c>
      <c r="C607">
        <f t="shared" si="29"/>
        <v>1.55951488610858E-2</v>
      </c>
      <c r="K607">
        <f t="shared" si="27"/>
        <v>1403</v>
      </c>
      <c r="L607" s="5">
        <f t="shared" si="28"/>
        <v>-0.25502498134577689</v>
      </c>
    </row>
    <row r="608" spans="1:12" x14ac:dyDescent="0.3">
      <c r="A608" s="2">
        <v>45901</v>
      </c>
      <c r="B608">
        <v>1061.5</v>
      </c>
      <c r="C608">
        <f t="shared" si="29"/>
        <v>-4.9929805257889776E-3</v>
      </c>
      <c r="K608">
        <f t="shared" si="27"/>
        <v>1403</v>
      </c>
      <c r="L608" s="5">
        <f t="shared" si="28"/>
        <v>-0.24340698503207414</v>
      </c>
    </row>
    <row r="609" spans="1:12" x14ac:dyDescent="0.3">
      <c r="A609" s="2">
        <v>45902</v>
      </c>
      <c r="B609">
        <v>1056.199951171875</v>
      </c>
      <c r="C609">
        <f t="shared" si="29"/>
        <v>-1.4201856365697802E-3</v>
      </c>
      <c r="K609">
        <f t="shared" si="27"/>
        <v>1403</v>
      </c>
      <c r="L609" s="5">
        <f t="shared" si="28"/>
        <v>-0.24718463922175693</v>
      </c>
    </row>
    <row r="610" spans="1:12" x14ac:dyDescent="0.3">
      <c r="A610" s="2">
        <v>45903</v>
      </c>
      <c r="B610">
        <v>1054.699951171875</v>
      </c>
      <c r="C610">
        <f t="shared" si="29"/>
        <v>-4.0769194622938161E-3</v>
      </c>
      <c r="K610">
        <f t="shared" si="27"/>
        <v>1403</v>
      </c>
      <c r="L610" s="5">
        <f t="shared" si="28"/>
        <v>-0.2482537767841233</v>
      </c>
    </row>
    <row r="611" spans="1:12" x14ac:dyDescent="0.3">
      <c r="A611" s="2">
        <v>45904</v>
      </c>
      <c r="B611">
        <v>1050.400024414062</v>
      </c>
      <c r="C611">
        <f t="shared" si="29"/>
        <v>5.2361004114294743E-3</v>
      </c>
      <c r="K611">
        <f t="shared" si="27"/>
        <v>1403</v>
      </c>
      <c r="L611" s="5">
        <f t="shared" si="28"/>
        <v>-0.25131858559225795</v>
      </c>
    </row>
    <row r="612" spans="1:12" x14ac:dyDescent="0.3">
      <c r="A612" s="2">
        <v>45905</v>
      </c>
      <c r="B612">
        <v>1055.900024414062</v>
      </c>
      <c r="C612">
        <f t="shared" si="29"/>
        <v>-3.7884686505621211E-4</v>
      </c>
      <c r="K612">
        <f t="shared" si="27"/>
        <v>1403</v>
      </c>
      <c r="L612" s="5">
        <f t="shared" si="28"/>
        <v>-0.24739841453024802</v>
      </c>
    </row>
    <row r="613" spans="1:12" x14ac:dyDescent="0.3">
      <c r="A613" s="2">
        <v>45908</v>
      </c>
      <c r="B613">
        <v>1055.5</v>
      </c>
      <c r="C613">
        <f t="shared" si="29"/>
        <v>-3.1265266017290383E-3</v>
      </c>
      <c r="K613">
        <f t="shared" si="27"/>
        <v>1403</v>
      </c>
      <c r="L613" s="5">
        <f t="shared" si="28"/>
        <v>-0.24768353528153952</v>
      </c>
    </row>
    <row r="614" spans="1:12" x14ac:dyDescent="0.3">
      <c r="A614" s="2">
        <v>45909</v>
      </c>
      <c r="B614">
        <v>1052.199951171875</v>
      </c>
      <c r="C614">
        <f t="shared" si="29"/>
        <v>1.7011998902040453E-2</v>
      </c>
      <c r="K614">
        <f t="shared" si="27"/>
        <v>1403</v>
      </c>
      <c r="L614" s="5">
        <f t="shared" si="28"/>
        <v>-0.25003567272140059</v>
      </c>
    </row>
    <row r="615" spans="1:12" x14ac:dyDescent="0.3">
      <c r="A615" s="2">
        <v>45910</v>
      </c>
      <c r="B615">
        <v>1070.099975585938</v>
      </c>
      <c r="C615">
        <f t="shared" si="29"/>
        <v>1.6166759389608782E-2</v>
      </c>
      <c r="K615">
        <f t="shared" si="27"/>
        <v>1403</v>
      </c>
      <c r="L615" s="5">
        <f t="shared" si="28"/>
        <v>-0.23727728040916751</v>
      </c>
    </row>
    <row r="616" spans="1:12" x14ac:dyDescent="0.3">
      <c r="A616" s="2">
        <v>45911</v>
      </c>
      <c r="B616">
        <v>1087.400024414062</v>
      </c>
      <c r="C616">
        <f t="shared" si="29"/>
        <v>1.6461305878403176E-2</v>
      </c>
      <c r="K616">
        <f t="shared" si="27"/>
        <v>1403</v>
      </c>
      <c r="L616" s="5">
        <f t="shared" si="28"/>
        <v>-0.22494652572055451</v>
      </c>
    </row>
    <row r="617" spans="1:12" x14ac:dyDescent="0.3">
      <c r="A617" s="2">
        <v>45912</v>
      </c>
      <c r="B617">
        <v>1105.300048828125</v>
      </c>
      <c r="C617">
        <f t="shared" si="29"/>
        <v>-8.1428062453918265E-4</v>
      </c>
      <c r="K617">
        <f t="shared" si="27"/>
        <v>1403</v>
      </c>
      <c r="L617" s="5">
        <f t="shared" si="28"/>
        <v>-0.21218813340832143</v>
      </c>
    </row>
    <row r="618" spans="1:12" x14ac:dyDescent="0.3">
      <c r="A618" s="2">
        <v>45915</v>
      </c>
      <c r="B618">
        <v>1104.400024414062</v>
      </c>
      <c r="C618">
        <f t="shared" si="29"/>
        <v>1.5211813098905113E-2</v>
      </c>
      <c r="K618">
        <f t="shared" si="27"/>
        <v>1403</v>
      </c>
      <c r="L618" s="5">
        <f t="shared" si="28"/>
        <v>-0.21282963334706906</v>
      </c>
    </row>
    <row r="619" spans="1:12" x14ac:dyDescent="0.3">
      <c r="A619" s="2">
        <v>45916</v>
      </c>
      <c r="B619">
        <v>1121.199951171875</v>
      </c>
      <c r="C619">
        <f t="shared" si="29"/>
        <v>4.2811710998631441E-3</v>
      </c>
      <c r="K619">
        <f t="shared" si="27"/>
        <v>1403</v>
      </c>
      <c r="L619" s="5">
        <f t="shared" si="28"/>
        <v>-0.20085534485254808</v>
      </c>
    </row>
    <row r="620" spans="1:12" x14ac:dyDescent="0.3">
      <c r="A620" s="2">
        <v>45917</v>
      </c>
      <c r="B620">
        <v>1126</v>
      </c>
      <c r="C620">
        <f t="shared" si="29"/>
        <v>6.2166962699822378E-3</v>
      </c>
      <c r="K620">
        <f t="shared" si="27"/>
        <v>1403</v>
      </c>
      <c r="L620" s="5">
        <f t="shared" si="28"/>
        <v>-0.19743406985032075</v>
      </c>
    </row>
    <row r="621" spans="1:12" x14ac:dyDescent="0.3">
      <c r="A621" s="2">
        <v>45918</v>
      </c>
      <c r="B621">
        <v>1133</v>
      </c>
      <c r="C621">
        <f t="shared" si="29"/>
        <v>2.5595978941412578E-3</v>
      </c>
      <c r="K621">
        <f t="shared" si="27"/>
        <v>1403</v>
      </c>
      <c r="L621" s="5">
        <f t="shared" si="28"/>
        <v>-0.19244476122594445</v>
      </c>
    </row>
    <row r="622" spans="1:12" x14ac:dyDescent="0.3">
      <c r="A622" s="2">
        <v>45919</v>
      </c>
      <c r="B622">
        <v>1135.900024414062</v>
      </c>
      <c r="C622">
        <f t="shared" si="29"/>
        <v>7.4830529248246166E-3</v>
      </c>
      <c r="K622">
        <f t="shared" si="27"/>
        <v>1403</v>
      </c>
      <c r="L622" s="5">
        <f t="shared" si="28"/>
        <v>-0.19037774453737555</v>
      </c>
    </row>
    <row r="623" spans="1:12" x14ac:dyDescent="0.3">
      <c r="A623" s="2">
        <v>45922</v>
      </c>
      <c r="B623">
        <v>1144.400024414062</v>
      </c>
      <c r="C623">
        <f t="shared" si="29"/>
        <v>2.3068877884356815E-2</v>
      </c>
      <c r="K623">
        <f t="shared" si="27"/>
        <v>1403</v>
      </c>
      <c r="L623" s="5">
        <f t="shared" si="28"/>
        <v>-0.18431929835063288</v>
      </c>
    </row>
    <row r="624" spans="1:12" x14ac:dyDescent="0.3">
      <c r="A624" s="2">
        <v>45923</v>
      </c>
      <c r="B624">
        <v>1170.800048828125</v>
      </c>
      <c r="C624">
        <f t="shared" si="29"/>
        <v>-1.0164010862464436E-2</v>
      </c>
      <c r="K624">
        <f t="shared" si="27"/>
        <v>1403</v>
      </c>
      <c r="L624" s="5">
        <f t="shared" si="28"/>
        <v>-0.16550245985165712</v>
      </c>
    </row>
    <row r="625" spans="1:12" x14ac:dyDescent="0.3">
      <c r="A625" s="2">
        <v>45924</v>
      </c>
      <c r="B625">
        <v>1158.900024414062</v>
      </c>
      <c r="C625">
        <f t="shared" si="29"/>
        <v>6.6441893257953742E-3</v>
      </c>
      <c r="K625">
        <f t="shared" si="27"/>
        <v>1403</v>
      </c>
      <c r="L625" s="5">
        <f t="shared" si="28"/>
        <v>-0.17398430191442482</v>
      </c>
    </row>
    <row r="626" spans="1:12" x14ac:dyDescent="0.3">
      <c r="A626" s="2">
        <v>45925</v>
      </c>
      <c r="B626">
        <v>1166.599975585938</v>
      </c>
      <c r="C626">
        <f t="shared" si="29"/>
        <v>-1.0800596476619568E-2</v>
      </c>
      <c r="K626">
        <f t="shared" si="27"/>
        <v>1403</v>
      </c>
      <c r="L626" s="5">
        <f t="shared" si="28"/>
        <v>-0.16849609723026515</v>
      </c>
    </row>
    <row r="627" spans="1:12" x14ac:dyDescent="0.3">
      <c r="A627" s="2">
        <v>45926</v>
      </c>
      <c r="B627">
        <v>1154</v>
      </c>
      <c r="C627">
        <f t="shared" si="29"/>
        <v>-1.889085687012565E-2</v>
      </c>
      <c r="K627">
        <f t="shared" si="27"/>
        <v>1403</v>
      </c>
      <c r="L627" s="5">
        <f t="shared" si="28"/>
        <v>-0.17747683535281544</v>
      </c>
    </row>
    <row r="628" spans="1:12" x14ac:dyDescent="0.3">
      <c r="A628" s="2">
        <v>45929</v>
      </c>
      <c r="B628">
        <v>1132.199951171875</v>
      </c>
      <c r="C628">
        <f t="shared" si="29"/>
        <v>-5.2992016588240007E-4</v>
      </c>
      <c r="K628">
        <f t="shared" si="27"/>
        <v>1403</v>
      </c>
      <c r="L628" s="5">
        <f t="shared" si="28"/>
        <v>-0.19301500272852812</v>
      </c>
    </row>
    <row r="629" spans="1:12" x14ac:dyDescent="0.3">
      <c r="A629" s="2">
        <v>45930</v>
      </c>
      <c r="B629">
        <v>1131.599975585938</v>
      </c>
      <c r="C629">
        <f t="shared" si="29"/>
        <v>2.4655377355956132E-2</v>
      </c>
      <c r="K629">
        <f t="shared" si="27"/>
        <v>1403</v>
      </c>
      <c r="L629" s="5">
        <f t="shared" si="28"/>
        <v>-0.19344264035214687</v>
      </c>
    </row>
    <row r="630" spans="1:12" x14ac:dyDescent="0.3">
      <c r="A630" s="2">
        <v>45931</v>
      </c>
      <c r="B630">
        <v>1159.5</v>
      </c>
      <c r="C630">
        <f t="shared" si="29"/>
        <v>1.8542475204829666E-2</v>
      </c>
      <c r="K630">
        <f t="shared" si="27"/>
        <v>1403</v>
      </c>
      <c r="L630" s="5">
        <f t="shared" si="28"/>
        <v>-0.17355666429080541</v>
      </c>
    </row>
    <row r="631" spans="1:12" x14ac:dyDescent="0.3">
      <c r="A631" s="2">
        <v>45933</v>
      </c>
      <c r="B631">
        <v>1181</v>
      </c>
      <c r="C631">
        <f t="shared" si="29"/>
        <v>2.6926374960309061E-2</v>
      </c>
      <c r="K631">
        <f t="shared" si="27"/>
        <v>1403</v>
      </c>
      <c r="L631" s="5">
        <f t="shared" si="28"/>
        <v>-0.15823235923022094</v>
      </c>
    </row>
    <row r="632" spans="1:12" x14ac:dyDescent="0.3">
      <c r="A632" s="2">
        <v>45936</v>
      </c>
      <c r="B632">
        <v>1212.800048828125</v>
      </c>
      <c r="C632">
        <f t="shared" si="29"/>
        <v>-2.1437993859847425E-2</v>
      </c>
      <c r="K632">
        <f t="shared" si="27"/>
        <v>1403</v>
      </c>
      <c r="L632" s="5">
        <f t="shared" si="28"/>
        <v>-0.13556660810539911</v>
      </c>
    </row>
    <row r="633" spans="1:12" x14ac:dyDescent="0.3">
      <c r="A633" s="2">
        <v>45937</v>
      </c>
      <c r="B633">
        <v>1186.800048828125</v>
      </c>
      <c r="C633">
        <f t="shared" si="29"/>
        <v>-5.224193619059206E-3</v>
      </c>
      <c r="K633">
        <f t="shared" si="27"/>
        <v>1403</v>
      </c>
      <c r="L633" s="5">
        <f t="shared" si="28"/>
        <v>-0.1540983258530827</v>
      </c>
    </row>
    <row r="634" spans="1:12" x14ac:dyDescent="0.3">
      <c r="A634" s="2">
        <v>45938</v>
      </c>
      <c r="B634">
        <v>1180.599975585938</v>
      </c>
      <c r="C634">
        <f t="shared" si="29"/>
        <v>-1.1180714420500225E-2</v>
      </c>
      <c r="K634">
        <f t="shared" si="27"/>
        <v>1403</v>
      </c>
      <c r="L634" s="5">
        <f t="shared" si="28"/>
        <v>-0.15851747998151255</v>
      </c>
    </row>
    <row r="635" spans="1:12" x14ac:dyDescent="0.3">
      <c r="A635" s="2">
        <v>45939</v>
      </c>
      <c r="B635">
        <v>1167.400024414062</v>
      </c>
      <c r="C635">
        <f t="shared" si="29"/>
        <v>1.1135857228138162E-2</v>
      </c>
      <c r="K635">
        <f t="shared" si="27"/>
        <v>1403</v>
      </c>
      <c r="L635" s="5">
        <f t="shared" si="28"/>
        <v>-0.16792585572768204</v>
      </c>
    </row>
    <row r="636" spans="1:12" x14ac:dyDescent="0.3">
      <c r="A636" s="2">
        <v>45940</v>
      </c>
      <c r="B636">
        <v>1180.400024414062</v>
      </c>
      <c r="C636">
        <f t="shared" si="29"/>
        <v>7.7939266194463749E-3</v>
      </c>
      <c r="K636">
        <f t="shared" si="27"/>
        <v>1403</v>
      </c>
      <c r="L636" s="5">
        <f t="shared" si="28"/>
        <v>-0.15865999685384036</v>
      </c>
    </row>
    <row r="637" spans="1:12" x14ac:dyDescent="0.3">
      <c r="A637" s="2">
        <v>45943</v>
      </c>
      <c r="B637">
        <v>1189.599975585938</v>
      </c>
      <c r="C637">
        <f t="shared" si="29"/>
        <v>-1.0759857952677197E-2</v>
      </c>
      <c r="K637">
        <f t="shared" si="27"/>
        <v>1403</v>
      </c>
      <c r="L637" s="5">
        <f t="shared" si="28"/>
        <v>-0.15210265460731431</v>
      </c>
    </row>
    <row r="638" spans="1:12" x14ac:dyDescent="0.3">
      <c r="A638" s="2">
        <v>45944</v>
      </c>
      <c r="B638">
        <v>1176.800048828125</v>
      </c>
      <c r="C638">
        <f t="shared" si="29"/>
        <v>-6.1183488642416227E-3</v>
      </c>
      <c r="K638">
        <f t="shared" si="27"/>
        <v>1403</v>
      </c>
      <c r="L638" s="5">
        <f t="shared" si="28"/>
        <v>-0.16122590960219174</v>
      </c>
    </row>
    <row r="639" spans="1:12" x14ac:dyDescent="0.3">
      <c r="A639" s="2">
        <v>45945</v>
      </c>
      <c r="B639">
        <v>1169.599975585938</v>
      </c>
      <c r="C639">
        <f t="shared" si="29"/>
        <v>2.282838047154629E-2</v>
      </c>
      <c r="K639">
        <f t="shared" si="27"/>
        <v>1403</v>
      </c>
      <c r="L639" s="5">
        <f t="shared" si="28"/>
        <v>-0.16635782210553252</v>
      </c>
    </row>
    <row r="640" spans="1:12" x14ac:dyDescent="0.3">
      <c r="A640" s="2">
        <v>45946</v>
      </c>
      <c r="B640">
        <v>1196.300048828125</v>
      </c>
      <c r="C640">
        <f t="shared" si="29"/>
        <v>3.2599700614994354E-3</v>
      </c>
      <c r="K640">
        <f t="shared" si="27"/>
        <v>1403</v>
      </c>
      <c r="L640" s="5">
        <f t="shared" si="28"/>
        <v>-0.14732712129142911</v>
      </c>
    </row>
    <row r="641" spans="1:12" x14ac:dyDescent="0.3">
      <c r="A641" s="2">
        <v>45947</v>
      </c>
      <c r="B641">
        <v>1200.199951171875</v>
      </c>
      <c r="C641">
        <f t="shared" si="29"/>
        <v>2.1496458821660371E-2</v>
      </c>
      <c r="K641">
        <f t="shared" si="27"/>
        <v>1403</v>
      </c>
      <c r="L641" s="5">
        <f t="shared" si="28"/>
        <v>-0.14454743323458663</v>
      </c>
    </row>
    <row r="642" spans="1:12" x14ac:dyDescent="0.3">
      <c r="A642" s="2">
        <v>45950</v>
      </c>
      <c r="B642">
        <v>1226</v>
      </c>
      <c r="C642">
        <f t="shared" si="29"/>
        <v>9.2170055694331156E-3</v>
      </c>
      <c r="K642">
        <f t="shared" ref="K642:K705" si="30">MAX(B642:B1381)</f>
        <v>1403</v>
      </c>
      <c r="L642" s="5">
        <f t="shared" ref="L642:L705" si="31">B642/K642-1</f>
        <v>-0.12615823235923018</v>
      </c>
    </row>
    <row r="643" spans="1:12" x14ac:dyDescent="0.3">
      <c r="A643" s="2">
        <v>45951</v>
      </c>
      <c r="B643">
        <v>1237.300048828125</v>
      </c>
      <c r="C643">
        <f t="shared" ref="C643:C706" si="32">(B644-B643)/B643</f>
        <v>1.7376545018617868E-2</v>
      </c>
      <c r="K643">
        <f t="shared" si="30"/>
        <v>1403</v>
      </c>
      <c r="L643" s="5">
        <f t="shared" si="31"/>
        <v>-0.11810402792008201</v>
      </c>
    </row>
    <row r="644" spans="1:12" x14ac:dyDescent="0.3">
      <c r="A644" s="2">
        <v>45953</v>
      </c>
      <c r="B644">
        <v>1258.800048828125</v>
      </c>
      <c r="C644">
        <f t="shared" si="32"/>
        <v>-1.3425503462441049E-2</v>
      </c>
      <c r="K644">
        <f t="shared" si="30"/>
        <v>1403</v>
      </c>
      <c r="L644" s="5">
        <f t="shared" si="31"/>
        <v>-0.10277972285949755</v>
      </c>
    </row>
    <row r="645" spans="1:12" x14ac:dyDescent="0.3">
      <c r="A645" s="2">
        <v>45954</v>
      </c>
      <c r="B645">
        <v>1241.900024414062</v>
      </c>
      <c r="C645">
        <f t="shared" si="32"/>
        <v>9.823617788905302E-3</v>
      </c>
      <c r="K645">
        <f t="shared" si="30"/>
        <v>1403</v>
      </c>
      <c r="L645" s="5">
        <f t="shared" si="31"/>
        <v>-0.1148253567968196</v>
      </c>
    </row>
    <row r="646" spans="1:12" x14ac:dyDescent="0.3">
      <c r="A646" s="2">
        <v>45957</v>
      </c>
      <c r="B646">
        <v>1254.099975585938</v>
      </c>
      <c r="C646">
        <f t="shared" si="32"/>
        <v>-6.2195414318293799E-3</v>
      </c>
      <c r="K646">
        <f t="shared" si="30"/>
        <v>1403</v>
      </c>
      <c r="L646" s="5">
        <f t="shared" si="31"/>
        <v>-0.10612973942556092</v>
      </c>
    </row>
    <row r="647" spans="1:12" x14ac:dyDescent="0.3">
      <c r="A647" s="2">
        <v>45958</v>
      </c>
      <c r="B647">
        <v>1246.300048828125</v>
      </c>
      <c r="C647">
        <f t="shared" si="32"/>
        <v>2.0059374966331007E-3</v>
      </c>
      <c r="K647">
        <f t="shared" si="30"/>
        <v>1403</v>
      </c>
      <c r="L647" s="5">
        <f t="shared" si="31"/>
        <v>-0.11168920254588377</v>
      </c>
    </row>
    <row r="648" spans="1:12" x14ac:dyDescent="0.3">
      <c r="A648" s="2">
        <v>45959</v>
      </c>
      <c r="B648">
        <v>1248.800048828125</v>
      </c>
      <c r="C648">
        <f t="shared" si="32"/>
        <v>-8.1678994581709085E-3</v>
      </c>
      <c r="K648">
        <f t="shared" si="30"/>
        <v>1403</v>
      </c>
      <c r="L648" s="5">
        <f t="shared" si="31"/>
        <v>-0.10990730660860659</v>
      </c>
    </row>
    <row r="649" spans="1:12" x14ac:dyDescent="0.3">
      <c r="A649" s="2">
        <v>45960</v>
      </c>
      <c r="B649">
        <v>1238.599975585938</v>
      </c>
      <c r="C649">
        <f t="shared" si="32"/>
        <v>-4.6826472405420592E-3</v>
      </c>
      <c r="K649">
        <f t="shared" si="30"/>
        <v>1403</v>
      </c>
      <c r="L649" s="5">
        <f t="shared" si="31"/>
        <v>-0.11717749423668</v>
      </c>
    </row>
    <row r="650" spans="1:12" x14ac:dyDescent="0.3">
      <c r="A650" s="2">
        <v>45961</v>
      </c>
      <c r="B650">
        <v>1232.800048828125</v>
      </c>
      <c r="C650">
        <f t="shared" si="32"/>
        <v>7.2996618113815707E-4</v>
      </c>
      <c r="K650">
        <f t="shared" si="30"/>
        <v>1403</v>
      </c>
      <c r="L650" s="5">
        <f t="shared" si="31"/>
        <v>-0.12131144060718102</v>
      </c>
    </row>
    <row r="651" spans="1:12" x14ac:dyDescent="0.3">
      <c r="A651" s="2">
        <v>45964</v>
      </c>
      <c r="B651">
        <v>1233.699951171875</v>
      </c>
      <c r="C651">
        <f t="shared" si="32"/>
        <v>-5.7550262356684655E-3</v>
      </c>
      <c r="K651">
        <f t="shared" si="30"/>
        <v>1403</v>
      </c>
      <c r="L651" s="5">
        <f t="shared" si="31"/>
        <v>-0.12067002767507129</v>
      </c>
    </row>
    <row r="652" spans="1:12" x14ac:dyDescent="0.3">
      <c r="A652" s="2">
        <v>45965</v>
      </c>
      <c r="B652">
        <v>1226.599975585938</v>
      </c>
      <c r="C652">
        <f t="shared" si="32"/>
        <v>1.5490171627913307E-3</v>
      </c>
      <c r="K652">
        <f t="shared" si="30"/>
        <v>1403</v>
      </c>
      <c r="L652" s="5">
        <f t="shared" si="31"/>
        <v>-0.12573059473561088</v>
      </c>
    </row>
    <row r="653" spans="1:12" x14ac:dyDescent="0.3">
      <c r="A653" s="2">
        <v>45967</v>
      </c>
      <c r="B653">
        <v>1228.5</v>
      </c>
      <c r="C653">
        <f t="shared" si="32"/>
        <v>-4.6397648936711434E-3</v>
      </c>
      <c r="K653">
        <f t="shared" si="30"/>
        <v>1403</v>
      </c>
      <c r="L653" s="5">
        <f t="shared" si="31"/>
        <v>-0.124376336421953</v>
      </c>
    </row>
    <row r="654" spans="1:12" x14ac:dyDescent="0.3">
      <c r="A654" s="2">
        <v>45968</v>
      </c>
      <c r="B654">
        <v>1222.800048828125</v>
      </c>
      <c r="C654">
        <f t="shared" si="32"/>
        <v>-4.7432520416428661E-3</v>
      </c>
      <c r="K654">
        <f t="shared" si="30"/>
        <v>1403</v>
      </c>
      <c r="L654" s="5">
        <f t="shared" si="31"/>
        <v>-0.12843902435629007</v>
      </c>
    </row>
    <row r="655" spans="1:12" x14ac:dyDescent="0.3">
      <c r="A655" s="2">
        <v>45971</v>
      </c>
      <c r="B655">
        <v>1217</v>
      </c>
      <c r="C655">
        <f t="shared" si="32"/>
        <v>4.5193097781429745E-3</v>
      </c>
      <c r="K655">
        <f t="shared" si="30"/>
        <v>1403</v>
      </c>
      <c r="L655" s="5">
        <f t="shared" si="31"/>
        <v>-0.13257305773342842</v>
      </c>
    </row>
    <row r="656" spans="1:12" x14ac:dyDescent="0.3">
      <c r="A656" s="2">
        <v>45972</v>
      </c>
      <c r="B656">
        <v>1222.5</v>
      </c>
      <c r="C656">
        <f t="shared" si="32"/>
        <v>-7.3621628962130495E-4</v>
      </c>
      <c r="K656">
        <f t="shared" si="30"/>
        <v>1403</v>
      </c>
      <c r="L656" s="5">
        <f t="shared" si="31"/>
        <v>-0.12865288667141839</v>
      </c>
    </row>
    <row r="657" spans="1:12" x14ac:dyDescent="0.3">
      <c r="A657" s="2">
        <v>45973</v>
      </c>
      <c r="B657">
        <v>1221.599975585938</v>
      </c>
      <c r="C657">
        <f t="shared" si="32"/>
        <v>2.946934886938193E-3</v>
      </c>
      <c r="K657">
        <f t="shared" si="30"/>
        <v>1403</v>
      </c>
      <c r="L657" s="5">
        <f t="shared" si="31"/>
        <v>-0.12929438661016535</v>
      </c>
    </row>
    <row r="658" spans="1:12" x14ac:dyDescent="0.3">
      <c r="A658" s="2">
        <v>45974</v>
      </c>
      <c r="B658">
        <v>1225.199951171875</v>
      </c>
      <c r="C658">
        <f t="shared" si="32"/>
        <v>1.3385590162958068E-2</v>
      </c>
      <c r="K658">
        <f t="shared" si="30"/>
        <v>1403</v>
      </c>
      <c r="L658" s="5">
        <f t="shared" si="31"/>
        <v>-0.12672847386181396</v>
      </c>
    </row>
    <row r="659" spans="1:12" x14ac:dyDescent="0.3">
      <c r="A659" s="2">
        <v>45975</v>
      </c>
      <c r="B659">
        <v>1241.599975585938</v>
      </c>
      <c r="C659">
        <f t="shared" si="32"/>
        <v>6.4432990957692523E-3</v>
      </c>
      <c r="K659">
        <f t="shared" si="30"/>
        <v>1403</v>
      </c>
      <c r="L659" s="5">
        <f t="shared" si="31"/>
        <v>-0.11503921911194726</v>
      </c>
    </row>
    <row r="660" spans="1:12" x14ac:dyDescent="0.3">
      <c r="A660" s="2">
        <v>45978</v>
      </c>
      <c r="B660">
        <v>1249.599975585938</v>
      </c>
      <c r="C660">
        <f t="shared" si="32"/>
        <v>1.2644085416787434E-2</v>
      </c>
      <c r="K660">
        <f t="shared" si="30"/>
        <v>1403</v>
      </c>
      <c r="L660" s="5">
        <f t="shared" si="31"/>
        <v>-0.10933715211266004</v>
      </c>
    </row>
    <row r="661" spans="1:12" x14ac:dyDescent="0.3">
      <c r="A661" s="2">
        <v>45979</v>
      </c>
      <c r="B661">
        <v>1265.400024414062</v>
      </c>
      <c r="C661">
        <f t="shared" si="32"/>
        <v>3.9513196645584291E-3</v>
      </c>
      <c r="K661">
        <f t="shared" si="30"/>
        <v>1403</v>
      </c>
      <c r="L661" s="5">
        <f t="shared" si="31"/>
        <v>-9.8075534986413415E-2</v>
      </c>
    </row>
    <row r="662" spans="1:12" x14ac:dyDescent="0.3">
      <c r="A662" s="2">
        <v>45980</v>
      </c>
      <c r="B662">
        <v>1270.400024414062</v>
      </c>
      <c r="C662">
        <f t="shared" si="32"/>
        <v>1.1649816178678857E-2</v>
      </c>
      <c r="K662">
        <f t="shared" si="30"/>
        <v>1403</v>
      </c>
      <c r="L662" s="5">
        <f t="shared" si="31"/>
        <v>-9.4511743111858837E-2</v>
      </c>
    </row>
    <row r="663" spans="1:12" x14ac:dyDescent="0.3">
      <c r="A663" s="2">
        <v>45981</v>
      </c>
      <c r="B663">
        <v>1285.199951171875</v>
      </c>
      <c r="C663">
        <f t="shared" si="32"/>
        <v>-7.3139610184228161E-3</v>
      </c>
      <c r="K663">
        <f t="shared" si="30"/>
        <v>1403</v>
      </c>
      <c r="L663" s="5">
        <f t="shared" si="31"/>
        <v>-8.3962971367159689E-2</v>
      </c>
    </row>
    <row r="664" spans="1:12" x14ac:dyDescent="0.3">
      <c r="A664" s="2">
        <v>45982</v>
      </c>
      <c r="B664">
        <v>1275.800048828125</v>
      </c>
      <c r="C664">
        <f t="shared" si="32"/>
        <v>-5.3300270950539042E-3</v>
      </c>
      <c r="K664">
        <f t="shared" si="30"/>
        <v>1403</v>
      </c>
      <c r="L664" s="5">
        <f t="shared" si="31"/>
        <v>-9.0662830486012091E-2</v>
      </c>
    </row>
    <row r="665" spans="1:12" x14ac:dyDescent="0.3">
      <c r="A665" s="2">
        <v>45985</v>
      </c>
      <c r="B665">
        <v>1269</v>
      </c>
      <c r="C665">
        <f t="shared" si="32"/>
        <v>-2.1276210968282114E-3</v>
      </c>
      <c r="K665">
        <f t="shared" si="30"/>
        <v>1403</v>
      </c>
      <c r="L665" s="5">
        <f t="shared" si="31"/>
        <v>-9.5509622238061254E-2</v>
      </c>
    </row>
    <row r="666" spans="1:12" x14ac:dyDescent="0.3">
      <c r="A666" s="2">
        <v>45986</v>
      </c>
      <c r="B666">
        <v>1266.300048828125</v>
      </c>
      <c r="C666">
        <f t="shared" si="32"/>
        <v>1.8873806698394856E-2</v>
      </c>
      <c r="K666">
        <f t="shared" si="30"/>
        <v>1403</v>
      </c>
      <c r="L666" s="5">
        <f t="shared" si="31"/>
        <v>-9.7434035047665679E-2</v>
      </c>
    </row>
    <row r="667" spans="1:12" x14ac:dyDescent="0.3">
      <c r="A667" s="2">
        <v>45987</v>
      </c>
      <c r="B667">
        <v>1290.199951171875</v>
      </c>
      <c r="C667">
        <f t="shared" si="32"/>
        <v>-2.2476379270639788E-3</v>
      </c>
      <c r="K667">
        <f t="shared" si="30"/>
        <v>1403</v>
      </c>
      <c r="L667" s="5">
        <f t="shared" si="31"/>
        <v>-8.0399179492605111E-2</v>
      </c>
    </row>
    <row r="668" spans="1:12" x14ac:dyDescent="0.3">
      <c r="A668" s="2">
        <v>45988</v>
      </c>
      <c r="B668">
        <v>1287.300048828125</v>
      </c>
      <c r="C668">
        <f t="shared" si="32"/>
        <v>-5.9039053584816056E-3</v>
      </c>
      <c r="K668">
        <f t="shared" si="30"/>
        <v>1403</v>
      </c>
      <c r="L668" s="5">
        <f t="shared" si="31"/>
        <v>-8.2466109174536673E-2</v>
      </c>
    </row>
    <row r="669" spans="1:12" x14ac:dyDescent="0.3">
      <c r="A669" s="2">
        <v>45989</v>
      </c>
      <c r="B669">
        <v>1279.699951171875</v>
      </c>
      <c r="C669">
        <f t="shared" si="32"/>
        <v>-3.1257327128418125E-3</v>
      </c>
      <c r="K669">
        <f t="shared" si="30"/>
        <v>1403</v>
      </c>
      <c r="L669" s="5">
        <f t="shared" si="31"/>
        <v>-8.7883142429169614E-2</v>
      </c>
    </row>
    <row r="670" spans="1:12" x14ac:dyDescent="0.3">
      <c r="A670" s="2">
        <v>45992</v>
      </c>
      <c r="B670">
        <v>1275.699951171875</v>
      </c>
      <c r="C670">
        <f t="shared" si="32"/>
        <v>-1.3874697694873773E-2</v>
      </c>
      <c r="K670">
        <f t="shared" si="30"/>
        <v>1403</v>
      </c>
      <c r="L670" s="5">
        <f t="shared" si="31"/>
        <v>-9.0734175928813277E-2</v>
      </c>
    </row>
    <row r="671" spans="1:12" x14ac:dyDescent="0.3">
      <c r="A671" s="2">
        <v>45993</v>
      </c>
      <c r="B671">
        <v>1258</v>
      </c>
      <c r="C671">
        <f t="shared" si="32"/>
        <v>1.0095350693064388E-2</v>
      </c>
      <c r="K671">
        <f t="shared" si="30"/>
        <v>1403</v>
      </c>
      <c r="L671" s="5">
        <f t="shared" si="31"/>
        <v>-0.10334996436208121</v>
      </c>
    </row>
    <row r="672" spans="1:12" x14ac:dyDescent="0.3">
      <c r="A672" s="2">
        <v>45994</v>
      </c>
      <c r="B672">
        <v>1270.699951171875</v>
      </c>
      <c r="C672">
        <f t="shared" si="32"/>
        <v>7.3188393684506204E-3</v>
      </c>
      <c r="K672">
        <f t="shared" si="30"/>
        <v>1403</v>
      </c>
      <c r="L672" s="5">
        <f t="shared" si="31"/>
        <v>-9.4297967803367744E-2</v>
      </c>
    </row>
    <row r="673" spans="1:12" x14ac:dyDescent="0.3">
      <c r="A673" s="2">
        <v>45995</v>
      </c>
      <c r="B673">
        <v>1280</v>
      </c>
      <c r="C673">
        <f t="shared" si="32"/>
        <v>1.953125E-3</v>
      </c>
      <c r="K673">
        <f t="shared" si="30"/>
        <v>1403</v>
      </c>
      <c r="L673" s="5">
        <f t="shared" si="31"/>
        <v>-8.7669280114041293E-2</v>
      </c>
    </row>
    <row r="674" spans="1:12" x14ac:dyDescent="0.3">
      <c r="A674" s="2">
        <v>45996</v>
      </c>
      <c r="B674">
        <v>1282.5</v>
      </c>
      <c r="C674">
        <f t="shared" si="32"/>
        <v>-6.7835876583820665E-3</v>
      </c>
      <c r="K674">
        <f t="shared" si="30"/>
        <v>1403</v>
      </c>
      <c r="L674" s="5">
        <f t="shared" si="31"/>
        <v>-8.5887384176764114E-2</v>
      </c>
    </row>
    <row r="675" spans="1:12" x14ac:dyDescent="0.3">
      <c r="A675" s="2">
        <v>45999</v>
      </c>
      <c r="B675">
        <v>1273.800048828125</v>
      </c>
      <c r="C675">
        <f t="shared" si="32"/>
        <v>1.6485912273821845E-3</v>
      </c>
      <c r="K675">
        <f t="shared" si="30"/>
        <v>1403</v>
      </c>
      <c r="L675" s="5">
        <f t="shared" si="31"/>
        <v>-9.2088347235833923E-2</v>
      </c>
    </row>
    <row r="676" spans="1:12" x14ac:dyDescent="0.3">
      <c r="A676" s="2">
        <v>46000</v>
      </c>
      <c r="B676">
        <v>1275.900024414062</v>
      </c>
      <c r="C676">
        <f t="shared" si="32"/>
        <v>2.1161149935049351E-3</v>
      </c>
      <c r="K676">
        <f t="shared" si="30"/>
        <v>1403</v>
      </c>
      <c r="L676" s="5">
        <f t="shared" si="31"/>
        <v>-9.0591572049848912E-2</v>
      </c>
    </row>
    <row r="677" spans="1:12" x14ac:dyDescent="0.3">
      <c r="A677" s="2">
        <v>46001</v>
      </c>
      <c r="B677">
        <v>1278.599975585938</v>
      </c>
      <c r="C677">
        <f t="shared" si="32"/>
        <v>-4.6144412065698484E-3</v>
      </c>
      <c r="K677">
        <f t="shared" si="30"/>
        <v>1403</v>
      </c>
      <c r="L677" s="5">
        <f t="shared" si="31"/>
        <v>-8.866715924024382E-2</v>
      </c>
    </row>
    <row r="678" spans="1:12" x14ac:dyDescent="0.3">
      <c r="A678" s="2">
        <v>46002</v>
      </c>
      <c r="B678">
        <v>1272.699951171875</v>
      </c>
      <c r="C678">
        <f t="shared" si="32"/>
        <v>1.0528816632486311E-2</v>
      </c>
      <c r="K678">
        <f t="shared" si="30"/>
        <v>1403</v>
      </c>
      <c r="L678" s="5">
        <f t="shared" si="31"/>
        <v>-9.2872451053546023E-2</v>
      </c>
    </row>
    <row r="679" spans="1:12" x14ac:dyDescent="0.3">
      <c r="A679" s="2">
        <v>46003</v>
      </c>
      <c r="B679">
        <v>1286.099975585938</v>
      </c>
      <c r="C679">
        <f t="shared" si="32"/>
        <v>-1.0107509388768299E-3</v>
      </c>
      <c r="K679">
        <f t="shared" si="30"/>
        <v>1403</v>
      </c>
      <c r="L679" s="5">
        <f t="shared" si="31"/>
        <v>-8.3321471428411953E-2</v>
      </c>
    </row>
    <row r="680" spans="1:12" x14ac:dyDescent="0.3">
      <c r="A680" s="2">
        <v>46006</v>
      </c>
      <c r="B680">
        <v>1284.800048828125</v>
      </c>
      <c r="C680">
        <f t="shared" si="32"/>
        <v>-5.0747253085533801E-2</v>
      </c>
      <c r="K680">
        <f t="shared" si="30"/>
        <v>1403</v>
      </c>
      <c r="L680" s="5">
        <f t="shared" si="31"/>
        <v>-8.4248005111813962E-2</v>
      </c>
    </row>
    <row r="681" spans="1:12" x14ac:dyDescent="0.3">
      <c r="A681" s="2">
        <v>46007</v>
      </c>
      <c r="B681">
        <v>1219.599975585938</v>
      </c>
      <c r="C681">
        <f t="shared" si="32"/>
        <v>4.1816789832968314E-3</v>
      </c>
      <c r="K681">
        <f t="shared" si="30"/>
        <v>1403</v>
      </c>
      <c r="L681" s="5">
        <f t="shared" si="31"/>
        <v>-0.13071990335998718</v>
      </c>
    </row>
    <row r="682" spans="1:12" x14ac:dyDescent="0.3">
      <c r="A682" s="2">
        <v>46008</v>
      </c>
      <c r="B682">
        <v>1224.699951171875</v>
      </c>
      <c r="C682">
        <f t="shared" si="32"/>
        <v>4.1643650359991314E-3</v>
      </c>
      <c r="K682">
        <f t="shared" si="30"/>
        <v>1403</v>
      </c>
      <c r="L682" s="5">
        <f t="shared" si="31"/>
        <v>-0.12708485304926942</v>
      </c>
    </row>
    <row r="683" spans="1:12" x14ac:dyDescent="0.3">
      <c r="A683" s="2">
        <v>46009</v>
      </c>
      <c r="B683">
        <v>1229.800048828125</v>
      </c>
      <c r="C683">
        <f t="shared" si="32"/>
        <v>6.5045269641614018E-4</v>
      </c>
      <c r="K683">
        <f t="shared" si="30"/>
        <v>1403</v>
      </c>
      <c r="L683" s="5">
        <f t="shared" si="31"/>
        <v>-0.12344971573191377</v>
      </c>
    </row>
    <row r="684" spans="1:12" x14ac:dyDescent="0.3">
      <c r="A684" s="2">
        <v>46010</v>
      </c>
      <c r="B684">
        <v>1230.599975585938</v>
      </c>
      <c r="C684">
        <f t="shared" si="32"/>
        <v>2.112770711456493E-3</v>
      </c>
      <c r="K684">
        <f t="shared" si="30"/>
        <v>1403</v>
      </c>
      <c r="L684" s="5">
        <f t="shared" si="31"/>
        <v>-0.12287956123596722</v>
      </c>
    </row>
    <row r="685" spans="1:12" x14ac:dyDescent="0.3">
      <c r="A685" s="2">
        <v>46013</v>
      </c>
      <c r="B685">
        <v>1233.199951171875</v>
      </c>
      <c r="C685">
        <f t="shared" si="32"/>
        <v>-6.6493281678148127E-3</v>
      </c>
      <c r="K685">
        <f t="shared" si="30"/>
        <v>1403</v>
      </c>
      <c r="L685" s="5">
        <f t="shared" si="31"/>
        <v>-0.12102640686252675</v>
      </c>
    </row>
    <row r="686" spans="1:12" x14ac:dyDescent="0.3">
      <c r="A686" s="2">
        <v>46014</v>
      </c>
      <c r="B686">
        <v>1225</v>
      </c>
      <c r="C686">
        <f t="shared" si="32"/>
        <v>1.061264349489796E-3</v>
      </c>
      <c r="K686">
        <f t="shared" si="30"/>
        <v>1403</v>
      </c>
      <c r="L686" s="5">
        <f t="shared" si="31"/>
        <v>-0.1268709907341411</v>
      </c>
    </row>
    <row r="687" spans="1:12" x14ac:dyDescent="0.3">
      <c r="A687" s="2">
        <v>46015</v>
      </c>
      <c r="B687">
        <v>1226.300048828125</v>
      </c>
      <c r="C687">
        <f t="shared" si="32"/>
        <v>1.549296475659103E-3</v>
      </c>
      <c r="K687">
        <f t="shared" si="30"/>
        <v>1403</v>
      </c>
      <c r="L687" s="5">
        <f t="shared" si="31"/>
        <v>-0.12594437004410197</v>
      </c>
    </row>
    <row r="688" spans="1:12" x14ac:dyDescent="0.3">
      <c r="A688" s="2">
        <v>46017</v>
      </c>
      <c r="B688">
        <v>1228.199951171875</v>
      </c>
      <c r="C688">
        <f t="shared" si="32"/>
        <v>3.0939985175045975E-3</v>
      </c>
      <c r="K688">
        <f t="shared" si="30"/>
        <v>1403</v>
      </c>
      <c r="L688" s="5">
        <f t="shared" si="31"/>
        <v>-0.12459019873708121</v>
      </c>
    </row>
    <row r="689" spans="1:12" x14ac:dyDescent="0.3">
      <c r="A689" s="2">
        <v>46020</v>
      </c>
      <c r="B689">
        <v>1232</v>
      </c>
      <c r="C689">
        <f t="shared" si="32"/>
        <v>1.1363636363636364E-2</v>
      </c>
      <c r="K689">
        <f t="shared" si="30"/>
        <v>1403</v>
      </c>
      <c r="L689" s="5">
        <f t="shared" si="31"/>
        <v>-0.1218816821097648</v>
      </c>
    </row>
    <row r="690" spans="1:12" x14ac:dyDescent="0.3">
      <c r="A690" s="2">
        <v>46021</v>
      </c>
      <c r="B690">
        <v>1246</v>
      </c>
      <c r="C690">
        <f t="shared" si="32"/>
        <v>1.8780115902136473E-2</v>
      </c>
      <c r="K690">
        <f t="shared" si="30"/>
        <v>1403</v>
      </c>
      <c r="L690" s="5">
        <f t="shared" si="31"/>
        <v>-0.11190306486101209</v>
      </c>
    </row>
    <row r="691" spans="1:12" x14ac:dyDescent="0.3">
      <c r="A691" s="2">
        <v>46022</v>
      </c>
      <c r="B691">
        <v>1269.400024414062</v>
      </c>
      <c r="C691">
        <f t="shared" si="32"/>
        <v>3.9388686811377156E-3</v>
      </c>
      <c r="K691">
        <f t="shared" si="30"/>
        <v>1403</v>
      </c>
      <c r="L691" s="5">
        <f t="shared" si="31"/>
        <v>-9.5224501486769753E-2</v>
      </c>
    </row>
    <row r="692" spans="1:12" x14ac:dyDescent="0.3">
      <c r="A692" s="2">
        <v>46023</v>
      </c>
      <c r="B692">
        <v>1274.400024414062</v>
      </c>
      <c r="C692">
        <f t="shared" si="32"/>
        <v>-5.8851222978030908E-3</v>
      </c>
      <c r="K692">
        <f t="shared" si="30"/>
        <v>1403</v>
      </c>
      <c r="L692" s="5">
        <f t="shared" si="31"/>
        <v>-9.1660709612215174E-2</v>
      </c>
    </row>
    <row r="693" spans="1:12" x14ac:dyDescent="0.3">
      <c r="A693" s="2">
        <v>46024</v>
      </c>
      <c r="B693">
        <v>1266.900024414062</v>
      </c>
      <c r="C693">
        <f t="shared" si="32"/>
        <v>1.4918323506074733E-2</v>
      </c>
      <c r="K693">
        <f t="shared" si="30"/>
        <v>1403</v>
      </c>
      <c r="L693" s="5">
        <f t="shared" si="31"/>
        <v>-9.7006397424047042E-2</v>
      </c>
    </row>
    <row r="694" spans="1:12" x14ac:dyDescent="0.3">
      <c r="A694" s="2">
        <v>46027</v>
      </c>
      <c r="B694">
        <v>1285.800048828125</v>
      </c>
      <c r="C694">
        <f t="shared" si="32"/>
        <v>6.2218071987873852E-3</v>
      </c>
      <c r="K694">
        <f t="shared" si="30"/>
        <v>1403</v>
      </c>
      <c r="L694" s="5">
        <f t="shared" si="31"/>
        <v>-8.3535246736903046E-2</v>
      </c>
    </row>
    <row r="695" spans="1:12" x14ac:dyDescent="0.3">
      <c r="A695" s="2">
        <v>46028</v>
      </c>
      <c r="B695">
        <v>1293.800048828125</v>
      </c>
      <c r="C695">
        <f t="shared" si="32"/>
        <v>1.313921091141364E-3</v>
      </c>
      <c r="K695">
        <f t="shared" si="30"/>
        <v>1403</v>
      </c>
      <c r="L695" s="5">
        <f t="shared" si="31"/>
        <v>-7.7833179737615832E-2</v>
      </c>
    </row>
    <row r="696" spans="1:12" x14ac:dyDescent="0.3">
      <c r="A696" s="2">
        <v>46029</v>
      </c>
      <c r="B696">
        <v>1295.5</v>
      </c>
      <c r="C696">
        <f t="shared" si="32"/>
        <v>-6.7155161496526439E-3</v>
      </c>
      <c r="K696">
        <f t="shared" si="30"/>
        <v>1403</v>
      </c>
      <c r="L696" s="5">
        <f t="shared" si="31"/>
        <v>-7.6621525302922322E-2</v>
      </c>
    </row>
    <row r="697" spans="1:12" x14ac:dyDescent="0.3">
      <c r="A697" s="2">
        <v>46030</v>
      </c>
      <c r="B697">
        <v>1286.800048828125</v>
      </c>
      <c r="C697">
        <f t="shared" si="32"/>
        <v>-1.1501436327736578E-2</v>
      </c>
      <c r="K697">
        <f t="shared" si="30"/>
        <v>1403</v>
      </c>
      <c r="L697" s="5">
        <f t="shared" si="31"/>
        <v>-8.282248836199213E-2</v>
      </c>
    </row>
    <row r="698" spans="1:12" x14ac:dyDescent="0.3">
      <c r="A698" s="2">
        <v>46031</v>
      </c>
      <c r="B698">
        <v>1272</v>
      </c>
      <c r="C698">
        <f t="shared" si="32"/>
        <v>1.7295213615369496E-3</v>
      </c>
      <c r="K698">
        <f t="shared" si="30"/>
        <v>1403</v>
      </c>
      <c r="L698" s="5">
        <f t="shared" si="31"/>
        <v>-9.3371347113328618E-2</v>
      </c>
    </row>
    <row r="699" spans="1:12" x14ac:dyDescent="0.3">
      <c r="A699" s="2">
        <v>46034</v>
      </c>
      <c r="B699">
        <v>1274.199951171875</v>
      </c>
      <c r="C699">
        <f t="shared" si="32"/>
        <v>-9.5745971114304072E-3</v>
      </c>
      <c r="K699">
        <f t="shared" si="30"/>
        <v>1403</v>
      </c>
      <c r="L699" s="5">
        <f t="shared" si="31"/>
        <v>-9.180331349117965E-2</v>
      </c>
    </row>
    <row r="700" spans="1:12" x14ac:dyDescent="0.3">
      <c r="A700" s="2">
        <v>46035</v>
      </c>
      <c r="B700">
        <v>1262</v>
      </c>
      <c r="C700">
        <f t="shared" si="32"/>
        <v>2.9160102082507924E-2</v>
      </c>
      <c r="K700">
        <f t="shared" si="30"/>
        <v>1403</v>
      </c>
      <c r="L700" s="5">
        <f t="shared" si="31"/>
        <v>-0.10049893086243766</v>
      </c>
    </row>
    <row r="701" spans="1:12" x14ac:dyDescent="0.3">
      <c r="A701" s="2">
        <v>46036</v>
      </c>
      <c r="B701">
        <v>1298.800048828125</v>
      </c>
      <c r="C701">
        <f t="shared" si="32"/>
        <v>0</v>
      </c>
      <c r="K701">
        <f t="shared" si="30"/>
        <v>1403</v>
      </c>
      <c r="L701" s="5">
        <f t="shared" si="31"/>
        <v>-7.4269387863061254E-2</v>
      </c>
    </row>
    <row r="702" spans="1:12" x14ac:dyDescent="0.3">
      <c r="A702" s="2">
        <v>46037</v>
      </c>
      <c r="B702">
        <v>1298.800048828125</v>
      </c>
      <c r="C702">
        <f t="shared" si="32"/>
        <v>-3.5418058849016475E-3</v>
      </c>
      <c r="K702">
        <f t="shared" si="30"/>
        <v>1403</v>
      </c>
      <c r="L702" s="5">
        <f t="shared" si="31"/>
        <v>-7.4269387863061254E-2</v>
      </c>
    </row>
    <row r="703" spans="1:12" x14ac:dyDescent="0.3">
      <c r="A703" s="2">
        <v>46038</v>
      </c>
      <c r="B703">
        <v>1294.199951171875</v>
      </c>
      <c r="C703">
        <f t="shared" si="32"/>
        <v>1.0276656876769345E-2</v>
      </c>
      <c r="K703">
        <f t="shared" si="30"/>
        <v>1403</v>
      </c>
      <c r="L703" s="5">
        <f t="shared" si="31"/>
        <v>-7.7548145992961559E-2</v>
      </c>
    </row>
    <row r="704" spans="1:12" x14ac:dyDescent="0.3">
      <c r="A704" s="2">
        <v>46041</v>
      </c>
      <c r="B704">
        <v>1307.5</v>
      </c>
      <c r="C704">
        <f t="shared" si="32"/>
        <v>-1.0707456978967494E-2</v>
      </c>
      <c r="K704">
        <f t="shared" si="30"/>
        <v>1403</v>
      </c>
      <c r="L704" s="5">
        <f t="shared" si="31"/>
        <v>-6.8068424803991445E-2</v>
      </c>
    </row>
    <row r="705" spans="1:12" x14ac:dyDescent="0.3">
      <c r="A705" s="2">
        <v>46042</v>
      </c>
      <c r="B705">
        <v>1293.5</v>
      </c>
      <c r="C705">
        <f t="shared" si="32"/>
        <v>-6.6486088797355659E-3</v>
      </c>
      <c r="K705">
        <f t="shared" si="30"/>
        <v>1403</v>
      </c>
      <c r="L705" s="5">
        <f t="shared" si="31"/>
        <v>-7.8047042052744153E-2</v>
      </c>
    </row>
    <row r="706" spans="1:12" x14ac:dyDescent="0.3">
      <c r="A706" s="2">
        <v>46043</v>
      </c>
      <c r="B706">
        <v>1284.900024414062</v>
      </c>
      <c r="C706">
        <f t="shared" si="32"/>
        <v>7.7048986115301442E-3</v>
      </c>
      <c r="K706">
        <f t="shared" ref="K706:K740" si="33">MAX(B706:B1445)</f>
        <v>1403</v>
      </c>
      <c r="L706" s="5">
        <f t="shared" ref="L706:L740" si="34">B706/K706-1</f>
        <v>-8.4176746675650671E-2</v>
      </c>
    </row>
    <row r="707" spans="1:12" x14ac:dyDescent="0.3">
      <c r="A707" s="2">
        <v>46044</v>
      </c>
      <c r="B707">
        <v>1294.800048828125</v>
      </c>
      <c r="C707">
        <f t="shared" ref="C707:C740" si="35">(B708-B707)/B707</f>
        <v>-2.8421414458109841E-2</v>
      </c>
      <c r="K707">
        <f t="shared" si="33"/>
        <v>1403</v>
      </c>
      <c r="L707" s="5">
        <f t="shared" si="34"/>
        <v>-7.7120421362704916E-2</v>
      </c>
    </row>
    <row r="708" spans="1:12" x14ac:dyDescent="0.3">
      <c r="A708" s="2">
        <v>46045</v>
      </c>
      <c r="B708">
        <v>1258</v>
      </c>
      <c r="C708">
        <f t="shared" si="35"/>
        <v>4.5945984760035773E-2</v>
      </c>
      <c r="K708">
        <f t="shared" si="33"/>
        <v>1403</v>
      </c>
      <c r="L708" s="5">
        <f t="shared" si="34"/>
        <v>-0.10334996436208121</v>
      </c>
    </row>
    <row r="709" spans="1:12" x14ac:dyDescent="0.3">
      <c r="A709" s="2">
        <v>46049</v>
      </c>
      <c r="B709">
        <v>1315.800048828125</v>
      </c>
      <c r="C709">
        <f t="shared" si="35"/>
        <v>3.0399755673838676E-3</v>
      </c>
      <c r="K709">
        <f t="shared" si="33"/>
        <v>1403</v>
      </c>
      <c r="L709" s="5">
        <f t="shared" si="34"/>
        <v>-6.215249548957591E-2</v>
      </c>
    </row>
    <row r="710" spans="1:12" x14ac:dyDescent="0.3">
      <c r="A710" s="2">
        <v>46050</v>
      </c>
      <c r="B710">
        <v>1319.800048828125</v>
      </c>
      <c r="C710">
        <f t="shared" si="35"/>
        <v>3.3262540323990397E-2</v>
      </c>
      <c r="K710">
        <f t="shared" si="33"/>
        <v>1403</v>
      </c>
      <c r="L710" s="5">
        <f t="shared" si="34"/>
        <v>-5.9301461989932247E-2</v>
      </c>
    </row>
    <row r="711" spans="1:12" x14ac:dyDescent="0.3">
      <c r="A711" s="2">
        <v>46051</v>
      </c>
      <c r="B711">
        <v>1363.699951171875</v>
      </c>
      <c r="C711">
        <f t="shared" si="35"/>
        <v>4.9131579394935364E-3</v>
      </c>
      <c r="K711">
        <f t="shared" si="33"/>
        <v>1403</v>
      </c>
      <c r="L711" s="5">
        <f t="shared" si="34"/>
        <v>-2.8011438936653588E-2</v>
      </c>
    </row>
    <row r="712" spans="1:12" x14ac:dyDescent="0.3">
      <c r="A712" s="2">
        <v>46052</v>
      </c>
      <c r="B712">
        <v>1370.400024414062</v>
      </c>
      <c r="C712">
        <f t="shared" si="35"/>
        <v>-4.2980168830079928E-2</v>
      </c>
      <c r="K712">
        <f t="shared" si="33"/>
        <v>1403</v>
      </c>
      <c r="L712" s="5">
        <f t="shared" si="34"/>
        <v>-2.3235905620768271E-2</v>
      </c>
    </row>
    <row r="713" spans="1:12" x14ac:dyDescent="0.3">
      <c r="A713" s="2">
        <v>46055</v>
      </c>
      <c r="B713">
        <v>1311.5</v>
      </c>
      <c r="C713">
        <f t="shared" si="35"/>
        <v>3.4083073710922611E-2</v>
      </c>
      <c r="K713">
        <f t="shared" si="33"/>
        <v>1403</v>
      </c>
      <c r="L713" s="5">
        <f t="shared" si="34"/>
        <v>-6.5217391304347783E-2</v>
      </c>
    </row>
    <row r="714" spans="1:12" x14ac:dyDescent="0.3">
      <c r="A714" s="2">
        <v>46056</v>
      </c>
      <c r="B714">
        <v>1356.199951171875</v>
      </c>
      <c r="C714">
        <f t="shared" si="35"/>
        <v>-1.2903701983530138E-2</v>
      </c>
      <c r="K714">
        <f t="shared" si="33"/>
        <v>1403</v>
      </c>
      <c r="L714" s="5">
        <f t="shared" si="34"/>
        <v>-3.3357126748485344E-2</v>
      </c>
    </row>
    <row r="715" spans="1:12" x14ac:dyDescent="0.3">
      <c r="A715" s="2">
        <v>46057</v>
      </c>
      <c r="B715">
        <v>1338.699951171875</v>
      </c>
      <c r="C715">
        <f t="shared" si="35"/>
        <v>-6.0506281327988888E-3</v>
      </c>
      <c r="K715">
        <f t="shared" si="33"/>
        <v>1403</v>
      </c>
      <c r="L715" s="5">
        <f t="shared" si="34"/>
        <v>-4.5830398309426257E-2</v>
      </c>
    </row>
    <row r="716" spans="1:12" x14ac:dyDescent="0.3">
      <c r="A716" s="2">
        <v>46058</v>
      </c>
      <c r="B716">
        <v>1330.599975585938</v>
      </c>
      <c r="C716">
        <f t="shared" si="35"/>
        <v>8.2669473935290602E-3</v>
      </c>
      <c r="K716">
        <f t="shared" si="33"/>
        <v>1403</v>
      </c>
      <c r="L716" s="5">
        <f t="shared" si="34"/>
        <v>-5.1603723744876762E-2</v>
      </c>
    </row>
    <row r="717" spans="1:12" x14ac:dyDescent="0.3">
      <c r="A717" s="2">
        <v>46059</v>
      </c>
      <c r="B717">
        <v>1341.599975585938</v>
      </c>
      <c r="C717">
        <f t="shared" si="35"/>
        <v>-1.4903933774192393E-4</v>
      </c>
      <c r="K717">
        <f t="shared" si="33"/>
        <v>1403</v>
      </c>
      <c r="L717" s="5">
        <f t="shared" si="34"/>
        <v>-4.3763381620856801E-2</v>
      </c>
    </row>
    <row r="718" spans="1:12" x14ac:dyDescent="0.3">
      <c r="A718" s="2">
        <v>46062</v>
      </c>
      <c r="B718">
        <v>1341.400024414062</v>
      </c>
      <c r="C718">
        <f t="shared" si="35"/>
        <v>1.1405938928990349E-2</v>
      </c>
      <c r="K718">
        <f t="shared" si="33"/>
        <v>1403</v>
      </c>
      <c r="L718" s="5">
        <f t="shared" si="34"/>
        <v>-4.3905898493184603E-2</v>
      </c>
    </row>
    <row r="719" spans="1:12" x14ac:dyDescent="0.3">
      <c r="A719" s="2">
        <v>46063</v>
      </c>
      <c r="B719">
        <v>1356.699951171875</v>
      </c>
      <c r="C719">
        <f t="shared" si="35"/>
        <v>-6.9285049620814521E-3</v>
      </c>
      <c r="K719">
        <f t="shared" si="33"/>
        <v>1403</v>
      </c>
      <c r="L719" s="5">
        <f t="shared" si="34"/>
        <v>-3.3000747561029886E-2</v>
      </c>
    </row>
    <row r="720" spans="1:12" x14ac:dyDescent="0.3">
      <c r="A720" s="2">
        <v>46064</v>
      </c>
      <c r="B720">
        <v>1347.300048828125</v>
      </c>
      <c r="C720">
        <f t="shared" si="35"/>
        <v>-5.4182799402958141E-3</v>
      </c>
      <c r="K720">
        <f t="shared" si="33"/>
        <v>1403</v>
      </c>
      <c r="L720" s="5">
        <f t="shared" si="34"/>
        <v>-3.97006066798824E-2</v>
      </c>
    </row>
    <row r="721" spans="1:12" x14ac:dyDescent="0.3">
      <c r="A721" s="2">
        <v>46065</v>
      </c>
      <c r="B721">
        <v>1340</v>
      </c>
      <c r="C721">
        <f t="shared" si="35"/>
        <v>-5.746232217817164E-3</v>
      </c>
      <c r="K721">
        <f t="shared" si="33"/>
        <v>1403</v>
      </c>
      <c r="L721" s="5">
        <f t="shared" si="34"/>
        <v>-4.490377761938702E-2</v>
      </c>
    </row>
    <row r="722" spans="1:12" x14ac:dyDescent="0.3">
      <c r="A722" s="2">
        <v>46066</v>
      </c>
      <c r="B722">
        <v>1332.300048828125</v>
      </c>
      <c r="C722">
        <f t="shared" si="35"/>
        <v>1.9515123506052022E-2</v>
      </c>
      <c r="K722">
        <f t="shared" si="33"/>
        <v>1403</v>
      </c>
      <c r="L722" s="5">
        <f t="shared" si="34"/>
        <v>-5.0391982303546023E-2</v>
      </c>
    </row>
    <row r="723" spans="1:12" x14ac:dyDescent="0.3">
      <c r="A723" s="2">
        <v>46069</v>
      </c>
      <c r="B723">
        <v>1358.300048828125</v>
      </c>
      <c r="C723">
        <f t="shared" si="35"/>
        <v>-8.099076910135655E-4</v>
      </c>
      <c r="K723">
        <f t="shared" si="33"/>
        <v>1403</v>
      </c>
      <c r="L723" s="5">
        <f t="shared" si="34"/>
        <v>-3.1860264555862439E-2</v>
      </c>
    </row>
    <row r="724" spans="1:12" x14ac:dyDescent="0.3">
      <c r="A724" s="2">
        <v>46070</v>
      </c>
      <c r="B724">
        <v>1357.199951171875</v>
      </c>
      <c r="C724">
        <f t="shared" si="35"/>
        <v>1.4588895918415438E-2</v>
      </c>
      <c r="K724">
        <f t="shared" si="33"/>
        <v>1403</v>
      </c>
      <c r="L724" s="5">
        <f t="shared" si="34"/>
        <v>-3.2644368373574428E-2</v>
      </c>
    </row>
    <row r="725" spans="1:12" x14ac:dyDescent="0.3">
      <c r="A725" s="2">
        <v>46071</v>
      </c>
      <c r="B725">
        <v>1377</v>
      </c>
      <c r="C725">
        <f t="shared" si="35"/>
        <v>-1.4814832544707368E-2</v>
      </c>
      <c r="K725">
        <f t="shared" si="33"/>
        <v>1403</v>
      </c>
      <c r="L725" s="5">
        <f t="shared" si="34"/>
        <v>-1.8531717747683585E-2</v>
      </c>
    </row>
    <row r="726" spans="1:12" x14ac:dyDescent="0.3">
      <c r="A726" s="2">
        <v>46072</v>
      </c>
      <c r="B726">
        <v>1356.599975585938</v>
      </c>
      <c r="C726">
        <f t="shared" si="35"/>
        <v>8.6245565772869702E-3</v>
      </c>
      <c r="K726">
        <f t="shared" si="33"/>
        <v>1403</v>
      </c>
      <c r="L726" s="5">
        <f t="shared" si="34"/>
        <v>-3.3072005997193177E-2</v>
      </c>
    </row>
    <row r="727" spans="1:12" x14ac:dyDescent="0.3">
      <c r="A727" s="2">
        <v>46073</v>
      </c>
      <c r="B727">
        <v>1368.300048828125</v>
      </c>
      <c r="C727">
        <f t="shared" si="35"/>
        <v>1.3447271568475439E-2</v>
      </c>
      <c r="K727">
        <f t="shared" si="33"/>
        <v>1403</v>
      </c>
      <c r="L727" s="5">
        <f t="shared" si="34"/>
        <v>-2.4732680806753393E-2</v>
      </c>
    </row>
    <row r="728" spans="1:12" x14ac:dyDescent="0.3">
      <c r="A728" s="2">
        <v>46076</v>
      </c>
      <c r="B728">
        <v>1386.699951171875</v>
      </c>
      <c r="C728">
        <f t="shared" si="35"/>
        <v>6.4904048875343251E-4</v>
      </c>
      <c r="K728">
        <f t="shared" si="33"/>
        <v>1403</v>
      </c>
      <c r="L728" s="5">
        <f t="shared" si="34"/>
        <v>-1.161799631370275E-2</v>
      </c>
    </row>
    <row r="729" spans="1:12" x14ac:dyDescent="0.3">
      <c r="A729" s="2">
        <v>46077</v>
      </c>
      <c r="B729">
        <v>1387.599975585938</v>
      </c>
      <c r="C729">
        <f t="shared" si="35"/>
        <v>1.1098317011398851E-2</v>
      </c>
      <c r="K729">
        <f t="shared" si="33"/>
        <v>1403</v>
      </c>
      <c r="L729" s="5">
        <f t="shared" si="34"/>
        <v>-1.0976496374955125E-2</v>
      </c>
    </row>
    <row r="730" spans="1:12" x14ac:dyDescent="0.3">
      <c r="A730" s="2">
        <v>46078</v>
      </c>
      <c r="B730">
        <v>1403</v>
      </c>
      <c r="C730">
        <f t="shared" si="35"/>
        <v>-5.3456878118317893E-3</v>
      </c>
      <c r="K730">
        <f t="shared" si="33"/>
        <v>1403</v>
      </c>
      <c r="L730" s="5">
        <f t="shared" si="34"/>
        <v>0</v>
      </c>
    </row>
    <row r="731" spans="1:12" x14ac:dyDescent="0.3">
      <c r="A731" s="2">
        <v>46079</v>
      </c>
      <c r="B731">
        <v>1395.5</v>
      </c>
      <c r="C731">
        <f t="shared" si="35"/>
        <v>-8.3124153249286674E-3</v>
      </c>
      <c r="K731">
        <f t="shared" si="33"/>
        <v>1395.5</v>
      </c>
      <c r="L731" s="5">
        <f t="shared" si="34"/>
        <v>0</v>
      </c>
    </row>
    <row r="732" spans="1:12" x14ac:dyDescent="0.3">
      <c r="A732" s="2">
        <v>46080</v>
      </c>
      <c r="B732">
        <v>1383.900024414062</v>
      </c>
      <c r="C732">
        <f t="shared" si="35"/>
        <v>-8.3820907444874353E-3</v>
      </c>
      <c r="K732">
        <f t="shared" si="33"/>
        <v>1383.900024414062</v>
      </c>
      <c r="L732" s="5">
        <f t="shared" si="34"/>
        <v>0</v>
      </c>
    </row>
    <row r="733" spans="1:12" x14ac:dyDescent="0.3">
      <c r="A733" s="2">
        <v>46083</v>
      </c>
      <c r="B733">
        <v>1372.300048828125</v>
      </c>
      <c r="C733">
        <f t="shared" si="35"/>
        <v>-1.530277581636242E-2</v>
      </c>
      <c r="K733">
        <f t="shared" si="33"/>
        <v>1372.300048828125</v>
      </c>
      <c r="L733" s="5">
        <f t="shared" si="34"/>
        <v>0</v>
      </c>
    </row>
    <row r="734" spans="1:12" x14ac:dyDescent="0.3">
      <c r="A734" s="2">
        <v>46085</v>
      </c>
      <c r="B734">
        <v>1351.300048828125</v>
      </c>
      <c r="C734">
        <f t="shared" si="35"/>
        <v>-1.6281160087983373E-3</v>
      </c>
      <c r="K734">
        <f t="shared" si="33"/>
        <v>1351.300048828125</v>
      </c>
      <c r="L734" s="5">
        <f t="shared" si="34"/>
        <v>0</v>
      </c>
    </row>
    <row r="735" spans="1:12" x14ac:dyDescent="0.3">
      <c r="A735" s="2">
        <v>46086</v>
      </c>
      <c r="B735">
        <v>1349.099975585938</v>
      </c>
      <c r="C735">
        <f t="shared" si="35"/>
        <v>-2.4683068238401093E-2</v>
      </c>
      <c r="K735">
        <f t="shared" si="33"/>
        <v>1349.099975585938</v>
      </c>
      <c r="L735" s="5">
        <f t="shared" si="34"/>
        <v>0</v>
      </c>
    </row>
    <row r="736" spans="1:12" x14ac:dyDescent="0.3">
      <c r="A736" s="2">
        <v>46087</v>
      </c>
      <c r="B736">
        <v>1315.800048828125</v>
      </c>
      <c r="C736">
        <f t="shared" si="35"/>
        <v>-2.0899832025764089E-2</v>
      </c>
      <c r="K736">
        <f t="shared" si="33"/>
        <v>1315.800048828125</v>
      </c>
      <c r="L736" s="5">
        <f t="shared" si="34"/>
        <v>0</v>
      </c>
    </row>
    <row r="737" spans="1:13" x14ac:dyDescent="0.3">
      <c r="A737" s="2">
        <v>46090</v>
      </c>
      <c r="B737">
        <v>1288.300048828125</v>
      </c>
      <c r="C737">
        <f t="shared" si="35"/>
        <v>2.0492044821207697E-2</v>
      </c>
      <c r="K737">
        <f t="shared" si="33"/>
        <v>1314.699951171875</v>
      </c>
      <c r="L737" s="5">
        <f t="shared" si="34"/>
        <v>-2.0080553224496644E-2</v>
      </c>
    </row>
    <row r="738" spans="1:13" x14ac:dyDescent="0.3">
      <c r="A738" s="2">
        <v>46091</v>
      </c>
      <c r="B738">
        <v>1314.699951171875</v>
      </c>
      <c r="C738">
        <f t="shared" si="35"/>
        <v>-4.4801022690575745E-2</v>
      </c>
      <c r="K738">
        <f t="shared" si="33"/>
        <v>1314.699951171875</v>
      </c>
      <c r="L738" s="5">
        <f t="shared" si="34"/>
        <v>0</v>
      </c>
    </row>
    <row r="739" spans="1:13" x14ac:dyDescent="0.3">
      <c r="A739" s="2">
        <v>46092</v>
      </c>
      <c r="B739">
        <v>1255.800048828125</v>
      </c>
      <c r="C739">
        <f t="shared" si="35"/>
        <v>-1.6961337792590125E-2</v>
      </c>
      <c r="K739">
        <f t="shared" si="33"/>
        <v>1255.800048828125</v>
      </c>
      <c r="L739" s="5">
        <f t="shared" si="34"/>
        <v>0</v>
      </c>
    </row>
    <row r="740" spans="1:13" x14ac:dyDescent="0.3">
      <c r="A740" s="2">
        <v>46093</v>
      </c>
      <c r="B740">
        <v>1234.5</v>
      </c>
      <c r="C740">
        <f t="shared" si="35"/>
        <v>-3.0133617798197652E-2</v>
      </c>
      <c r="K740">
        <f t="shared" si="33"/>
        <v>1234.5</v>
      </c>
      <c r="L740" s="5">
        <f t="shared" si="34"/>
        <v>0</v>
      </c>
    </row>
    <row r="741" spans="1:13" x14ac:dyDescent="0.3">
      <c r="A741" s="2">
        <v>46094</v>
      </c>
      <c r="B741">
        <v>1197.300048828125</v>
      </c>
      <c r="C741" t="s">
        <v>3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1"/>
  <sheetViews>
    <sheetView showGridLines="0" zoomScaleNormal="100" workbookViewId="0">
      <selection activeCell="O2" sqref="O2"/>
    </sheetView>
  </sheetViews>
  <sheetFormatPr defaultRowHeight="14.4" outlineLevelCol="1" x14ac:dyDescent="0.3"/>
  <cols>
    <col min="1" max="1" width="18.109375" bestFit="1" customWidth="1"/>
    <col min="2" max="2" width="12" bestFit="1" customWidth="1"/>
    <col min="3" max="3" width="12.6640625" bestFit="1" customWidth="1"/>
    <col min="4" max="4" width="12" bestFit="1" customWidth="1"/>
    <col min="5" max="5" width="11" bestFit="1" customWidth="1"/>
    <col min="6" max="6" width="8.21875" customWidth="1"/>
    <col min="7" max="7" width="12" bestFit="1" customWidth="1"/>
    <col min="8" max="8" width="13.21875" bestFit="1" customWidth="1"/>
    <col min="9" max="10" width="12" bestFit="1" customWidth="1"/>
    <col min="11" max="11" width="12" hidden="1" customWidth="1" outlineLevel="1"/>
    <col min="12" max="12" width="12.6640625" hidden="1" customWidth="1" outlineLevel="1"/>
    <col min="13" max="13" width="16.21875" bestFit="1" customWidth="1" collapsed="1"/>
    <col min="15" max="15" width="14" bestFit="1" customWidth="1"/>
  </cols>
  <sheetData>
    <row r="1" spans="1:15" x14ac:dyDescent="0.3">
      <c r="A1" s="1" t="s">
        <v>1</v>
      </c>
      <c r="B1" s="1" t="s">
        <v>0</v>
      </c>
      <c r="C1" s="4" t="s">
        <v>2</v>
      </c>
      <c r="D1" s="4" t="s">
        <v>4</v>
      </c>
      <c r="E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s="2">
        <v>45000</v>
      </c>
      <c r="B2">
        <v>151.64122009277341</v>
      </c>
      <c r="C2">
        <f>(B3-B2)/B2</f>
        <v>1.6863623607221753E-2</v>
      </c>
      <c r="D2">
        <f>((B740/B2)^(1/3)-1)</f>
        <v>0.26036064938194459</v>
      </c>
      <c r="E2">
        <f>SLOPE(C2:C739,Nifty_50!C2:C739)</f>
        <v>1.0283187498272306</v>
      </c>
      <c r="G2">
        <f>_xlfn.STDEV.S(C2:C740)</f>
        <v>1.6376485527130731E-2</v>
      </c>
      <c r="H2">
        <v>6.4799999999999996E-2</v>
      </c>
      <c r="I2">
        <f>(D2-H2)/G2</f>
        <v>11.941551748570324</v>
      </c>
      <c r="J2">
        <f>(D2-H2)/E2</f>
        <v>0.19017512752227947</v>
      </c>
      <c r="K2">
        <f t="shared" ref="K2:K65" si="0">MAX(B2:B741)</f>
        <v>344.84323120117188</v>
      </c>
      <c r="L2" s="5">
        <f t="shared" ref="L2:L65" si="1">B2/K2-1</f>
        <v>-0.56026041292859197</v>
      </c>
      <c r="M2" s="5">
        <f>MIN(L2:L740)</f>
        <v>-0.57605490811670235</v>
      </c>
      <c r="N2">
        <f>D2/M2</f>
        <v>-0.45197193134443081</v>
      </c>
      <c r="O2">
        <f>(D2-(H2+E2*(Nifty_50!D2-Larsen_and_Toubro!H2)))</f>
        <v>0.15007384883034844</v>
      </c>
    </row>
    <row r="3" spans="1:15" x14ac:dyDescent="0.3">
      <c r="A3" s="2">
        <v>45001</v>
      </c>
      <c r="B3">
        <v>154.19844055175781</v>
      </c>
      <c r="C3">
        <f t="shared" ref="C3:C66" si="2">(B4-B3)/B3</f>
        <v>-1.0553508770280934E-2</v>
      </c>
      <c r="K3">
        <f t="shared" si="0"/>
        <v>344.84323120117188</v>
      </c>
      <c r="L3" s="5">
        <f t="shared" si="1"/>
        <v>-0.55284481004702468</v>
      </c>
    </row>
    <row r="4" spans="1:15" x14ac:dyDescent="0.3">
      <c r="A4" s="2">
        <v>45002</v>
      </c>
      <c r="B4">
        <v>152.57110595703119</v>
      </c>
      <c r="C4">
        <f t="shared" si="2"/>
        <v>-9.5777535528904483E-3</v>
      </c>
      <c r="K4">
        <f t="shared" si="0"/>
        <v>344.84323120117188</v>
      </c>
      <c r="L4" s="5">
        <f t="shared" si="1"/>
        <v>-0.55756386626586996</v>
      </c>
    </row>
    <row r="5" spans="1:15" x14ac:dyDescent="0.3">
      <c r="A5" s="2">
        <v>45005</v>
      </c>
      <c r="B5">
        <v>151.10981750488281</v>
      </c>
      <c r="C5">
        <f t="shared" si="2"/>
        <v>-1.9120615667789172E-2</v>
      </c>
      <c r="K5">
        <f t="shared" si="0"/>
        <v>344.84323120117188</v>
      </c>
      <c r="L5" s="5">
        <f t="shared" si="1"/>
        <v>-0.56180141051766919</v>
      </c>
    </row>
    <row r="6" spans="1:15" x14ac:dyDescent="0.3">
      <c r="A6" s="2">
        <v>45006</v>
      </c>
      <c r="B6">
        <v>148.22050476074219</v>
      </c>
      <c r="C6">
        <f t="shared" si="2"/>
        <v>4.2570455844218816E-3</v>
      </c>
      <c r="K6">
        <f t="shared" si="0"/>
        <v>344.84323120117188</v>
      </c>
      <c r="L6" s="5">
        <f t="shared" si="1"/>
        <v>-0.57018003733332812</v>
      </c>
    </row>
    <row r="7" spans="1:15" x14ac:dyDescent="0.3">
      <c r="A7" s="2">
        <v>45007</v>
      </c>
      <c r="B7">
        <v>148.85148620605469</v>
      </c>
      <c r="C7">
        <f t="shared" si="2"/>
        <v>-8.7015745867480548E-3</v>
      </c>
      <c r="K7">
        <f t="shared" si="0"/>
        <v>344.84323120117188</v>
      </c>
      <c r="L7" s="5">
        <f t="shared" si="1"/>
        <v>-0.56835027415916162</v>
      </c>
    </row>
    <row r="8" spans="1:15" x14ac:dyDescent="0.3">
      <c r="A8" s="2">
        <v>45008</v>
      </c>
      <c r="B8">
        <v>147.5562438964844</v>
      </c>
      <c r="C8">
        <f t="shared" si="2"/>
        <v>1.1256176936965342E-3</v>
      </c>
      <c r="K8">
        <f t="shared" si="0"/>
        <v>344.84323120117188</v>
      </c>
      <c r="L8" s="5">
        <f t="shared" si="1"/>
        <v>-0.57210630644391502</v>
      </c>
    </row>
    <row r="9" spans="1:15" x14ac:dyDescent="0.3">
      <c r="A9" s="2">
        <v>45009</v>
      </c>
      <c r="B9">
        <v>147.72233581542969</v>
      </c>
      <c r="C9">
        <f t="shared" si="2"/>
        <v>-1.0341973473966848E-2</v>
      </c>
      <c r="K9">
        <f t="shared" si="0"/>
        <v>344.84323120117188</v>
      </c>
      <c r="L9" s="5">
        <f t="shared" si="1"/>
        <v>-0.57162466173142712</v>
      </c>
    </row>
    <row r="10" spans="1:15" x14ac:dyDescent="0.3">
      <c r="A10" s="2">
        <v>45012</v>
      </c>
      <c r="B10">
        <v>146.19459533691409</v>
      </c>
      <c r="C10">
        <f t="shared" si="2"/>
        <v>9.0867256256619861E-3</v>
      </c>
      <c r="K10">
        <f t="shared" si="0"/>
        <v>344.84323120117188</v>
      </c>
      <c r="L10" s="5">
        <f t="shared" si="1"/>
        <v>-0.57605490811670235</v>
      </c>
    </row>
    <row r="11" spans="1:15" x14ac:dyDescent="0.3">
      <c r="A11" s="2">
        <v>45013</v>
      </c>
      <c r="B11">
        <v>147.52302551269531</v>
      </c>
      <c r="C11">
        <f t="shared" si="2"/>
        <v>1.5760127487710459E-3</v>
      </c>
      <c r="K11">
        <f t="shared" si="0"/>
        <v>344.84323120117188</v>
      </c>
      <c r="L11" s="5">
        <f t="shared" si="1"/>
        <v>-0.57220263538641269</v>
      </c>
    </row>
    <row r="12" spans="1:15" x14ac:dyDescent="0.3">
      <c r="A12" s="2">
        <v>45014</v>
      </c>
      <c r="B12">
        <v>147.7555236816406</v>
      </c>
      <c r="C12">
        <f t="shared" si="2"/>
        <v>1.4609886334274682E-2</v>
      </c>
      <c r="K12">
        <f t="shared" si="0"/>
        <v>344.84323120117188</v>
      </c>
      <c r="L12" s="5">
        <f t="shared" si="1"/>
        <v>-0.5715284212858911</v>
      </c>
    </row>
    <row r="13" spans="1:15" x14ac:dyDescent="0.3">
      <c r="A13" s="2">
        <v>45016</v>
      </c>
      <c r="B13">
        <v>149.9142150878906</v>
      </c>
      <c r="C13">
        <f t="shared" si="2"/>
        <v>-4.8735961260395044E-3</v>
      </c>
      <c r="K13">
        <f t="shared" si="0"/>
        <v>344.84323120117188</v>
      </c>
      <c r="L13" s="5">
        <f t="shared" si="1"/>
        <v>-0.56526850022341069</v>
      </c>
    </row>
    <row r="14" spans="1:15" x14ac:dyDescent="0.3">
      <c r="A14" s="2">
        <v>45019</v>
      </c>
      <c r="B14">
        <v>149.18359375</v>
      </c>
      <c r="C14">
        <f t="shared" si="2"/>
        <v>4.6750011455578538E-3</v>
      </c>
      <c r="K14">
        <f t="shared" si="0"/>
        <v>344.84323120117188</v>
      </c>
      <c r="L14" s="5">
        <f t="shared" si="1"/>
        <v>-0.5673872059765892</v>
      </c>
    </row>
    <row r="15" spans="1:15" x14ac:dyDescent="0.3">
      <c r="A15" s="2">
        <v>45021</v>
      </c>
      <c r="B15">
        <v>149.88102722167969</v>
      </c>
      <c r="C15">
        <f t="shared" si="2"/>
        <v>-1.7727480180149944E-3</v>
      </c>
      <c r="K15">
        <f t="shared" si="0"/>
        <v>344.84323120117188</v>
      </c>
      <c r="L15" s="5">
        <f t="shared" si="1"/>
        <v>-0.56536474066894682</v>
      </c>
    </row>
    <row r="16" spans="1:15" x14ac:dyDescent="0.3">
      <c r="A16" s="2">
        <v>45022</v>
      </c>
      <c r="B16">
        <v>149.6153259277344</v>
      </c>
      <c r="C16">
        <f t="shared" si="2"/>
        <v>1.687024932714205E-2</v>
      </c>
      <c r="K16">
        <f t="shared" si="0"/>
        <v>344.84323120117188</v>
      </c>
      <c r="L16" s="5">
        <f t="shared" si="1"/>
        <v>-0.56613523946348532</v>
      </c>
    </row>
    <row r="17" spans="1:12" x14ac:dyDescent="0.3">
      <c r="A17" s="2">
        <v>45026</v>
      </c>
      <c r="B17">
        <v>152.1393737792969</v>
      </c>
      <c r="C17">
        <f t="shared" si="2"/>
        <v>1.004151603222512E-2</v>
      </c>
      <c r="K17">
        <f t="shared" si="0"/>
        <v>344.84323120117188</v>
      </c>
      <c r="L17" s="5">
        <f t="shared" si="1"/>
        <v>-0.55881583277897351</v>
      </c>
    </row>
    <row r="18" spans="1:12" x14ac:dyDescent="0.3">
      <c r="A18" s="2">
        <v>45027</v>
      </c>
      <c r="B18">
        <v>153.6670837402344</v>
      </c>
      <c r="C18">
        <f t="shared" si="2"/>
        <v>-1.7505987155245619E-2</v>
      </c>
      <c r="K18">
        <f t="shared" si="0"/>
        <v>344.84323120117188</v>
      </c>
      <c r="L18" s="5">
        <f t="shared" si="1"/>
        <v>-0.55438567489065971</v>
      </c>
    </row>
    <row r="19" spans="1:12" x14ac:dyDescent="0.3">
      <c r="A19" s="2">
        <v>45028</v>
      </c>
      <c r="B19">
        <v>150.97698974609381</v>
      </c>
      <c r="C19">
        <f t="shared" si="2"/>
        <v>1.7157838735093751E-2</v>
      </c>
      <c r="K19">
        <f t="shared" si="0"/>
        <v>344.84323120117188</v>
      </c>
      <c r="L19" s="5">
        <f t="shared" si="1"/>
        <v>-0.56218659354221723</v>
      </c>
    </row>
    <row r="20" spans="1:12" x14ac:dyDescent="0.3">
      <c r="A20" s="2">
        <v>45029</v>
      </c>
      <c r="B20">
        <v>153.56742858886719</v>
      </c>
      <c r="C20">
        <f t="shared" si="2"/>
        <v>2.3572675211479904E-2</v>
      </c>
      <c r="K20">
        <f t="shared" si="0"/>
        <v>344.84323120117188</v>
      </c>
      <c r="L20" s="5">
        <f t="shared" si="1"/>
        <v>-0.55467466171815261</v>
      </c>
    </row>
    <row r="21" spans="1:12" x14ac:dyDescent="0.3">
      <c r="A21" s="2">
        <v>45033</v>
      </c>
      <c r="B21">
        <v>157.18742370605469</v>
      </c>
      <c r="C21">
        <f t="shared" si="2"/>
        <v>-2.6832572355210707E-2</v>
      </c>
      <c r="K21">
        <f t="shared" si="0"/>
        <v>344.84323120117188</v>
      </c>
      <c r="L21" s="5">
        <f t="shared" si="1"/>
        <v>-0.5441771521553922</v>
      </c>
    </row>
    <row r="22" spans="1:12" x14ac:dyDescent="0.3">
      <c r="A22" s="2">
        <v>45034</v>
      </c>
      <c r="B22">
        <v>152.96968078613281</v>
      </c>
      <c r="C22">
        <f t="shared" si="2"/>
        <v>-1.5200965663810717E-3</v>
      </c>
      <c r="K22">
        <f t="shared" si="0"/>
        <v>344.84323120117188</v>
      </c>
      <c r="L22" s="5">
        <f t="shared" si="1"/>
        <v>-0.55640805170134078</v>
      </c>
    </row>
    <row r="23" spans="1:12" x14ac:dyDescent="0.3">
      <c r="A23" s="2">
        <v>45035</v>
      </c>
      <c r="B23">
        <v>152.7371520996094</v>
      </c>
      <c r="C23">
        <f t="shared" si="2"/>
        <v>4.1314586071904457E-3</v>
      </c>
      <c r="K23">
        <f t="shared" si="0"/>
        <v>344.84323120117188</v>
      </c>
      <c r="L23" s="5">
        <f t="shared" si="1"/>
        <v>-0.55708235429882391</v>
      </c>
    </row>
    <row r="24" spans="1:12" x14ac:dyDescent="0.3">
      <c r="A24" s="2">
        <v>45036</v>
      </c>
      <c r="B24">
        <v>153.36817932128909</v>
      </c>
      <c r="C24">
        <f t="shared" si="2"/>
        <v>2.8152038918582041E-3</v>
      </c>
      <c r="K24">
        <f t="shared" si="0"/>
        <v>344.84323120117188</v>
      </c>
      <c r="L24" s="5">
        <f t="shared" si="1"/>
        <v>-0.55525245837921522</v>
      </c>
    </row>
    <row r="25" spans="1:12" x14ac:dyDescent="0.3">
      <c r="A25" s="2">
        <v>45037</v>
      </c>
      <c r="B25">
        <v>153.79994201660159</v>
      </c>
      <c r="C25">
        <f t="shared" si="2"/>
        <v>1.7273789110956797E-3</v>
      </c>
      <c r="K25">
        <f t="shared" si="0"/>
        <v>344.84323120117188</v>
      </c>
      <c r="L25" s="5">
        <f t="shared" si="1"/>
        <v>-0.55400040336915002</v>
      </c>
    </row>
    <row r="26" spans="1:12" x14ac:dyDescent="0.3">
      <c r="A26" s="2">
        <v>45040</v>
      </c>
      <c r="B26">
        <v>154.06561279296881</v>
      </c>
      <c r="C26">
        <f t="shared" si="2"/>
        <v>4.095438138887385E-3</v>
      </c>
      <c r="K26">
        <f t="shared" si="0"/>
        <v>344.84323120117188</v>
      </c>
      <c r="L26" s="5">
        <f t="shared" si="1"/>
        <v>-0.55322999307157272</v>
      </c>
    </row>
    <row r="27" spans="1:12" x14ac:dyDescent="0.3">
      <c r="A27" s="2">
        <v>45041</v>
      </c>
      <c r="B27">
        <v>154.69657897949219</v>
      </c>
      <c r="C27">
        <f t="shared" si="2"/>
        <v>2.3186079967884198E-2</v>
      </c>
      <c r="K27">
        <f t="shared" si="0"/>
        <v>344.84323120117188</v>
      </c>
      <c r="L27" s="5">
        <f t="shared" si="1"/>
        <v>-0.55140027414588699</v>
      </c>
    </row>
    <row r="28" spans="1:12" x14ac:dyDescent="0.3">
      <c r="A28" s="2">
        <v>45042</v>
      </c>
      <c r="B28">
        <v>158.28338623046881</v>
      </c>
      <c r="C28">
        <f t="shared" si="2"/>
        <v>-9.8615093037297263E-3</v>
      </c>
      <c r="K28">
        <f t="shared" si="0"/>
        <v>344.84323120117188</v>
      </c>
      <c r="L28" s="5">
        <f t="shared" si="1"/>
        <v>-0.54099900502866261</v>
      </c>
    </row>
    <row r="29" spans="1:12" x14ac:dyDescent="0.3">
      <c r="A29" s="2">
        <v>45043</v>
      </c>
      <c r="B29">
        <v>156.72247314453119</v>
      </c>
      <c r="C29">
        <f t="shared" si="2"/>
        <v>5.5098041430194618E-3</v>
      </c>
      <c r="K29">
        <f t="shared" si="0"/>
        <v>344.84323120117188</v>
      </c>
      <c r="L29" s="5">
        <f t="shared" si="1"/>
        <v>-0.54552544761099364</v>
      </c>
    </row>
    <row r="30" spans="1:12" x14ac:dyDescent="0.3">
      <c r="A30" s="2">
        <v>45044</v>
      </c>
      <c r="B30">
        <v>157.58598327636719</v>
      </c>
      <c r="C30">
        <f t="shared" si="2"/>
        <v>1.2012426949069926E-2</v>
      </c>
      <c r="K30">
        <f t="shared" si="0"/>
        <v>344.84323120117188</v>
      </c>
      <c r="L30" s="5">
        <f t="shared" si="1"/>
        <v>-0.5430213818393439</v>
      </c>
    </row>
    <row r="31" spans="1:12" x14ac:dyDescent="0.3">
      <c r="A31" s="2">
        <v>45048</v>
      </c>
      <c r="B31">
        <v>159.4789733886719</v>
      </c>
      <c r="C31">
        <f t="shared" si="2"/>
        <v>-1.6659627881400636E-3</v>
      </c>
      <c r="K31">
        <f t="shared" si="0"/>
        <v>344.84323120117188</v>
      </c>
      <c r="L31" s="5">
        <f t="shared" si="1"/>
        <v>-0.5375319595714021</v>
      </c>
    </row>
    <row r="32" spans="1:12" x14ac:dyDescent="0.3">
      <c r="A32" s="2">
        <v>45049</v>
      </c>
      <c r="B32">
        <v>159.2132873535156</v>
      </c>
      <c r="C32">
        <f t="shared" si="2"/>
        <v>-3.5460306403882163E-3</v>
      </c>
      <c r="K32">
        <f t="shared" si="0"/>
        <v>344.84323120117188</v>
      </c>
      <c r="L32" s="5">
        <f t="shared" si="1"/>
        <v>-0.53830241411746016</v>
      </c>
    </row>
    <row r="33" spans="1:12" x14ac:dyDescent="0.3">
      <c r="A33" s="2">
        <v>45050</v>
      </c>
      <c r="B33">
        <v>158.6487121582031</v>
      </c>
      <c r="C33">
        <f t="shared" si="2"/>
        <v>9.2108434557685564E-3</v>
      </c>
      <c r="K33">
        <f t="shared" si="0"/>
        <v>344.84323120117188</v>
      </c>
      <c r="L33" s="5">
        <f t="shared" si="1"/>
        <v>-0.53993960790359297</v>
      </c>
    </row>
    <row r="34" spans="1:12" x14ac:dyDescent="0.3">
      <c r="A34" s="2">
        <v>45051</v>
      </c>
      <c r="B34">
        <v>160.11000061035159</v>
      </c>
      <c r="C34">
        <f t="shared" si="2"/>
        <v>1.534961172571825E-2</v>
      </c>
      <c r="K34">
        <f t="shared" si="0"/>
        <v>344.84323120117188</v>
      </c>
      <c r="L34" s="5">
        <f t="shared" si="1"/>
        <v>-0.5357020636517934</v>
      </c>
    </row>
    <row r="35" spans="1:12" x14ac:dyDescent="0.3">
      <c r="A35" s="2">
        <v>45054</v>
      </c>
      <c r="B35">
        <v>162.567626953125</v>
      </c>
      <c r="C35">
        <f t="shared" si="2"/>
        <v>-5.5159398807886192E-3</v>
      </c>
      <c r="K35">
        <f t="shared" si="0"/>
        <v>344.84323120117188</v>
      </c>
      <c r="L35" s="5">
        <f t="shared" si="1"/>
        <v>-0.52857527060379617</v>
      </c>
    </row>
    <row r="36" spans="1:12" x14ac:dyDescent="0.3">
      <c r="A36" s="2">
        <v>45055</v>
      </c>
      <c r="B36">
        <v>161.67091369628909</v>
      </c>
      <c r="C36">
        <f t="shared" si="2"/>
        <v>1.7460912964423432E-2</v>
      </c>
      <c r="K36">
        <f t="shared" si="0"/>
        <v>344.84323120117188</v>
      </c>
      <c r="L36" s="5">
        <f t="shared" si="1"/>
        <v>-0.5311756210694627</v>
      </c>
    </row>
    <row r="37" spans="1:12" x14ac:dyDescent="0.3">
      <c r="A37" s="2">
        <v>45056</v>
      </c>
      <c r="B37">
        <v>164.49383544921881</v>
      </c>
      <c r="C37">
        <f t="shared" si="2"/>
        <v>3.6341397078436511E-3</v>
      </c>
      <c r="K37">
        <f t="shared" si="0"/>
        <v>344.84323120117188</v>
      </c>
      <c r="L37" s="5">
        <f t="shared" si="1"/>
        <v>-0.52298951939335669</v>
      </c>
    </row>
    <row r="38" spans="1:12" x14ac:dyDescent="0.3">
      <c r="A38" s="2">
        <v>45057</v>
      </c>
      <c r="B38">
        <v>165.09162902832031</v>
      </c>
      <c r="C38">
        <f t="shared" si="2"/>
        <v>-2.7358612202381914E-2</v>
      </c>
      <c r="K38">
        <f t="shared" si="0"/>
        <v>344.84323120117188</v>
      </c>
      <c r="L38" s="5">
        <f t="shared" si="1"/>
        <v>-0.52125599666472655</v>
      </c>
    </row>
    <row r="39" spans="1:12" x14ac:dyDescent="0.3">
      <c r="A39" s="2">
        <v>45058</v>
      </c>
      <c r="B39">
        <v>160.574951171875</v>
      </c>
      <c r="C39">
        <f t="shared" si="2"/>
        <v>6.2046251035784749E-3</v>
      </c>
      <c r="K39">
        <f t="shared" si="0"/>
        <v>344.84323120117188</v>
      </c>
      <c r="L39" s="5">
        <f t="shared" si="1"/>
        <v>-0.53435376819619207</v>
      </c>
    </row>
    <row r="40" spans="1:12" x14ac:dyDescent="0.3">
      <c r="A40" s="2">
        <v>45061</v>
      </c>
      <c r="B40">
        <v>161.5712585449219</v>
      </c>
      <c r="C40">
        <f t="shared" si="2"/>
        <v>-1.0894031335569066E-2</v>
      </c>
      <c r="K40">
        <f t="shared" si="0"/>
        <v>344.84323120117188</v>
      </c>
      <c r="L40" s="5">
        <f t="shared" si="1"/>
        <v>-0.53146460789695549</v>
      </c>
    </row>
    <row r="41" spans="1:12" x14ac:dyDescent="0.3">
      <c r="A41" s="2">
        <v>45062</v>
      </c>
      <c r="B41">
        <v>159.81109619140619</v>
      </c>
      <c r="C41">
        <f t="shared" si="2"/>
        <v>-7.4811569903886141E-3</v>
      </c>
      <c r="K41">
        <f t="shared" si="0"/>
        <v>344.84323120117188</v>
      </c>
      <c r="L41" s="5">
        <f t="shared" si="1"/>
        <v>-0.53656884714034914</v>
      </c>
    </row>
    <row r="42" spans="1:12" x14ac:dyDescent="0.3">
      <c r="A42" s="2">
        <v>45063</v>
      </c>
      <c r="B42">
        <v>158.61552429199219</v>
      </c>
      <c r="C42">
        <f t="shared" si="2"/>
        <v>-1.3190922928819713E-2</v>
      </c>
      <c r="K42">
        <f t="shared" si="0"/>
        <v>344.84323120117188</v>
      </c>
      <c r="L42" s="5">
        <f t="shared" si="1"/>
        <v>-0.54003584834912899</v>
      </c>
    </row>
    <row r="43" spans="1:12" x14ac:dyDescent="0.3">
      <c r="A43" s="2">
        <v>45064</v>
      </c>
      <c r="B43">
        <v>156.52323913574219</v>
      </c>
      <c r="C43">
        <f t="shared" si="2"/>
        <v>-8.2751773826766021E-3</v>
      </c>
      <c r="K43">
        <f t="shared" si="0"/>
        <v>344.84323120117188</v>
      </c>
      <c r="L43" s="5">
        <f t="shared" si="1"/>
        <v>-0.5461032000235756</v>
      </c>
    </row>
    <row r="44" spans="1:12" x14ac:dyDescent="0.3">
      <c r="A44" s="2">
        <v>45065</v>
      </c>
      <c r="B44">
        <v>155.22798156738281</v>
      </c>
      <c r="C44">
        <f t="shared" si="2"/>
        <v>2.7812780490672337E-3</v>
      </c>
      <c r="K44">
        <f t="shared" si="0"/>
        <v>344.84323120117188</v>
      </c>
      <c r="L44" s="5">
        <f t="shared" si="1"/>
        <v>-0.54985927655680977</v>
      </c>
    </row>
    <row r="45" spans="1:12" x14ac:dyDescent="0.3">
      <c r="A45" s="2">
        <v>45068</v>
      </c>
      <c r="B45">
        <v>155.65971374511719</v>
      </c>
      <c r="C45">
        <f t="shared" si="2"/>
        <v>-1.0667252212090438E-3</v>
      </c>
      <c r="K45">
        <f t="shared" si="0"/>
        <v>344.84323120117188</v>
      </c>
      <c r="L45" s="5">
        <f t="shared" si="1"/>
        <v>-0.548607310043706</v>
      </c>
    </row>
    <row r="46" spans="1:12" x14ac:dyDescent="0.3">
      <c r="A46" s="2">
        <v>45069</v>
      </c>
      <c r="B46">
        <v>155.49366760253909</v>
      </c>
      <c r="C46">
        <f t="shared" si="2"/>
        <v>7.261909282951777E-3</v>
      </c>
      <c r="K46">
        <f t="shared" si="0"/>
        <v>344.84323120117188</v>
      </c>
      <c r="L46" s="5">
        <f t="shared" si="1"/>
        <v>-0.54908882201075171</v>
      </c>
    </row>
    <row r="47" spans="1:12" x14ac:dyDescent="0.3">
      <c r="A47" s="2">
        <v>45070</v>
      </c>
      <c r="B47">
        <v>156.62284851074219</v>
      </c>
      <c r="C47">
        <f t="shared" si="2"/>
        <v>9.1178910480705332E-3</v>
      </c>
      <c r="K47">
        <f t="shared" si="0"/>
        <v>344.84323120117188</v>
      </c>
      <c r="L47" s="5">
        <f t="shared" si="1"/>
        <v>-0.545814345941525</v>
      </c>
    </row>
    <row r="48" spans="1:12" x14ac:dyDescent="0.3">
      <c r="A48" s="2">
        <v>45071</v>
      </c>
      <c r="B48">
        <v>158.05091857910159</v>
      </c>
      <c r="C48">
        <f t="shared" si="2"/>
        <v>-2.7316018256377888E-3</v>
      </c>
      <c r="K48">
        <f t="shared" si="0"/>
        <v>344.84323120117188</v>
      </c>
      <c r="L48" s="5">
        <f t="shared" si="1"/>
        <v>-0.54167313063222311</v>
      </c>
    </row>
    <row r="49" spans="1:12" x14ac:dyDescent="0.3">
      <c r="A49" s="2">
        <v>45072</v>
      </c>
      <c r="B49">
        <v>157.61918640136719</v>
      </c>
      <c r="C49">
        <f t="shared" si="2"/>
        <v>-1.1799532824233273E-2</v>
      </c>
      <c r="K49">
        <f t="shared" si="0"/>
        <v>344.84323120117188</v>
      </c>
      <c r="L49" s="5">
        <f t="shared" si="1"/>
        <v>-0.542925097145327</v>
      </c>
    </row>
    <row r="50" spans="1:12" x14ac:dyDescent="0.3">
      <c r="A50" s="2">
        <v>45075</v>
      </c>
      <c r="B50">
        <v>155.75935363769531</v>
      </c>
      <c r="C50">
        <f t="shared" si="2"/>
        <v>2.5587183190970988E-3</v>
      </c>
      <c r="K50">
        <f t="shared" si="0"/>
        <v>344.84323120117188</v>
      </c>
      <c r="L50" s="5">
        <f t="shared" si="1"/>
        <v>-0.54831836746469387</v>
      </c>
    </row>
    <row r="51" spans="1:12" x14ac:dyDescent="0.3">
      <c r="A51" s="2">
        <v>45076</v>
      </c>
      <c r="B51">
        <v>156.15789794921881</v>
      </c>
      <c r="C51">
        <f t="shared" si="2"/>
        <v>-5.3168058828430217E-3</v>
      </c>
      <c r="K51">
        <f t="shared" si="0"/>
        <v>344.84323120117188</v>
      </c>
      <c r="L51" s="5">
        <f t="shared" si="1"/>
        <v>-0.54716264139712623</v>
      </c>
    </row>
    <row r="52" spans="1:12" x14ac:dyDescent="0.3">
      <c r="A52" s="2">
        <v>45077</v>
      </c>
      <c r="B52">
        <v>155.32763671875</v>
      </c>
      <c r="C52">
        <f t="shared" si="2"/>
        <v>-3.6349340324601845E-3</v>
      </c>
      <c r="K52">
        <f t="shared" si="0"/>
        <v>344.84323120117188</v>
      </c>
      <c r="L52" s="5">
        <f t="shared" si="1"/>
        <v>-0.54957028972931699</v>
      </c>
    </row>
    <row r="53" spans="1:12" x14ac:dyDescent="0.3">
      <c r="A53" s="2">
        <v>45078</v>
      </c>
      <c r="B53">
        <v>154.7630310058594</v>
      </c>
      <c r="C53">
        <f t="shared" si="2"/>
        <v>6.8670107615931165E-3</v>
      </c>
      <c r="K53">
        <f t="shared" si="0"/>
        <v>344.84323120117188</v>
      </c>
      <c r="L53" s="5">
        <f t="shared" si="1"/>
        <v>-0.55120757201241111</v>
      </c>
    </row>
    <row r="54" spans="1:12" x14ac:dyDescent="0.3">
      <c r="A54" s="2">
        <v>45079</v>
      </c>
      <c r="B54">
        <v>155.82579040527341</v>
      </c>
      <c r="C54">
        <f t="shared" si="2"/>
        <v>4.2625491336394572E-3</v>
      </c>
      <c r="K54">
        <f t="shared" si="0"/>
        <v>344.84323120117188</v>
      </c>
      <c r="L54" s="5">
        <f t="shared" si="1"/>
        <v>-0.54812570957969875</v>
      </c>
    </row>
    <row r="55" spans="1:12" x14ac:dyDescent="0.3">
      <c r="A55" s="2">
        <v>45082</v>
      </c>
      <c r="B55">
        <v>156.49000549316409</v>
      </c>
      <c r="C55">
        <f t="shared" si="2"/>
        <v>-1.2733370782320786E-3</v>
      </c>
      <c r="K55">
        <f t="shared" si="0"/>
        <v>344.84323120117188</v>
      </c>
      <c r="L55" s="5">
        <f t="shared" si="1"/>
        <v>-0.54619957321455381</v>
      </c>
    </row>
    <row r="56" spans="1:12" x14ac:dyDescent="0.3">
      <c r="A56" s="2">
        <v>45083</v>
      </c>
      <c r="B56">
        <v>156.2907409667969</v>
      </c>
      <c r="C56">
        <f t="shared" si="2"/>
        <v>1.6574486925772101E-2</v>
      </c>
      <c r="K56">
        <f t="shared" si="0"/>
        <v>344.84323120117188</v>
      </c>
      <c r="L56" s="5">
        <f t="shared" si="1"/>
        <v>-0.54677741412409731</v>
      </c>
    </row>
    <row r="57" spans="1:12" x14ac:dyDescent="0.3">
      <c r="A57" s="2">
        <v>45084</v>
      </c>
      <c r="B57">
        <v>158.88117980957031</v>
      </c>
      <c r="C57">
        <f t="shared" si="2"/>
        <v>1.0242462931588625E-2</v>
      </c>
      <c r="K57">
        <f t="shared" si="0"/>
        <v>344.84323120117188</v>
      </c>
      <c r="L57" s="5">
        <f t="shared" si="1"/>
        <v>-0.53926548230003246</v>
      </c>
    </row>
    <row r="58" spans="1:12" x14ac:dyDescent="0.3">
      <c r="A58" s="2">
        <v>45085</v>
      </c>
      <c r="B58">
        <v>160.5085144042969</v>
      </c>
      <c r="C58">
        <f t="shared" si="2"/>
        <v>1.3449267360300896E-2</v>
      </c>
      <c r="K58">
        <f t="shared" si="0"/>
        <v>344.84323120117188</v>
      </c>
      <c r="L58" s="5">
        <f t="shared" si="1"/>
        <v>-0.53454642608118719</v>
      </c>
    </row>
    <row r="59" spans="1:12" x14ac:dyDescent="0.3">
      <c r="A59" s="2">
        <v>45086</v>
      </c>
      <c r="B59">
        <v>162.667236328125</v>
      </c>
      <c r="C59">
        <f t="shared" si="2"/>
        <v>-1.327078502442631E-2</v>
      </c>
      <c r="K59">
        <f t="shared" si="0"/>
        <v>344.84323120117188</v>
      </c>
      <c r="L59" s="5">
        <f t="shared" si="1"/>
        <v>-0.52828641652174557</v>
      </c>
    </row>
    <row r="60" spans="1:12" x14ac:dyDescent="0.3">
      <c r="A60" s="2">
        <v>45089</v>
      </c>
      <c r="B60">
        <v>160.5085144042969</v>
      </c>
      <c r="C60">
        <f t="shared" si="2"/>
        <v>2.4830104060370008E-3</v>
      </c>
      <c r="K60">
        <f t="shared" si="0"/>
        <v>344.84323120117188</v>
      </c>
      <c r="L60" s="5">
        <f t="shared" si="1"/>
        <v>-0.53454642608118719</v>
      </c>
    </row>
    <row r="61" spans="1:12" x14ac:dyDescent="0.3">
      <c r="A61" s="2">
        <v>45090</v>
      </c>
      <c r="B61">
        <v>160.90705871582031</v>
      </c>
      <c r="C61">
        <f t="shared" si="2"/>
        <v>1.7543803083960908E-2</v>
      </c>
      <c r="K61">
        <f t="shared" si="0"/>
        <v>344.84323120117188</v>
      </c>
      <c r="L61" s="5">
        <f t="shared" si="1"/>
        <v>-0.53339070001361966</v>
      </c>
    </row>
    <row r="62" spans="1:12" x14ac:dyDescent="0.3">
      <c r="A62" s="2">
        <v>45091</v>
      </c>
      <c r="B62">
        <v>163.72998046875</v>
      </c>
      <c r="C62">
        <f t="shared" si="2"/>
        <v>-2.0269877340664202E-4</v>
      </c>
      <c r="K62">
        <f t="shared" si="0"/>
        <v>344.84323120117188</v>
      </c>
      <c r="L62" s="5">
        <f t="shared" si="1"/>
        <v>-0.52520459833751376</v>
      </c>
    </row>
    <row r="63" spans="1:12" x14ac:dyDescent="0.3">
      <c r="A63" s="2">
        <v>45092</v>
      </c>
      <c r="B63">
        <v>163.69679260253909</v>
      </c>
      <c r="C63">
        <f t="shared" si="2"/>
        <v>0</v>
      </c>
      <c r="K63">
        <f t="shared" si="0"/>
        <v>344.84323120117188</v>
      </c>
      <c r="L63" s="5">
        <f t="shared" si="1"/>
        <v>-0.52530083878304989</v>
      </c>
    </row>
    <row r="64" spans="1:12" x14ac:dyDescent="0.3">
      <c r="A64" s="2">
        <v>45093</v>
      </c>
      <c r="B64">
        <v>163.69679260253909</v>
      </c>
      <c r="C64">
        <f t="shared" si="2"/>
        <v>-1.3593078992206678E-2</v>
      </c>
      <c r="K64">
        <f t="shared" si="0"/>
        <v>344.84323120117188</v>
      </c>
      <c r="L64" s="5">
        <f t="shared" si="1"/>
        <v>-0.52530083878304989</v>
      </c>
    </row>
    <row r="65" spans="1:12" x14ac:dyDescent="0.3">
      <c r="A65" s="2">
        <v>45096</v>
      </c>
      <c r="B65">
        <v>161.4716491699219</v>
      </c>
      <c r="C65">
        <f t="shared" si="2"/>
        <v>2.3241373301558885E-2</v>
      </c>
      <c r="K65">
        <f t="shared" si="0"/>
        <v>344.84323120117188</v>
      </c>
      <c r="L65" s="5">
        <f t="shared" si="1"/>
        <v>-0.53175346197900608</v>
      </c>
    </row>
    <row r="66" spans="1:12" x14ac:dyDescent="0.3">
      <c r="A66" s="2">
        <v>45097</v>
      </c>
      <c r="B66">
        <v>165.22447204589841</v>
      </c>
      <c r="C66">
        <f t="shared" si="2"/>
        <v>3.7990050194165542E-2</v>
      </c>
      <c r="K66">
        <f t="shared" ref="K66:K129" si="3">MAX(B66:B805)</f>
        <v>344.84323120117188</v>
      </c>
      <c r="L66" s="5">
        <f t="shared" ref="L66:L129" si="4">B66/K66-1</f>
        <v>-0.52087076939169763</v>
      </c>
    </row>
    <row r="67" spans="1:12" x14ac:dyDescent="0.3">
      <c r="A67" s="2">
        <v>45098</v>
      </c>
      <c r="B67">
        <v>171.50135803222659</v>
      </c>
      <c r="C67">
        <f t="shared" ref="C67:C130" si="5">(B68-B67)/B67</f>
        <v>-1.8009232250543569E-2</v>
      </c>
      <c r="K67">
        <f t="shared" si="3"/>
        <v>344.84323120117188</v>
      </c>
      <c r="L67" s="5">
        <f t="shared" si="4"/>
        <v>-0.50266862587139638</v>
      </c>
    </row>
    <row r="68" spans="1:12" x14ac:dyDescent="0.3">
      <c r="A68" s="2">
        <v>45099</v>
      </c>
      <c r="B68">
        <v>168.4127502441406</v>
      </c>
      <c r="C68">
        <f t="shared" si="5"/>
        <v>-1.3606928197973612E-2</v>
      </c>
      <c r="K68">
        <f t="shared" si="3"/>
        <v>344.84323120117188</v>
      </c>
      <c r="L68" s="5">
        <f t="shared" si="4"/>
        <v>-0.51162518209356023</v>
      </c>
    </row>
    <row r="69" spans="1:12" x14ac:dyDescent="0.3">
      <c r="A69" s="2">
        <v>45100</v>
      </c>
      <c r="B69">
        <v>166.12117004394531</v>
      </c>
      <c r="C69">
        <f t="shared" si="5"/>
        <v>-6.3974034154940284E-3</v>
      </c>
      <c r="K69">
        <f t="shared" si="3"/>
        <v>344.84323120117188</v>
      </c>
      <c r="L69" s="5">
        <f t="shared" si="4"/>
        <v>-0.51827046317451164</v>
      </c>
    </row>
    <row r="70" spans="1:12" x14ac:dyDescent="0.3">
      <c r="A70" s="2">
        <v>45103</v>
      </c>
      <c r="B70">
        <v>165.05842590332031</v>
      </c>
      <c r="C70">
        <f t="shared" si="5"/>
        <v>4.2254657806884404E-3</v>
      </c>
      <c r="K70">
        <f t="shared" si="3"/>
        <v>344.84323120117188</v>
      </c>
      <c r="L70" s="5">
        <f t="shared" si="4"/>
        <v>-0.52135228135874345</v>
      </c>
    </row>
    <row r="71" spans="1:12" x14ac:dyDescent="0.3">
      <c r="A71" s="2">
        <v>45104</v>
      </c>
      <c r="B71">
        <v>165.75587463378909</v>
      </c>
      <c r="C71">
        <f t="shared" si="5"/>
        <v>2.4042212369592606E-3</v>
      </c>
      <c r="K71">
        <f t="shared" si="3"/>
        <v>344.84323120117188</v>
      </c>
      <c r="L71" s="5">
        <f t="shared" si="4"/>
        <v>-0.51932977180262019</v>
      </c>
    </row>
    <row r="72" spans="1:12" x14ac:dyDescent="0.3">
      <c r="A72" s="2">
        <v>45105</v>
      </c>
      <c r="B72">
        <v>166.1543884277344</v>
      </c>
      <c r="C72">
        <f t="shared" si="5"/>
        <v>1.9987980634568858E-2</v>
      </c>
      <c r="K72">
        <f t="shared" si="3"/>
        <v>344.84323120117188</v>
      </c>
      <c r="L72" s="5">
        <f t="shared" si="4"/>
        <v>-0.51817413423201397</v>
      </c>
    </row>
    <row r="73" spans="1:12" x14ac:dyDescent="0.3">
      <c r="A73" s="2">
        <v>45107</v>
      </c>
      <c r="B73">
        <v>169.47547912597659</v>
      </c>
      <c r="C73">
        <f t="shared" si="5"/>
        <v>-1.8224511321724205E-2</v>
      </c>
      <c r="K73">
        <f t="shared" si="3"/>
        <v>344.84323120117188</v>
      </c>
      <c r="L73" s="5">
        <f t="shared" si="4"/>
        <v>-0.50854340815780907</v>
      </c>
    </row>
    <row r="74" spans="1:12" x14ac:dyDescent="0.3">
      <c r="A74" s="2">
        <v>45110</v>
      </c>
      <c r="B74">
        <v>166.3868713378906</v>
      </c>
      <c r="C74">
        <f t="shared" si="5"/>
        <v>-3.5927929547249836E-3</v>
      </c>
      <c r="K74">
        <f t="shared" si="3"/>
        <v>344.84323120117188</v>
      </c>
      <c r="L74" s="5">
        <f t="shared" si="4"/>
        <v>-0.51749996437997314</v>
      </c>
    </row>
    <row r="75" spans="1:12" x14ac:dyDescent="0.3">
      <c r="A75" s="2">
        <v>45111</v>
      </c>
      <c r="B75">
        <v>165.78907775878909</v>
      </c>
      <c r="C75">
        <f t="shared" si="5"/>
        <v>1.4623263933788886E-2</v>
      </c>
      <c r="K75">
        <f t="shared" si="3"/>
        <v>344.84323120117188</v>
      </c>
      <c r="L75" s="5">
        <f t="shared" si="4"/>
        <v>-0.51923348710860329</v>
      </c>
    </row>
    <row r="76" spans="1:12" x14ac:dyDescent="0.3">
      <c r="A76" s="2">
        <v>45112</v>
      </c>
      <c r="B76">
        <v>168.21345520019531</v>
      </c>
      <c r="C76">
        <f t="shared" si="5"/>
        <v>3.7315005383236483E-2</v>
      </c>
      <c r="K76">
        <f t="shared" si="3"/>
        <v>344.84323120117188</v>
      </c>
      <c r="L76" s="5">
        <f t="shared" si="4"/>
        <v>-0.51220311150006514</v>
      </c>
    </row>
    <row r="77" spans="1:12" x14ac:dyDescent="0.3">
      <c r="A77" s="2">
        <v>45113</v>
      </c>
      <c r="B77">
        <v>174.49034118652341</v>
      </c>
      <c r="C77">
        <f t="shared" si="5"/>
        <v>-2.7597987617222468E-2</v>
      </c>
      <c r="K77">
        <f t="shared" si="3"/>
        <v>344.84323120117188</v>
      </c>
      <c r="L77" s="5">
        <f t="shared" si="4"/>
        <v>-0.49400096797976401</v>
      </c>
    </row>
    <row r="78" spans="1:12" x14ac:dyDescent="0.3">
      <c r="A78" s="2">
        <v>45114</v>
      </c>
      <c r="B78">
        <v>169.67475891113281</v>
      </c>
      <c r="C78">
        <f t="shared" si="5"/>
        <v>-2.1334816572772468E-2</v>
      </c>
      <c r="K78">
        <f t="shared" si="3"/>
        <v>344.84323120117188</v>
      </c>
      <c r="L78" s="5">
        <f t="shared" si="4"/>
        <v>-0.50796552299978504</v>
      </c>
    </row>
    <row r="79" spans="1:12" x14ac:dyDescent="0.3">
      <c r="A79" s="2">
        <v>45117</v>
      </c>
      <c r="B79">
        <v>166.0547790527344</v>
      </c>
      <c r="C79">
        <f t="shared" si="5"/>
        <v>1.3999823203461216E-2</v>
      </c>
      <c r="K79">
        <f t="shared" si="3"/>
        <v>344.84323120117188</v>
      </c>
      <c r="L79" s="5">
        <f t="shared" si="4"/>
        <v>-0.51846298831406468</v>
      </c>
    </row>
    <row r="80" spans="1:12" x14ac:dyDescent="0.3">
      <c r="A80" s="2">
        <v>45118</v>
      </c>
      <c r="B80">
        <v>168.3795166015625</v>
      </c>
      <c r="C80">
        <f t="shared" si="5"/>
        <v>-5.7198421012569067E-3</v>
      </c>
      <c r="K80">
        <f t="shared" si="3"/>
        <v>344.84323120117188</v>
      </c>
      <c r="L80" s="5">
        <f t="shared" si="4"/>
        <v>-0.51172155528453855</v>
      </c>
    </row>
    <row r="81" spans="1:12" x14ac:dyDescent="0.3">
      <c r="A81" s="2">
        <v>45119</v>
      </c>
      <c r="B81">
        <v>167.4164123535156</v>
      </c>
      <c r="C81">
        <f t="shared" si="5"/>
        <v>-3.5508843488061152E-2</v>
      </c>
      <c r="K81">
        <f t="shared" si="3"/>
        <v>344.84323120117188</v>
      </c>
      <c r="L81" s="5">
        <f t="shared" si="4"/>
        <v>-0.51451443088975823</v>
      </c>
    </row>
    <row r="82" spans="1:12" x14ac:dyDescent="0.3">
      <c r="A82" s="2">
        <v>45120</v>
      </c>
      <c r="B82">
        <v>161.4716491699219</v>
      </c>
      <c r="C82">
        <f t="shared" si="5"/>
        <v>-1.2546438804914763E-2</v>
      </c>
      <c r="K82">
        <f t="shared" si="3"/>
        <v>344.84323120117188</v>
      </c>
      <c r="L82" s="5">
        <f t="shared" si="4"/>
        <v>-0.53175346197900608</v>
      </c>
    </row>
    <row r="83" spans="1:12" x14ac:dyDescent="0.3">
      <c r="A83" s="2">
        <v>45121</v>
      </c>
      <c r="B83">
        <v>159.44575500488281</v>
      </c>
      <c r="C83">
        <f t="shared" si="5"/>
        <v>3.9577251865341515E-3</v>
      </c>
      <c r="K83">
        <f t="shared" si="3"/>
        <v>344.84323120117188</v>
      </c>
      <c r="L83" s="5">
        <f t="shared" si="4"/>
        <v>-0.53762828851389965</v>
      </c>
    </row>
    <row r="84" spans="1:12" x14ac:dyDescent="0.3">
      <c r="A84" s="2">
        <v>45124</v>
      </c>
      <c r="B84">
        <v>160.07679748535159</v>
      </c>
      <c r="C84">
        <f t="shared" si="5"/>
        <v>6.2225991876877168E-4</v>
      </c>
      <c r="K84">
        <f t="shared" si="3"/>
        <v>344.84323120117188</v>
      </c>
      <c r="L84" s="5">
        <f t="shared" si="4"/>
        <v>-0.5357983483458103</v>
      </c>
    </row>
    <row r="85" spans="1:12" x14ac:dyDescent="0.3">
      <c r="A85" s="2">
        <v>45125</v>
      </c>
      <c r="B85">
        <v>160.17640686035159</v>
      </c>
      <c r="C85">
        <f t="shared" si="5"/>
        <v>8.708221840601044E-3</v>
      </c>
      <c r="K85">
        <f t="shared" si="3"/>
        <v>344.84323120117188</v>
      </c>
      <c r="L85" s="5">
        <f t="shared" si="4"/>
        <v>-0.5355094942637596</v>
      </c>
    </row>
    <row r="86" spans="1:12" x14ac:dyDescent="0.3">
      <c r="A86" s="2">
        <v>45126</v>
      </c>
      <c r="B86">
        <v>161.5712585449219</v>
      </c>
      <c r="C86">
        <f t="shared" si="5"/>
        <v>4.1111619198287794E-3</v>
      </c>
      <c r="K86">
        <f t="shared" si="3"/>
        <v>344.84323120117188</v>
      </c>
      <c r="L86" s="5">
        <f t="shared" si="4"/>
        <v>-0.53146460789695549</v>
      </c>
    </row>
    <row r="87" spans="1:12" x14ac:dyDescent="0.3">
      <c r="A87" s="2">
        <v>45127</v>
      </c>
      <c r="B87">
        <v>162.2355041503906</v>
      </c>
      <c r="C87">
        <f t="shared" si="5"/>
        <v>-6.1407417760205355E-4</v>
      </c>
      <c r="K87">
        <f t="shared" si="3"/>
        <v>344.84323120117188</v>
      </c>
      <c r="L87" s="5">
        <f t="shared" si="4"/>
        <v>-0.52953838303484946</v>
      </c>
    </row>
    <row r="88" spans="1:12" x14ac:dyDescent="0.3">
      <c r="A88" s="2">
        <v>45128</v>
      </c>
      <c r="B88">
        <v>162.13587951660159</v>
      </c>
      <c r="C88">
        <f t="shared" si="5"/>
        <v>1.3723659827078346E-2</v>
      </c>
      <c r="K88">
        <f t="shared" si="3"/>
        <v>344.84323120117188</v>
      </c>
      <c r="L88" s="5">
        <f t="shared" si="4"/>
        <v>-0.5298272813653806</v>
      </c>
    </row>
    <row r="89" spans="1:12" x14ac:dyDescent="0.3">
      <c r="A89" s="2">
        <v>45131</v>
      </c>
      <c r="B89">
        <v>164.36097717285159</v>
      </c>
      <c r="C89">
        <f t="shared" si="5"/>
        <v>1.4952707411674128E-2</v>
      </c>
      <c r="K89">
        <f t="shared" si="3"/>
        <v>344.84323120117188</v>
      </c>
      <c r="L89" s="5">
        <f t="shared" si="4"/>
        <v>-0.52337479091486649</v>
      </c>
    </row>
    <row r="90" spans="1:12" x14ac:dyDescent="0.3">
      <c r="A90" s="2">
        <v>45132</v>
      </c>
      <c r="B90">
        <v>166.81861877441409</v>
      </c>
      <c r="C90">
        <f t="shared" si="5"/>
        <v>-5.9720332491070179E-4</v>
      </c>
      <c r="K90">
        <f t="shared" si="3"/>
        <v>344.84323120117188</v>
      </c>
      <c r="L90" s="5">
        <f t="shared" si="4"/>
        <v>-0.51624795361838838</v>
      </c>
    </row>
    <row r="91" spans="1:12" x14ac:dyDescent="0.3">
      <c r="A91" s="2">
        <v>45133</v>
      </c>
      <c r="B91">
        <v>166.718994140625</v>
      </c>
      <c r="C91">
        <f t="shared" si="5"/>
        <v>-1.1953034276832525E-3</v>
      </c>
      <c r="K91">
        <f t="shared" si="3"/>
        <v>344.84323120117188</v>
      </c>
      <c r="L91" s="5">
        <f t="shared" si="4"/>
        <v>-0.51653685194891996</v>
      </c>
    </row>
    <row r="92" spans="1:12" x14ac:dyDescent="0.3">
      <c r="A92" s="2">
        <v>45134</v>
      </c>
      <c r="B92">
        <v>166.51971435546881</v>
      </c>
      <c r="C92">
        <f t="shared" si="5"/>
        <v>2.9916239623877169E-2</v>
      </c>
      <c r="K92">
        <f t="shared" si="3"/>
        <v>344.84323120117188</v>
      </c>
      <c r="L92" s="5">
        <f t="shared" si="4"/>
        <v>-0.51711473710694389</v>
      </c>
    </row>
    <row r="93" spans="1:12" x14ac:dyDescent="0.3">
      <c r="A93" s="2">
        <v>45135</v>
      </c>
      <c r="B93">
        <v>171.50135803222659</v>
      </c>
      <c r="C93">
        <f t="shared" si="5"/>
        <v>3.0402829731145487E-2</v>
      </c>
      <c r="K93">
        <f t="shared" si="3"/>
        <v>344.84323120117188</v>
      </c>
      <c r="L93" s="5">
        <f t="shared" si="4"/>
        <v>-0.50266862587139638</v>
      </c>
    </row>
    <row r="94" spans="1:12" x14ac:dyDescent="0.3">
      <c r="A94" s="2">
        <v>45138</v>
      </c>
      <c r="B94">
        <v>176.7154846191406</v>
      </c>
      <c r="C94">
        <f t="shared" si="5"/>
        <v>-5.3561255086464629E-2</v>
      </c>
      <c r="K94">
        <f t="shared" si="3"/>
        <v>344.84323120117188</v>
      </c>
      <c r="L94" s="5">
        <f t="shared" si="4"/>
        <v>-0.48754834478380771</v>
      </c>
    </row>
    <row r="95" spans="1:12" x14ac:dyDescent="0.3">
      <c r="A95" s="2">
        <v>45139</v>
      </c>
      <c r="B95">
        <v>167.25038146972659</v>
      </c>
      <c r="C95">
        <f t="shared" si="5"/>
        <v>-1.2907309522621488E-2</v>
      </c>
      <c r="K95">
        <f t="shared" si="3"/>
        <v>344.84323120117188</v>
      </c>
      <c r="L95" s="5">
        <f t="shared" si="4"/>
        <v>-0.51499589860832318</v>
      </c>
    </row>
    <row r="96" spans="1:12" x14ac:dyDescent="0.3">
      <c r="A96" s="2">
        <v>45140</v>
      </c>
      <c r="B96">
        <v>165.09162902832031</v>
      </c>
      <c r="C96">
        <f t="shared" si="5"/>
        <v>6.0345054667793616E-4</v>
      </c>
      <c r="K96">
        <f t="shared" si="3"/>
        <v>344.84323120117188</v>
      </c>
      <c r="L96" s="5">
        <f t="shared" si="4"/>
        <v>-0.52125599666472655</v>
      </c>
    </row>
    <row r="97" spans="1:12" x14ac:dyDescent="0.3">
      <c r="A97" s="2">
        <v>45141</v>
      </c>
      <c r="B97">
        <v>165.1912536621094</v>
      </c>
      <c r="C97">
        <f t="shared" si="5"/>
        <v>-5.4281490053458463E-3</v>
      </c>
      <c r="K97">
        <f t="shared" si="3"/>
        <v>344.84323120117188</v>
      </c>
      <c r="L97" s="5">
        <f t="shared" si="4"/>
        <v>-0.52096709833419508</v>
      </c>
    </row>
    <row r="98" spans="1:12" x14ac:dyDescent="0.3">
      <c r="A98" s="2">
        <v>45142</v>
      </c>
      <c r="B98">
        <v>164.29457092285159</v>
      </c>
      <c r="C98">
        <f t="shared" si="5"/>
        <v>2.425698247335616E-3</v>
      </c>
      <c r="K98">
        <f t="shared" si="3"/>
        <v>344.84323120117188</v>
      </c>
      <c r="L98" s="5">
        <f t="shared" si="4"/>
        <v>-0.5235673603029003</v>
      </c>
    </row>
    <row r="99" spans="1:12" x14ac:dyDescent="0.3">
      <c r="A99" s="2">
        <v>45145</v>
      </c>
      <c r="B99">
        <v>164.69309997558591</v>
      </c>
      <c r="C99">
        <f t="shared" si="5"/>
        <v>-6.9899670416730649E-3</v>
      </c>
      <c r="K99">
        <f t="shared" si="3"/>
        <v>344.84323120117188</v>
      </c>
      <c r="L99" s="5">
        <f t="shared" si="4"/>
        <v>-0.52241167848381354</v>
      </c>
    </row>
    <row r="100" spans="1:12" x14ac:dyDescent="0.3">
      <c r="A100" s="2">
        <v>45146</v>
      </c>
      <c r="B100">
        <v>163.5419006347656</v>
      </c>
      <c r="C100">
        <f t="shared" si="5"/>
        <v>-4.7618550008292817E-3</v>
      </c>
      <c r="K100">
        <f t="shared" si="3"/>
        <v>344.84323120117188</v>
      </c>
      <c r="L100" s="5">
        <f t="shared" si="4"/>
        <v>-0.52575000511069958</v>
      </c>
    </row>
    <row r="101" spans="1:12" x14ac:dyDescent="0.3">
      <c r="A101" s="2">
        <v>45147</v>
      </c>
      <c r="B101">
        <v>162.76313781738281</v>
      </c>
      <c r="C101">
        <f t="shared" si="5"/>
        <v>6.0328053890352515E-3</v>
      </c>
      <c r="K101">
        <f t="shared" si="3"/>
        <v>344.84323120117188</v>
      </c>
      <c r="L101" s="5">
        <f t="shared" si="4"/>
        <v>-0.52800831482050647</v>
      </c>
    </row>
    <row r="102" spans="1:12" x14ac:dyDescent="0.3">
      <c r="A102" s="2">
        <v>45148</v>
      </c>
      <c r="B102">
        <v>163.74505615234381</v>
      </c>
      <c r="C102">
        <f t="shared" si="5"/>
        <v>1.0339108520615618E-2</v>
      </c>
      <c r="K102">
        <f t="shared" si="3"/>
        <v>344.84323120117188</v>
      </c>
      <c r="L102" s="5">
        <f t="shared" si="4"/>
        <v>-0.52516088083857582</v>
      </c>
    </row>
    <row r="103" spans="1:12" x14ac:dyDescent="0.3">
      <c r="A103" s="2">
        <v>45149</v>
      </c>
      <c r="B103">
        <v>165.43803405761719</v>
      </c>
      <c r="C103">
        <f t="shared" si="5"/>
        <v>8.1856481008806307E-4</v>
      </c>
      <c r="K103">
        <f t="shared" si="3"/>
        <v>344.84323120117188</v>
      </c>
      <c r="L103" s="5">
        <f t="shared" si="4"/>
        <v>-0.52025146765573238</v>
      </c>
    </row>
    <row r="104" spans="1:12" x14ac:dyDescent="0.3">
      <c r="A104" s="2">
        <v>45152</v>
      </c>
      <c r="B104">
        <v>165.5734558105469</v>
      </c>
      <c r="C104">
        <f t="shared" si="5"/>
        <v>1.4519554010672909E-2</v>
      </c>
      <c r="K104">
        <f t="shared" si="3"/>
        <v>344.84323120117188</v>
      </c>
      <c r="L104" s="5">
        <f t="shared" si="4"/>
        <v>-0.51985876238946394</v>
      </c>
    </row>
    <row r="105" spans="1:12" x14ac:dyDescent="0.3">
      <c r="A105" s="2">
        <v>45154</v>
      </c>
      <c r="B105">
        <v>167.9775085449219</v>
      </c>
      <c r="C105">
        <f t="shared" si="5"/>
        <v>-1.7536967094920908E-2</v>
      </c>
      <c r="K105">
        <f t="shared" si="3"/>
        <v>344.84323120117188</v>
      </c>
      <c r="L105" s="5">
        <f t="shared" si="4"/>
        <v>-0.5128873257572264</v>
      </c>
    </row>
    <row r="106" spans="1:12" x14ac:dyDescent="0.3">
      <c r="A106" s="2">
        <v>45155</v>
      </c>
      <c r="B106">
        <v>165.03169250488281</v>
      </c>
      <c r="C106">
        <f t="shared" si="5"/>
        <v>-1.10790820263146E-2</v>
      </c>
      <c r="K106">
        <f t="shared" si="3"/>
        <v>344.84323120117188</v>
      </c>
      <c r="L106" s="5">
        <f t="shared" si="4"/>
        <v>-0.52142980469694078</v>
      </c>
    </row>
    <row r="107" spans="1:12" x14ac:dyDescent="0.3">
      <c r="A107" s="2">
        <v>45156</v>
      </c>
      <c r="B107">
        <v>163.20329284667969</v>
      </c>
      <c r="C107">
        <f t="shared" si="5"/>
        <v>2.5726154579446821E-2</v>
      </c>
      <c r="K107">
        <f t="shared" si="3"/>
        <v>344.84323120117188</v>
      </c>
      <c r="L107" s="5">
        <f t="shared" si="4"/>
        <v>-0.52673192314605277</v>
      </c>
    </row>
    <row r="108" spans="1:12" x14ac:dyDescent="0.3">
      <c r="A108" s="2">
        <v>45159</v>
      </c>
      <c r="B108">
        <v>167.4018859863281</v>
      </c>
      <c r="C108">
        <f t="shared" si="5"/>
        <v>2.4272503953659021E-3</v>
      </c>
      <c r="K108">
        <f t="shared" si="3"/>
        <v>344.84323120117188</v>
      </c>
      <c r="L108" s="5">
        <f t="shared" si="4"/>
        <v>-0.51455655544339063</v>
      </c>
    </row>
    <row r="109" spans="1:12" x14ac:dyDescent="0.3">
      <c r="A109" s="2">
        <v>45160</v>
      </c>
      <c r="B109">
        <v>167.80821228027341</v>
      </c>
      <c r="C109">
        <f t="shared" si="5"/>
        <v>7.2638465597435449E-3</v>
      </c>
      <c r="K109">
        <f t="shared" si="3"/>
        <v>344.84323120117188</v>
      </c>
      <c r="L109" s="5">
        <f t="shared" si="4"/>
        <v>-0.51337826265066289</v>
      </c>
    </row>
    <row r="110" spans="1:12" x14ac:dyDescent="0.3">
      <c r="A110" s="2">
        <v>45161</v>
      </c>
      <c r="B110">
        <v>169.02714538574219</v>
      </c>
      <c r="C110">
        <f t="shared" si="5"/>
        <v>-1.3221106864512455E-2</v>
      </c>
      <c r="K110">
        <f t="shared" si="3"/>
        <v>344.84323120117188</v>
      </c>
      <c r="L110" s="5">
        <f t="shared" si="4"/>
        <v>-0.50984351701792141</v>
      </c>
    </row>
    <row r="111" spans="1:12" x14ac:dyDescent="0.3">
      <c r="A111" s="2">
        <v>45162</v>
      </c>
      <c r="B111">
        <v>166.79241943359381</v>
      </c>
      <c r="C111">
        <f t="shared" si="5"/>
        <v>-1.7458476459595626E-2</v>
      </c>
      <c r="K111">
        <f t="shared" si="3"/>
        <v>344.84323120117188</v>
      </c>
      <c r="L111" s="5">
        <f t="shared" si="4"/>
        <v>-0.51632392825976114</v>
      </c>
    </row>
    <row r="112" spans="1:12" x14ac:dyDescent="0.3">
      <c r="A112" s="2">
        <v>45163</v>
      </c>
      <c r="B112">
        <v>163.88047790527341</v>
      </c>
      <c r="C112">
        <f t="shared" si="5"/>
        <v>2.6859505863602012E-2</v>
      </c>
      <c r="K112">
        <f t="shared" si="3"/>
        <v>344.84323120117188</v>
      </c>
      <c r="L112" s="5">
        <f t="shared" si="4"/>
        <v>-0.5247681755723077</v>
      </c>
    </row>
    <row r="113" spans="1:12" x14ac:dyDescent="0.3">
      <c r="A113" s="2">
        <v>45166</v>
      </c>
      <c r="B113">
        <v>168.2822265625</v>
      </c>
      <c r="C113">
        <f t="shared" si="5"/>
        <v>1.0663964345610807E-2</v>
      </c>
      <c r="K113">
        <f t="shared" si="3"/>
        <v>344.84323120117188</v>
      </c>
      <c r="L113" s="5">
        <f t="shared" si="4"/>
        <v>-0.51200368359752191</v>
      </c>
    </row>
    <row r="114" spans="1:12" x14ac:dyDescent="0.3">
      <c r="A114" s="2">
        <v>45167</v>
      </c>
      <c r="B114">
        <v>170.0767822265625</v>
      </c>
      <c r="C114">
        <f t="shared" si="5"/>
        <v>-1.6125834278951156E-2</v>
      </c>
      <c r="K114">
        <f t="shared" si="3"/>
        <v>344.84323120117188</v>
      </c>
      <c r="L114" s="5">
        <f t="shared" si="4"/>
        <v>-0.50679970827861642</v>
      </c>
    </row>
    <row r="115" spans="1:12" x14ac:dyDescent="0.3">
      <c r="A115" s="2">
        <v>45168</v>
      </c>
      <c r="B115">
        <v>167.33415222167969</v>
      </c>
      <c r="C115">
        <f t="shared" si="5"/>
        <v>-1.0319602283737302E-2</v>
      </c>
      <c r="K115">
        <f t="shared" si="3"/>
        <v>344.84323120117188</v>
      </c>
      <c r="L115" s="5">
        <f t="shared" si="4"/>
        <v>-0.51475297444924584</v>
      </c>
    </row>
    <row r="116" spans="1:12" x14ac:dyDescent="0.3">
      <c r="A116" s="2">
        <v>45169</v>
      </c>
      <c r="B116">
        <v>165.6073303222656</v>
      </c>
      <c r="C116">
        <f t="shared" si="5"/>
        <v>3.1281805012732609E-2</v>
      </c>
      <c r="K116">
        <f t="shared" si="3"/>
        <v>344.84323120117188</v>
      </c>
      <c r="L116" s="5">
        <f t="shared" si="4"/>
        <v>-0.51976053076229611</v>
      </c>
    </row>
    <row r="117" spans="1:12" x14ac:dyDescent="0.3">
      <c r="A117" s="2">
        <v>45170</v>
      </c>
      <c r="B117">
        <v>170.78782653808591</v>
      </c>
      <c r="C117">
        <f t="shared" si="5"/>
        <v>1.2688569592944746E-2</v>
      </c>
      <c r="K117">
        <f t="shared" si="3"/>
        <v>344.84323120117188</v>
      </c>
      <c r="L117" s="5">
        <f t="shared" si="4"/>
        <v>-0.50473777332618397</v>
      </c>
    </row>
    <row r="118" spans="1:12" x14ac:dyDescent="0.3">
      <c r="A118" s="2">
        <v>45173</v>
      </c>
      <c r="B118">
        <v>172.95487976074219</v>
      </c>
      <c r="C118">
        <f t="shared" si="5"/>
        <v>-4.3070124663303743E-3</v>
      </c>
      <c r="K118">
        <f t="shared" si="3"/>
        <v>344.84323120117188</v>
      </c>
      <c r="L118" s="5">
        <f t="shared" si="4"/>
        <v>-0.49845360409627659</v>
      </c>
    </row>
    <row r="119" spans="1:12" x14ac:dyDescent="0.3">
      <c r="A119" s="2">
        <v>45174</v>
      </c>
      <c r="B119">
        <v>172.2099609375</v>
      </c>
      <c r="C119">
        <f t="shared" si="5"/>
        <v>7.8628723567122536E-4</v>
      </c>
      <c r="K119">
        <f t="shared" si="3"/>
        <v>344.84323120117188</v>
      </c>
      <c r="L119" s="5">
        <f t="shared" si="4"/>
        <v>-0.50061377067587698</v>
      </c>
    </row>
    <row r="120" spans="1:12" x14ac:dyDescent="0.3">
      <c r="A120" s="2">
        <v>45175</v>
      </c>
      <c r="B120">
        <v>172.3453674316406</v>
      </c>
      <c r="C120">
        <f t="shared" si="5"/>
        <v>9.8232588974810249E-3</v>
      </c>
      <c r="K120">
        <f t="shared" si="3"/>
        <v>344.84323120117188</v>
      </c>
      <c r="L120" s="5">
        <f t="shared" si="4"/>
        <v>-0.50022110965808941</v>
      </c>
    </row>
    <row r="121" spans="1:12" x14ac:dyDescent="0.3">
      <c r="A121" s="2">
        <v>45176</v>
      </c>
      <c r="B121">
        <v>174.0383605957031</v>
      </c>
      <c r="C121">
        <f t="shared" si="5"/>
        <v>6.420254716513309E-3</v>
      </c>
      <c r="K121">
        <f t="shared" si="3"/>
        <v>344.84323120117188</v>
      </c>
      <c r="L121" s="5">
        <f t="shared" si="4"/>
        <v>-0.4953116522267651</v>
      </c>
    </row>
    <row r="122" spans="1:12" x14ac:dyDescent="0.3">
      <c r="A122" s="2">
        <v>45177</v>
      </c>
      <c r="B122">
        <v>175.1557312011719</v>
      </c>
      <c r="C122">
        <f t="shared" si="5"/>
        <v>2.2617376452281342E-2</v>
      </c>
      <c r="K122">
        <f t="shared" si="3"/>
        <v>344.84323120117188</v>
      </c>
      <c r="L122" s="5">
        <f t="shared" si="4"/>
        <v>-0.49207142448160468</v>
      </c>
    </row>
    <row r="123" spans="1:12" x14ac:dyDescent="0.3">
      <c r="A123" s="2">
        <v>45180</v>
      </c>
      <c r="B123">
        <v>179.11729431152341</v>
      </c>
      <c r="C123">
        <f t="shared" si="5"/>
        <v>-3.5664721039446443E-2</v>
      </c>
      <c r="K123">
        <f t="shared" si="3"/>
        <v>344.84323120117188</v>
      </c>
      <c r="L123" s="5">
        <f t="shared" si="4"/>
        <v>-0.48058341267823412</v>
      </c>
    </row>
    <row r="124" spans="1:12" x14ac:dyDescent="0.3">
      <c r="A124" s="2">
        <v>45181</v>
      </c>
      <c r="B124">
        <v>172.7291259765625</v>
      </c>
      <c r="C124">
        <f t="shared" si="5"/>
        <v>9.9319998558302473E-3</v>
      </c>
      <c r="K124">
        <f t="shared" si="3"/>
        <v>344.84323120117188</v>
      </c>
      <c r="L124" s="5">
        <f t="shared" si="4"/>
        <v>-0.49910826036832612</v>
      </c>
    </row>
    <row r="125" spans="1:12" x14ac:dyDescent="0.3">
      <c r="A125" s="2">
        <v>45182</v>
      </c>
      <c r="B125">
        <v>174.4446716308594</v>
      </c>
      <c r="C125">
        <f t="shared" si="5"/>
        <v>1.0093150995512066E-2</v>
      </c>
      <c r="K125">
        <f t="shared" si="3"/>
        <v>344.84323120117188</v>
      </c>
      <c r="L125" s="5">
        <f t="shared" si="4"/>
        <v>-0.49413340368251779</v>
      </c>
    </row>
    <row r="126" spans="1:12" x14ac:dyDescent="0.3">
      <c r="A126" s="2">
        <v>45183</v>
      </c>
      <c r="B126">
        <v>176.20536804199219</v>
      </c>
      <c r="C126">
        <f t="shared" si="5"/>
        <v>-5.3803345140782284E-3</v>
      </c>
      <c r="K126">
        <f t="shared" si="3"/>
        <v>344.84323120117188</v>
      </c>
      <c r="L126" s="5">
        <f t="shared" si="4"/>
        <v>-0.48902761574229969</v>
      </c>
    </row>
    <row r="127" spans="1:12" x14ac:dyDescent="0.3">
      <c r="A127" s="2">
        <v>45184</v>
      </c>
      <c r="B127">
        <v>175.25732421875</v>
      </c>
      <c r="C127">
        <f t="shared" si="5"/>
        <v>3.0911839315515412E-2</v>
      </c>
      <c r="K127">
        <f t="shared" si="3"/>
        <v>344.84323120117188</v>
      </c>
      <c r="L127" s="5">
        <f t="shared" si="4"/>
        <v>-0.4917768180970622</v>
      </c>
    </row>
    <row r="128" spans="1:12" x14ac:dyDescent="0.3">
      <c r="A128" s="2">
        <v>45187</v>
      </c>
      <c r="B128">
        <v>180.67485046386719</v>
      </c>
      <c r="C128">
        <f t="shared" si="5"/>
        <v>2.273850708407868E-2</v>
      </c>
      <c r="K128">
        <f t="shared" si="3"/>
        <v>344.84323120117188</v>
      </c>
      <c r="L128" s="5">
        <f t="shared" si="4"/>
        <v>-0.47606670476165869</v>
      </c>
    </row>
    <row r="129" spans="1:12" x14ac:dyDescent="0.3">
      <c r="A129" s="2">
        <v>45189</v>
      </c>
      <c r="B129">
        <v>184.78312683105469</v>
      </c>
      <c r="C129">
        <f t="shared" si="5"/>
        <v>-1.4903450857381952E-2</v>
      </c>
      <c r="K129">
        <f t="shared" si="3"/>
        <v>344.84323120117188</v>
      </c>
      <c r="L129" s="5">
        <f t="shared" si="4"/>
        <v>-0.46415324381629697</v>
      </c>
    </row>
    <row r="130" spans="1:12" x14ac:dyDescent="0.3">
      <c r="A130" s="2">
        <v>45190</v>
      </c>
      <c r="B130">
        <v>182.02922058105469</v>
      </c>
      <c r="C130">
        <f t="shared" si="5"/>
        <v>-1.2152848069406778E-2</v>
      </c>
      <c r="K130">
        <f t="shared" ref="K130:K193" si="6">MAX(B130:B869)</f>
        <v>344.84323120117188</v>
      </c>
      <c r="L130" s="5">
        <f t="shared" ref="L130:L193" si="7">B130/K130-1</f>
        <v>-0.47213920961416833</v>
      </c>
    </row>
    <row r="131" spans="1:12" x14ac:dyDescent="0.3">
      <c r="A131" s="2">
        <v>45191</v>
      </c>
      <c r="B131">
        <v>179.8170471191406</v>
      </c>
      <c r="C131">
        <f t="shared" ref="C131:C194" si="8">(B132-B131)/B131</f>
        <v>-1.2552940347860856E-3</v>
      </c>
      <c r="K131">
        <f t="shared" si="6"/>
        <v>344.84323120117188</v>
      </c>
      <c r="L131" s="5">
        <f t="shared" si="7"/>
        <v>-0.47855422160152428</v>
      </c>
    </row>
    <row r="132" spans="1:12" x14ac:dyDescent="0.3">
      <c r="A132" s="2">
        <v>45194</v>
      </c>
      <c r="B132">
        <v>179.59132385253909</v>
      </c>
      <c r="C132">
        <f t="shared" si="8"/>
        <v>-2.7650669341785089E-3</v>
      </c>
      <c r="K132">
        <f t="shared" si="6"/>
        <v>344.84323120117188</v>
      </c>
      <c r="L132" s="5">
        <f t="shared" si="7"/>
        <v>-0.47920878937661227</v>
      </c>
    </row>
    <row r="133" spans="1:12" x14ac:dyDescent="0.3">
      <c r="A133" s="2">
        <v>45195</v>
      </c>
      <c r="B133">
        <v>179.09474182128909</v>
      </c>
      <c r="C133">
        <f t="shared" si="8"/>
        <v>5.0415973958928767E-3</v>
      </c>
      <c r="K133">
        <f t="shared" si="6"/>
        <v>344.84323120117188</v>
      </c>
      <c r="L133" s="5">
        <f t="shared" si="7"/>
        <v>-0.4806488119327178</v>
      </c>
    </row>
    <row r="134" spans="1:12" x14ac:dyDescent="0.3">
      <c r="A134" s="2">
        <v>45196</v>
      </c>
      <c r="B134">
        <v>179.99766540527341</v>
      </c>
      <c r="C134">
        <f t="shared" si="8"/>
        <v>7.0228639813055263E-3</v>
      </c>
      <c r="K134">
        <f t="shared" si="6"/>
        <v>344.84323120117188</v>
      </c>
      <c r="L134" s="5">
        <f t="shared" si="7"/>
        <v>-0.47803045233540387</v>
      </c>
    </row>
    <row r="135" spans="1:12" x14ac:dyDescent="0.3">
      <c r="A135" s="2">
        <v>45197</v>
      </c>
      <c r="B135">
        <v>181.26176452636719</v>
      </c>
      <c r="C135">
        <f t="shared" si="8"/>
        <v>-4.9814082144281173E-3</v>
      </c>
      <c r="K135">
        <f t="shared" si="6"/>
        <v>344.84323120117188</v>
      </c>
      <c r="L135" s="5">
        <f t="shared" si="7"/>
        <v>-0.47436473119977185</v>
      </c>
    </row>
    <row r="136" spans="1:12" x14ac:dyDescent="0.3">
      <c r="A136" s="2">
        <v>45198</v>
      </c>
      <c r="B136">
        <v>180.35882568359381</v>
      </c>
      <c r="C136">
        <f t="shared" si="8"/>
        <v>-1.0012693743721959E-3</v>
      </c>
      <c r="K136">
        <f t="shared" si="6"/>
        <v>344.84323120117188</v>
      </c>
      <c r="L136" s="5">
        <f t="shared" si="7"/>
        <v>-0.47698313504556644</v>
      </c>
    </row>
    <row r="137" spans="1:12" x14ac:dyDescent="0.3">
      <c r="A137" s="2">
        <v>45202</v>
      </c>
      <c r="B137">
        <v>180.17823791503909</v>
      </c>
      <c r="C137">
        <f t="shared" si="8"/>
        <v>-2.7562293569679242E-3</v>
      </c>
      <c r="K137">
        <f t="shared" si="6"/>
        <v>344.84323120117188</v>
      </c>
      <c r="L137" s="5">
        <f t="shared" si="7"/>
        <v>-0.47750681581472554</v>
      </c>
    </row>
    <row r="138" spans="1:12" x14ac:dyDescent="0.3">
      <c r="A138" s="2">
        <v>45203</v>
      </c>
      <c r="B138">
        <v>179.68162536621091</v>
      </c>
      <c r="C138">
        <f t="shared" si="8"/>
        <v>-1.2060261820719877E-2</v>
      </c>
      <c r="K138">
        <f t="shared" si="6"/>
        <v>344.84323120117188</v>
      </c>
      <c r="L138" s="5">
        <f t="shared" si="7"/>
        <v>-0.47894692686779261</v>
      </c>
    </row>
    <row r="139" spans="1:12" x14ac:dyDescent="0.3">
      <c r="A139" s="2">
        <v>45204</v>
      </c>
      <c r="B139">
        <v>177.5146179199219</v>
      </c>
      <c r="C139">
        <f t="shared" si="8"/>
        <v>2.2889737121738378E-3</v>
      </c>
      <c r="K139">
        <f t="shared" si="6"/>
        <v>344.84323120117188</v>
      </c>
      <c r="L139" s="5">
        <f t="shared" si="7"/>
        <v>-0.48523096335225768</v>
      </c>
    </row>
    <row r="140" spans="1:12" x14ac:dyDescent="0.3">
      <c r="A140" s="2">
        <v>45205</v>
      </c>
      <c r="B140">
        <v>177.92094421386719</v>
      </c>
      <c r="C140">
        <f t="shared" si="8"/>
        <v>-4.0599552650220153E-3</v>
      </c>
      <c r="K140">
        <f t="shared" si="6"/>
        <v>344.84323120117188</v>
      </c>
      <c r="L140" s="5">
        <f t="shared" si="7"/>
        <v>-0.48405267055953005</v>
      </c>
    </row>
    <row r="141" spans="1:12" x14ac:dyDescent="0.3">
      <c r="A141" s="2">
        <v>45208</v>
      </c>
      <c r="B141">
        <v>177.19859313964841</v>
      </c>
      <c r="C141">
        <f t="shared" si="8"/>
        <v>8.662445436694758E-3</v>
      </c>
      <c r="K141">
        <f t="shared" si="6"/>
        <v>344.84323120117188</v>
      </c>
      <c r="L141" s="5">
        <f t="shared" si="7"/>
        <v>-0.48614739363616588</v>
      </c>
    </row>
    <row r="142" spans="1:12" x14ac:dyDescent="0.3">
      <c r="A142" s="2">
        <v>45209</v>
      </c>
      <c r="B142">
        <v>178.73356628417969</v>
      </c>
      <c r="C142">
        <f t="shared" si="8"/>
        <v>2.7784220969974283E-3</v>
      </c>
      <c r="K142">
        <f t="shared" si="6"/>
        <v>344.84323120117188</v>
      </c>
      <c r="L142" s="5">
        <f t="shared" si="7"/>
        <v>-0.48169617347103577</v>
      </c>
    </row>
    <row r="143" spans="1:12" x14ac:dyDescent="0.3">
      <c r="A143" s="2">
        <v>45210</v>
      </c>
      <c r="B143">
        <v>179.23016357421881</v>
      </c>
      <c r="C143">
        <f t="shared" si="8"/>
        <v>1.133515091229105E-2</v>
      </c>
      <c r="K143">
        <f t="shared" si="6"/>
        <v>344.84323120117188</v>
      </c>
      <c r="L143" s="5">
        <f t="shared" si="7"/>
        <v>-0.48025610666644936</v>
      </c>
    </row>
    <row r="144" spans="1:12" x14ac:dyDescent="0.3">
      <c r="A144" s="2">
        <v>45211</v>
      </c>
      <c r="B144">
        <v>181.26176452636719</v>
      </c>
      <c r="C144">
        <f t="shared" si="8"/>
        <v>5.2303313084724632E-3</v>
      </c>
      <c r="K144">
        <f t="shared" si="6"/>
        <v>344.84323120117188</v>
      </c>
      <c r="L144" s="5">
        <f t="shared" si="7"/>
        <v>-0.47436473119977185</v>
      </c>
    </row>
    <row r="145" spans="1:12" x14ac:dyDescent="0.3">
      <c r="A145" s="2">
        <v>45212</v>
      </c>
      <c r="B145">
        <v>182.20982360839841</v>
      </c>
      <c r="C145">
        <f t="shared" si="8"/>
        <v>6.1942988968624289E-3</v>
      </c>
      <c r="K145">
        <f t="shared" si="6"/>
        <v>344.84323120117188</v>
      </c>
      <c r="L145" s="5">
        <f t="shared" si="7"/>
        <v>-0.47161548459652869</v>
      </c>
    </row>
    <row r="146" spans="1:12" x14ac:dyDescent="0.3">
      <c r="A146" s="2">
        <v>45215</v>
      </c>
      <c r="B146">
        <v>183.33848571777341</v>
      </c>
      <c r="C146">
        <f t="shared" si="8"/>
        <v>2.0191970701285214E-2</v>
      </c>
      <c r="K146">
        <f t="shared" si="6"/>
        <v>344.84323120117188</v>
      </c>
      <c r="L146" s="5">
        <f t="shared" si="7"/>
        <v>-0.46834251297564577</v>
      </c>
    </row>
    <row r="147" spans="1:12" x14ac:dyDescent="0.3">
      <c r="A147" s="2">
        <v>45216</v>
      </c>
      <c r="B147">
        <v>187.04045104980469</v>
      </c>
      <c r="C147">
        <f t="shared" si="8"/>
        <v>-3.137735936947677E-3</v>
      </c>
      <c r="K147">
        <f t="shared" si="6"/>
        <v>344.84323120117188</v>
      </c>
      <c r="L147" s="5">
        <f t="shared" si="7"/>
        <v>-0.45760730057453114</v>
      </c>
    </row>
    <row r="148" spans="1:12" x14ac:dyDescent="0.3">
      <c r="A148" s="2">
        <v>45217</v>
      </c>
      <c r="B148">
        <v>186.45356750488281</v>
      </c>
      <c r="C148">
        <f t="shared" si="8"/>
        <v>-3.3899314869336394E-3</v>
      </c>
      <c r="K148">
        <f t="shared" si="6"/>
        <v>344.84323120117188</v>
      </c>
      <c r="L148" s="5">
        <f t="shared" si="7"/>
        <v>-0.45930918563945644</v>
      </c>
    </row>
    <row r="149" spans="1:12" x14ac:dyDescent="0.3">
      <c r="A149" s="2">
        <v>45218</v>
      </c>
      <c r="B149">
        <v>185.8215026855469</v>
      </c>
      <c r="C149">
        <f t="shared" si="8"/>
        <v>-1.4334211583874304E-2</v>
      </c>
      <c r="K149">
        <f t="shared" si="6"/>
        <v>344.84323120117188</v>
      </c>
      <c r="L149" s="5">
        <f t="shared" si="7"/>
        <v>-0.46114209045575305</v>
      </c>
    </row>
    <row r="150" spans="1:12" x14ac:dyDescent="0.3">
      <c r="A150" s="2">
        <v>45219</v>
      </c>
      <c r="B150">
        <v>183.15789794921881</v>
      </c>
      <c r="C150">
        <f t="shared" si="8"/>
        <v>-1.5282290837390222E-2</v>
      </c>
      <c r="K150">
        <f t="shared" si="6"/>
        <v>344.84323120117188</v>
      </c>
      <c r="L150" s="5">
        <f t="shared" si="7"/>
        <v>-0.46886619374480454</v>
      </c>
    </row>
    <row r="151" spans="1:12" x14ac:dyDescent="0.3">
      <c r="A151" s="2">
        <v>45222</v>
      </c>
      <c r="B151">
        <v>180.35882568359381</v>
      </c>
      <c r="C151">
        <f t="shared" si="8"/>
        <v>-1.2515232661672406E-3</v>
      </c>
      <c r="K151">
        <f t="shared" si="6"/>
        <v>344.84323120117188</v>
      </c>
      <c r="L151" s="5">
        <f t="shared" si="7"/>
        <v>-0.47698313504556644</v>
      </c>
    </row>
    <row r="152" spans="1:12" x14ac:dyDescent="0.3">
      <c r="A152" s="2">
        <v>45224</v>
      </c>
      <c r="B152">
        <v>180.13310241699219</v>
      </c>
      <c r="C152">
        <f t="shared" si="8"/>
        <v>-2.7569199784195273E-3</v>
      </c>
      <c r="K152">
        <f t="shared" si="6"/>
        <v>344.84323120117188</v>
      </c>
      <c r="L152" s="5">
        <f t="shared" si="7"/>
        <v>-0.47763770282065476</v>
      </c>
    </row>
    <row r="153" spans="1:12" x14ac:dyDescent="0.3">
      <c r="A153" s="2">
        <v>45225</v>
      </c>
      <c r="B153">
        <v>179.63648986816409</v>
      </c>
      <c r="C153">
        <f t="shared" si="8"/>
        <v>1.0052700932338541E-2</v>
      </c>
      <c r="K153">
        <f t="shared" si="6"/>
        <v>344.84323120117188</v>
      </c>
      <c r="L153" s="5">
        <f t="shared" si="7"/>
        <v>-0.47907781387372161</v>
      </c>
    </row>
    <row r="154" spans="1:12" x14ac:dyDescent="0.3">
      <c r="A154" s="2">
        <v>45226</v>
      </c>
      <c r="B154">
        <v>181.44232177734381</v>
      </c>
      <c r="C154">
        <f t="shared" si="8"/>
        <v>-4.9743486756895054E-4</v>
      </c>
      <c r="K154">
        <f t="shared" si="6"/>
        <v>344.84323120117188</v>
      </c>
      <c r="L154" s="5">
        <f t="shared" si="7"/>
        <v>-0.47384113892757418</v>
      </c>
    </row>
    <row r="155" spans="1:12" x14ac:dyDescent="0.3">
      <c r="A155" s="2">
        <v>45229</v>
      </c>
      <c r="B155">
        <v>181.35206604003909</v>
      </c>
      <c r="C155">
        <f t="shared" si="8"/>
        <v>6.4723116503375049E-3</v>
      </c>
      <c r="K155">
        <f t="shared" si="6"/>
        <v>344.84323120117188</v>
      </c>
      <c r="L155" s="5">
        <f t="shared" si="7"/>
        <v>-0.47410286869095197</v>
      </c>
    </row>
    <row r="156" spans="1:12" x14ac:dyDescent="0.3">
      <c r="A156" s="2">
        <v>45230</v>
      </c>
      <c r="B156">
        <v>182.52583312988281</v>
      </c>
      <c r="C156">
        <f t="shared" si="8"/>
        <v>-5.9362082284976844E-3</v>
      </c>
      <c r="K156">
        <f t="shared" si="6"/>
        <v>344.84323120117188</v>
      </c>
      <c r="L156" s="5">
        <f t="shared" si="7"/>
        <v>-0.47069909856110137</v>
      </c>
    </row>
    <row r="157" spans="1:12" x14ac:dyDescent="0.3">
      <c r="A157" s="2">
        <v>45231</v>
      </c>
      <c r="B157">
        <v>181.44232177734381</v>
      </c>
      <c r="C157">
        <f t="shared" si="8"/>
        <v>1.0699264755103625E-2</v>
      </c>
      <c r="K157">
        <f t="shared" si="6"/>
        <v>344.84323120117188</v>
      </c>
      <c r="L157" s="5">
        <f t="shared" si="7"/>
        <v>-0.47384113892757418</v>
      </c>
    </row>
    <row r="158" spans="1:12" x14ac:dyDescent="0.3">
      <c r="A158" s="2">
        <v>45232</v>
      </c>
      <c r="B158">
        <v>183.38362121582031</v>
      </c>
      <c r="C158">
        <f t="shared" si="8"/>
        <v>6.4007766868146715E-3</v>
      </c>
      <c r="K158">
        <f t="shared" si="6"/>
        <v>344.84323120117188</v>
      </c>
      <c r="L158" s="5">
        <f t="shared" si="7"/>
        <v>-0.46821162596971655</v>
      </c>
    </row>
    <row r="159" spans="1:12" x14ac:dyDescent="0.3">
      <c r="A159" s="2">
        <v>45233</v>
      </c>
      <c r="B159">
        <v>184.55741882324219</v>
      </c>
      <c r="C159">
        <f t="shared" si="8"/>
        <v>1.8590915122625392E-2</v>
      </c>
      <c r="K159">
        <f t="shared" si="6"/>
        <v>344.84323120117188</v>
      </c>
      <c r="L159" s="5">
        <f t="shared" si="7"/>
        <v>-0.46480776734290441</v>
      </c>
    </row>
    <row r="160" spans="1:12" x14ac:dyDescent="0.3">
      <c r="A160" s="2">
        <v>45236</v>
      </c>
      <c r="B160">
        <v>187.98851013183591</v>
      </c>
      <c r="C160">
        <f t="shared" si="8"/>
        <v>-9.6046960981754296E-4</v>
      </c>
      <c r="K160">
        <f t="shared" si="6"/>
        <v>344.84323120117188</v>
      </c>
      <c r="L160" s="5">
        <f t="shared" si="7"/>
        <v>-0.45485805397128798</v>
      </c>
    </row>
    <row r="161" spans="1:12" x14ac:dyDescent="0.3">
      <c r="A161" s="2">
        <v>45237</v>
      </c>
      <c r="B161">
        <v>187.8079528808594</v>
      </c>
      <c r="C161">
        <f t="shared" si="8"/>
        <v>-4.8077774605545902E-3</v>
      </c>
      <c r="K161">
        <f t="shared" si="6"/>
        <v>344.84323120117188</v>
      </c>
      <c r="L161" s="5">
        <f t="shared" si="7"/>
        <v>-0.45538164624348532</v>
      </c>
    </row>
    <row r="162" spans="1:12" x14ac:dyDescent="0.3">
      <c r="A162" s="2">
        <v>45238</v>
      </c>
      <c r="B162">
        <v>186.90501403808591</v>
      </c>
      <c r="C162">
        <f t="shared" si="8"/>
        <v>1.3526647507018326E-2</v>
      </c>
      <c r="K162">
        <f t="shared" si="6"/>
        <v>344.84323120117188</v>
      </c>
      <c r="L162" s="5">
        <f t="shared" si="7"/>
        <v>-0.45800005008928024</v>
      </c>
    </row>
    <row r="163" spans="1:12" x14ac:dyDescent="0.3">
      <c r="A163" s="2">
        <v>45239</v>
      </c>
      <c r="B163">
        <v>189.43321228027341</v>
      </c>
      <c r="C163">
        <f t="shared" si="8"/>
        <v>6.4346325060746059E-3</v>
      </c>
      <c r="K163">
        <f t="shared" si="6"/>
        <v>344.84323120117188</v>
      </c>
      <c r="L163" s="5">
        <f t="shared" si="7"/>
        <v>-0.45066860781801632</v>
      </c>
    </row>
    <row r="164" spans="1:12" x14ac:dyDescent="0.3">
      <c r="A164" s="2">
        <v>45240</v>
      </c>
      <c r="B164">
        <v>190.65214538574219</v>
      </c>
      <c r="C164">
        <f t="shared" si="8"/>
        <v>5.4463619782627332E-3</v>
      </c>
      <c r="K164">
        <f t="shared" si="6"/>
        <v>344.84323120117188</v>
      </c>
      <c r="L164" s="5">
        <f t="shared" si="7"/>
        <v>-0.44713386218527496</v>
      </c>
    </row>
    <row r="165" spans="1:12" x14ac:dyDescent="0.3">
      <c r="A165" s="2">
        <v>45243</v>
      </c>
      <c r="B165">
        <v>191.69050598144531</v>
      </c>
      <c r="C165">
        <f t="shared" si="8"/>
        <v>-1.0127179589558841E-2</v>
      </c>
      <c r="K165">
        <f t="shared" si="6"/>
        <v>344.84323120117188</v>
      </c>
      <c r="L165" s="5">
        <f t="shared" si="7"/>
        <v>-0.44412275307321181</v>
      </c>
    </row>
    <row r="166" spans="1:12" x14ac:dyDescent="0.3">
      <c r="A166" s="2">
        <v>45245</v>
      </c>
      <c r="B166">
        <v>189.74922180175781</v>
      </c>
      <c r="C166">
        <f t="shared" si="8"/>
        <v>5.0934408650140468E-3</v>
      </c>
      <c r="K166">
        <f t="shared" si="6"/>
        <v>344.84323120117188</v>
      </c>
      <c r="L166" s="5">
        <f t="shared" si="7"/>
        <v>-0.449752221782589</v>
      </c>
    </row>
    <row r="167" spans="1:12" x14ac:dyDescent="0.3">
      <c r="A167" s="2">
        <v>45246</v>
      </c>
      <c r="B167">
        <v>190.7156982421875</v>
      </c>
      <c r="C167">
        <f t="shared" si="8"/>
        <v>1.1100235351648134E-2</v>
      </c>
      <c r="K167">
        <f t="shared" si="6"/>
        <v>344.84323120117188</v>
      </c>
      <c r="L167" s="5">
        <f t="shared" si="7"/>
        <v>-0.44694956726313328</v>
      </c>
    </row>
    <row r="168" spans="1:12" x14ac:dyDescent="0.3">
      <c r="A168" s="2">
        <v>45247</v>
      </c>
      <c r="B168">
        <v>192.83268737792969</v>
      </c>
      <c r="C168">
        <f t="shared" si="8"/>
        <v>-9.5462047307996376E-4</v>
      </c>
      <c r="K168">
        <f t="shared" si="6"/>
        <v>344.84323120117188</v>
      </c>
      <c r="L168" s="5">
        <f t="shared" si="7"/>
        <v>-0.44081057729842321</v>
      </c>
    </row>
    <row r="169" spans="1:12" x14ac:dyDescent="0.3">
      <c r="A169" s="2">
        <v>45250</v>
      </c>
      <c r="B169">
        <v>192.64860534667969</v>
      </c>
      <c r="C169">
        <f t="shared" si="8"/>
        <v>-1.6722613324755291E-3</v>
      </c>
      <c r="K169">
        <f t="shared" si="6"/>
        <v>344.84323120117188</v>
      </c>
      <c r="L169" s="5">
        <f t="shared" si="7"/>
        <v>-0.44134439096966382</v>
      </c>
    </row>
    <row r="170" spans="1:12" x14ac:dyDescent="0.3">
      <c r="A170" s="2">
        <v>45251</v>
      </c>
      <c r="B170">
        <v>192.3264465332031</v>
      </c>
      <c r="C170">
        <f t="shared" si="8"/>
        <v>1.2682491205783316E-2</v>
      </c>
      <c r="K170">
        <f t="shared" si="6"/>
        <v>344.84323120117188</v>
      </c>
      <c r="L170" s="5">
        <f t="shared" si="7"/>
        <v>-0.4422786091428158</v>
      </c>
    </row>
    <row r="171" spans="1:12" x14ac:dyDescent="0.3">
      <c r="A171" s="2">
        <v>45252</v>
      </c>
      <c r="B171">
        <v>194.765625</v>
      </c>
      <c r="C171">
        <f t="shared" si="8"/>
        <v>-3.3080907791818545E-3</v>
      </c>
      <c r="K171">
        <f t="shared" si="6"/>
        <v>344.84323120117188</v>
      </c>
      <c r="L171" s="5">
        <f t="shared" si="7"/>
        <v>-0.43520531250799244</v>
      </c>
    </row>
    <row r="172" spans="1:12" x14ac:dyDescent="0.3">
      <c r="A172" s="2">
        <v>45253</v>
      </c>
      <c r="B172">
        <v>194.12132263183591</v>
      </c>
      <c r="C172">
        <f t="shared" si="8"/>
        <v>-2.1337162939439858E-3</v>
      </c>
      <c r="K172">
        <f t="shared" si="6"/>
        <v>344.84323120117188</v>
      </c>
      <c r="L172" s="5">
        <f t="shared" si="7"/>
        <v>-0.43707370460581563</v>
      </c>
    </row>
    <row r="173" spans="1:12" x14ac:dyDescent="0.3">
      <c r="A173" s="2">
        <v>45254</v>
      </c>
      <c r="B173">
        <v>193.7071228027344</v>
      </c>
      <c r="C173">
        <f t="shared" si="8"/>
        <v>-1.1878888898516633E-3</v>
      </c>
      <c r="K173">
        <f t="shared" si="6"/>
        <v>344.84323120117188</v>
      </c>
      <c r="L173" s="5">
        <f t="shared" si="7"/>
        <v>-0.43827482961458764</v>
      </c>
    </row>
    <row r="174" spans="1:12" x14ac:dyDescent="0.3">
      <c r="A174" s="2">
        <v>45258</v>
      </c>
      <c r="B174">
        <v>193.4770202636719</v>
      </c>
      <c r="C174">
        <f t="shared" si="8"/>
        <v>4.0436256034246838E-3</v>
      </c>
      <c r="K174">
        <f t="shared" si="6"/>
        <v>344.84323120117188</v>
      </c>
      <c r="L174" s="5">
        <f t="shared" si="7"/>
        <v>-0.4389420967036386</v>
      </c>
    </row>
    <row r="175" spans="1:12" x14ac:dyDescent="0.3">
      <c r="A175" s="2">
        <v>45259</v>
      </c>
      <c r="B175">
        <v>194.2593688964844</v>
      </c>
      <c r="C175">
        <f t="shared" si="8"/>
        <v>-9.9502143668103293E-3</v>
      </c>
      <c r="K175">
        <f t="shared" si="6"/>
        <v>344.84323120117188</v>
      </c>
      <c r="L175" s="5">
        <f t="shared" si="7"/>
        <v>-0.43667338860086558</v>
      </c>
    </row>
    <row r="176" spans="1:12" x14ac:dyDescent="0.3">
      <c r="A176" s="2">
        <v>45260</v>
      </c>
      <c r="B176">
        <v>192.3264465332031</v>
      </c>
      <c r="C176">
        <f t="shared" si="8"/>
        <v>5.9823999829902363E-3</v>
      </c>
      <c r="K176">
        <f t="shared" si="6"/>
        <v>344.84323120117188</v>
      </c>
      <c r="L176" s="5">
        <f t="shared" si="7"/>
        <v>-0.4422786091428158</v>
      </c>
    </row>
    <row r="177" spans="1:12" x14ac:dyDescent="0.3">
      <c r="A177" s="2">
        <v>45261</v>
      </c>
      <c r="B177">
        <v>193.4770202636719</v>
      </c>
      <c r="C177">
        <f t="shared" si="8"/>
        <v>1.2844852129898721E-2</v>
      </c>
      <c r="K177">
        <f t="shared" si="6"/>
        <v>344.84323120117188</v>
      </c>
      <c r="L177" s="5">
        <f t="shared" si="7"/>
        <v>-0.4389420967036386</v>
      </c>
    </row>
    <row r="178" spans="1:12" x14ac:dyDescent="0.3">
      <c r="A178" s="2">
        <v>45264</v>
      </c>
      <c r="B178">
        <v>195.96220397949219</v>
      </c>
      <c r="C178">
        <f t="shared" si="8"/>
        <v>4.4152268792740153E-2</v>
      </c>
      <c r="K178">
        <f t="shared" si="6"/>
        <v>344.84323120117188</v>
      </c>
      <c r="L178" s="5">
        <f t="shared" si="7"/>
        <v>-0.43173539089948576</v>
      </c>
    </row>
    <row r="179" spans="1:12" x14ac:dyDescent="0.3">
      <c r="A179" s="2">
        <v>45265</v>
      </c>
      <c r="B179">
        <v>204.6143798828125</v>
      </c>
      <c r="C179">
        <f t="shared" si="8"/>
        <v>9.4466594400077711E-3</v>
      </c>
      <c r="K179">
        <f t="shared" si="6"/>
        <v>344.84323120117188</v>
      </c>
      <c r="L179" s="5">
        <f t="shared" si="7"/>
        <v>-0.40664521913307849</v>
      </c>
    </row>
    <row r="180" spans="1:12" x14ac:dyDescent="0.3">
      <c r="A180" s="2">
        <v>45266</v>
      </c>
      <c r="B180">
        <v>206.54730224609381</v>
      </c>
      <c r="C180">
        <f t="shared" si="8"/>
        <v>2.4955519550269339E-2</v>
      </c>
      <c r="K180">
        <f t="shared" si="6"/>
        <v>344.84323120117188</v>
      </c>
      <c r="L180" s="5">
        <f t="shared" si="7"/>
        <v>-0.40103999859112816</v>
      </c>
    </row>
    <row r="181" spans="1:12" x14ac:dyDescent="0.3">
      <c r="A181" s="2">
        <v>45267</v>
      </c>
      <c r="B181">
        <v>211.70179748535159</v>
      </c>
      <c r="C181">
        <f t="shared" si="8"/>
        <v>-6.0870302907817479E-3</v>
      </c>
      <c r="K181">
        <f t="shared" si="6"/>
        <v>344.84323120117188</v>
      </c>
      <c r="L181" s="5">
        <f t="shared" si="7"/>
        <v>-0.38609264056613979</v>
      </c>
    </row>
    <row r="182" spans="1:12" x14ac:dyDescent="0.3">
      <c r="A182" s="2">
        <v>45268</v>
      </c>
      <c r="B182">
        <v>210.41316223144531</v>
      </c>
      <c r="C182">
        <f t="shared" si="8"/>
        <v>1.0279893517139128E-2</v>
      </c>
      <c r="K182">
        <f t="shared" si="6"/>
        <v>344.84323120117188</v>
      </c>
      <c r="L182" s="5">
        <f t="shared" si="7"/>
        <v>-0.38982951325874748</v>
      </c>
    </row>
    <row r="183" spans="1:12" x14ac:dyDescent="0.3">
      <c r="A183" s="2">
        <v>45271</v>
      </c>
      <c r="B183">
        <v>212.57618713378909</v>
      </c>
      <c r="C183">
        <f t="shared" si="8"/>
        <v>1.732059385590381E-3</v>
      </c>
      <c r="K183">
        <f t="shared" si="6"/>
        <v>344.84323120117188</v>
      </c>
      <c r="L183" s="5">
        <f t="shared" si="7"/>
        <v>-0.38355702562774652</v>
      </c>
    </row>
    <row r="184" spans="1:12" x14ac:dyDescent="0.3">
      <c r="A184" s="2">
        <v>45272</v>
      </c>
      <c r="B184">
        <v>212.94438171386719</v>
      </c>
      <c r="C184">
        <f t="shared" si="8"/>
        <v>2.4205685447976535E-2</v>
      </c>
      <c r="K184">
        <f t="shared" si="6"/>
        <v>344.84323120117188</v>
      </c>
      <c r="L184" s="5">
        <f t="shared" si="7"/>
        <v>-0.38248930978830376</v>
      </c>
    </row>
    <row r="185" spans="1:12" x14ac:dyDescent="0.3">
      <c r="A185" s="2">
        <v>45273</v>
      </c>
      <c r="B185">
        <v>218.0988464355469</v>
      </c>
      <c r="C185">
        <f t="shared" si="8"/>
        <v>-2.0468434008991197E-2</v>
      </c>
      <c r="K185">
        <f t="shared" si="6"/>
        <v>344.84323120117188</v>
      </c>
      <c r="L185" s="5">
        <f t="shared" si="7"/>
        <v>-0.36754204026027659</v>
      </c>
    </row>
    <row r="186" spans="1:12" x14ac:dyDescent="0.3">
      <c r="A186" s="2">
        <v>45274</v>
      </c>
      <c r="B186">
        <v>213.63470458984381</v>
      </c>
      <c r="C186">
        <f t="shared" si="8"/>
        <v>2.2619551333055418E-2</v>
      </c>
      <c r="K186">
        <f t="shared" si="6"/>
        <v>344.84323120117188</v>
      </c>
      <c r="L186" s="5">
        <f t="shared" si="7"/>
        <v>-0.38048746427267033</v>
      </c>
    </row>
    <row r="187" spans="1:12" x14ac:dyDescent="0.3">
      <c r="A187" s="2">
        <v>45275</v>
      </c>
      <c r="B187">
        <v>218.46702575683591</v>
      </c>
      <c r="C187">
        <f t="shared" si="8"/>
        <v>-2.317241437112938E-2</v>
      </c>
      <c r="K187">
        <f t="shared" si="6"/>
        <v>344.84323120117188</v>
      </c>
      <c r="L187" s="5">
        <f t="shared" si="7"/>
        <v>-0.3664743686693146</v>
      </c>
    </row>
    <row r="188" spans="1:12" x14ac:dyDescent="0.3">
      <c r="A188" s="2">
        <v>45278</v>
      </c>
      <c r="B188">
        <v>213.40461730957031</v>
      </c>
      <c r="C188">
        <f t="shared" si="8"/>
        <v>7.3321399702625835E-3</v>
      </c>
      <c r="K188">
        <f t="shared" si="6"/>
        <v>344.84323120117188</v>
      </c>
      <c r="L188" s="5">
        <f t="shared" si="7"/>
        <v>-0.38115468711324063</v>
      </c>
    </row>
    <row r="189" spans="1:12" x14ac:dyDescent="0.3">
      <c r="A189" s="2">
        <v>45279</v>
      </c>
      <c r="B189">
        <v>214.9693298339844</v>
      </c>
      <c r="C189">
        <f t="shared" si="8"/>
        <v>-2.7403158523107717E-2</v>
      </c>
      <c r="K189">
        <f t="shared" si="6"/>
        <v>344.84323120117188</v>
      </c>
      <c r="L189" s="5">
        <f t="shared" si="7"/>
        <v>-0.37661722665921393</v>
      </c>
    </row>
    <row r="190" spans="1:12" x14ac:dyDescent="0.3">
      <c r="A190" s="2">
        <v>45280</v>
      </c>
      <c r="B190">
        <v>209.0784912109375</v>
      </c>
      <c r="C190">
        <f t="shared" si="8"/>
        <v>2.289250868913591E-2</v>
      </c>
      <c r="K190">
        <f t="shared" si="6"/>
        <v>344.84323120117188</v>
      </c>
      <c r="L190" s="5">
        <f t="shared" si="7"/>
        <v>-0.39369988361764607</v>
      </c>
    </row>
    <row r="191" spans="1:12" x14ac:dyDescent="0.3">
      <c r="A191" s="2">
        <v>45281</v>
      </c>
      <c r="B191">
        <v>213.86482238769531</v>
      </c>
      <c r="C191">
        <f t="shared" si="8"/>
        <v>-2.5823630326962093E-3</v>
      </c>
      <c r="K191">
        <f t="shared" si="6"/>
        <v>344.84323120117188</v>
      </c>
      <c r="L191" s="5">
        <f t="shared" si="7"/>
        <v>-0.37982015293513893</v>
      </c>
    </row>
    <row r="192" spans="1:12" x14ac:dyDescent="0.3">
      <c r="A192" s="2">
        <v>45282</v>
      </c>
      <c r="B192">
        <v>213.31254577636719</v>
      </c>
      <c r="C192">
        <f t="shared" si="8"/>
        <v>6.9039634823503003E-3</v>
      </c>
      <c r="K192">
        <f t="shared" si="6"/>
        <v>344.84323120117188</v>
      </c>
      <c r="L192" s="5">
        <f t="shared" si="7"/>
        <v>-0.38142168244582242</v>
      </c>
    </row>
    <row r="193" spans="1:12" x14ac:dyDescent="0.3">
      <c r="A193" s="2">
        <v>45286</v>
      </c>
      <c r="B193">
        <v>214.7852478027344</v>
      </c>
      <c r="C193">
        <f t="shared" si="8"/>
        <v>2.9998225369037373E-3</v>
      </c>
      <c r="K193">
        <f t="shared" si="6"/>
        <v>344.84323120117188</v>
      </c>
      <c r="L193" s="5">
        <f t="shared" si="7"/>
        <v>-0.37715104033045466</v>
      </c>
    </row>
    <row r="194" spans="1:12" x14ac:dyDescent="0.3">
      <c r="A194" s="2">
        <v>45287</v>
      </c>
      <c r="B194">
        <v>215.4295654296875</v>
      </c>
      <c r="C194">
        <f t="shared" si="8"/>
        <v>2.1576607307687731E-2</v>
      </c>
      <c r="K194">
        <f t="shared" ref="K194:K257" si="9">MAX(B194:B933)</f>
        <v>344.84323120117188</v>
      </c>
      <c r="L194" s="5">
        <f t="shared" ref="L194:L257" si="10">B194/K194-1</f>
        <v>-0.37528260398415092</v>
      </c>
    </row>
    <row r="195" spans="1:12" x14ac:dyDescent="0.3">
      <c r="A195" s="2">
        <v>45288</v>
      </c>
      <c r="B195">
        <v>220.07780456542969</v>
      </c>
      <c r="C195">
        <f t="shared" ref="C195:C258" si="11">(B196-B195)/B195</f>
        <v>-7.9465332466107218E-3</v>
      </c>
      <c r="K195">
        <f t="shared" si="9"/>
        <v>344.84323120117188</v>
      </c>
      <c r="L195" s="5">
        <f t="shared" si="10"/>
        <v>-0.36180332205203569</v>
      </c>
    </row>
    <row r="196" spans="1:12" x14ac:dyDescent="0.3">
      <c r="A196" s="2">
        <v>45289</v>
      </c>
      <c r="B196">
        <v>218.3289489746094</v>
      </c>
      <c r="C196">
        <f t="shared" si="11"/>
        <v>4.4266286545124687E-3</v>
      </c>
      <c r="K196">
        <f t="shared" si="9"/>
        <v>344.84323120117188</v>
      </c>
      <c r="L196" s="5">
        <f t="shared" si="10"/>
        <v>-0.36687477317122574</v>
      </c>
    </row>
    <row r="197" spans="1:12" x14ac:dyDescent="0.3">
      <c r="A197" s="2">
        <v>45292</v>
      </c>
      <c r="B197">
        <v>219.29541015625</v>
      </c>
      <c r="C197">
        <f t="shared" si="11"/>
        <v>-1.6788498320036871E-3</v>
      </c>
      <c r="K197">
        <f t="shared" si="9"/>
        <v>344.84323120117188</v>
      </c>
      <c r="L197" s="5">
        <f t="shared" si="10"/>
        <v>-0.36407216290025068</v>
      </c>
    </row>
    <row r="198" spans="1:12" x14ac:dyDescent="0.3">
      <c r="A198" s="2">
        <v>45293</v>
      </c>
      <c r="B198">
        <v>218.92724609375</v>
      </c>
      <c r="C198">
        <f t="shared" si="11"/>
        <v>-3.3635553112098902E-3</v>
      </c>
      <c r="K198">
        <f t="shared" si="9"/>
        <v>344.84323120117188</v>
      </c>
      <c r="L198" s="5">
        <f t="shared" si="10"/>
        <v>-0.36513979024273213</v>
      </c>
    </row>
    <row r="199" spans="1:12" x14ac:dyDescent="0.3">
      <c r="A199" s="2">
        <v>45294</v>
      </c>
      <c r="B199">
        <v>218.19087219238281</v>
      </c>
      <c r="C199">
        <f t="shared" si="11"/>
        <v>1.8561603853935529E-2</v>
      </c>
      <c r="K199">
        <f t="shared" si="9"/>
        <v>344.84323120117188</v>
      </c>
      <c r="L199" s="5">
        <f t="shared" si="10"/>
        <v>-0.367275177673137</v>
      </c>
    </row>
    <row r="200" spans="1:12" x14ac:dyDescent="0.3">
      <c r="A200" s="2">
        <v>45295</v>
      </c>
      <c r="B200">
        <v>222.2408447265625</v>
      </c>
      <c r="C200">
        <f t="shared" si="11"/>
        <v>-8.283683868534513E-4</v>
      </c>
      <c r="K200">
        <f t="shared" si="9"/>
        <v>344.84323120117188</v>
      </c>
      <c r="L200" s="5">
        <f t="shared" si="10"/>
        <v>-0.35553079017255407</v>
      </c>
    </row>
    <row r="201" spans="1:12" x14ac:dyDescent="0.3">
      <c r="A201" s="2">
        <v>45296</v>
      </c>
      <c r="B201">
        <v>222.05674743652341</v>
      </c>
      <c r="C201">
        <f t="shared" si="11"/>
        <v>4.5595628196013604E-3</v>
      </c>
      <c r="K201">
        <f t="shared" si="9"/>
        <v>344.84323120117188</v>
      </c>
      <c r="L201" s="5">
        <f t="shared" si="10"/>
        <v>-0.35606464809227556</v>
      </c>
    </row>
    <row r="202" spans="1:12" x14ac:dyDescent="0.3">
      <c r="A202" s="2">
        <v>45299</v>
      </c>
      <c r="B202">
        <v>223.06922912597659</v>
      </c>
      <c r="C202">
        <f t="shared" si="11"/>
        <v>-2.0623753981555764E-4</v>
      </c>
      <c r="K202">
        <f t="shared" si="9"/>
        <v>344.84323120117188</v>
      </c>
      <c r="L202" s="5">
        <f t="shared" si="10"/>
        <v>-0.35312858440349015</v>
      </c>
    </row>
    <row r="203" spans="1:12" x14ac:dyDescent="0.3">
      <c r="A203" s="2">
        <v>45300</v>
      </c>
      <c r="B203">
        <v>223.0232238769531</v>
      </c>
      <c r="C203">
        <f t="shared" si="11"/>
        <v>-1.3000366035967438E-2</v>
      </c>
      <c r="K203">
        <f t="shared" si="9"/>
        <v>344.84323120117188</v>
      </c>
      <c r="L203" s="5">
        <f t="shared" si="10"/>
        <v>-0.35326199357281973</v>
      </c>
    </row>
    <row r="204" spans="1:12" x14ac:dyDescent="0.3">
      <c r="A204" s="2">
        <v>45301</v>
      </c>
      <c r="B204">
        <v>220.12384033203119</v>
      </c>
      <c r="C204">
        <f t="shared" si="11"/>
        <v>1.1707997955918297E-2</v>
      </c>
      <c r="K204">
        <f t="shared" si="9"/>
        <v>344.84323120117188</v>
      </c>
      <c r="L204" s="5">
        <f t="shared" si="10"/>
        <v>-0.36166982438574502</v>
      </c>
    </row>
    <row r="205" spans="1:12" x14ac:dyDescent="0.3">
      <c r="A205" s="2">
        <v>45302</v>
      </c>
      <c r="B205">
        <v>222.7010498046875</v>
      </c>
      <c r="C205">
        <f t="shared" si="11"/>
        <v>-1.0126046458853948E-2</v>
      </c>
      <c r="K205">
        <f t="shared" si="9"/>
        <v>344.84323120117188</v>
      </c>
      <c r="L205" s="5">
        <f t="shared" si="10"/>
        <v>-0.35419625599445226</v>
      </c>
    </row>
    <row r="206" spans="1:12" x14ac:dyDescent="0.3">
      <c r="A206" s="2">
        <v>45303</v>
      </c>
      <c r="B206">
        <v>220.44596862792969</v>
      </c>
      <c r="C206">
        <f t="shared" si="11"/>
        <v>6.8893879185972246E-3</v>
      </c>
      <c r="K206">
        <f t="shared" si="9"/>
        <v>344.84323120117188</v>
      </c>
      <c r="L206" s="5">
        <f t="shared" si="10"/>
        <v>-0.36073569470955436</v>
      </c>
    </row>
    <row r="207" spans="1:12" x14ac:dyDescent="0.3">
      <c r="A207" s="2">
        <v>45306</v>
      </c>
      <c r="B207">
        <v>221.96470642089841</v>
      </c>
      <c r="C207">
        <f t="shared" si="11"/>
        <v>-8.7083106735221152E-3</v>
      </c>
      <c r="K207">
        <f t="shared" si="9"/>
        <v>344.84323120117188</v>
      </c>
      <c r="L207" s="5">
        <f t="shared" si="10"/>
        <v>-0.35633155492789581</v>
      </c>
    </row>
    <row r="208" spans="1:12" x14ac:dyDescent="0.3">
      <c r="A208" s="2">
        <v>45307</v>
      </c>
      <c r="B208">
        <v>220.0317687988281</v>
      </c>
      <c r="C208">
        <f t="shared" si="11"/>
        <v>6.2746177150322182E-4</v>
      </c>
      <c r="K208">
        <f t="shared" si="9"/>
        <v>344.84323120117188</v>
      </c>
      <c r="L208" s="5">
        <f t="shared" si="10"/>
        <v>-0.3619368197183267</v>
      </c>
    </row>
    <row r="209" spans="1:12" x14ac:dyDescent="0.3">
      <c r="A209" s="2">
        <v>45308</v>
      </c>
      <c r="B209">
        <v>220.1698303222656</v>
      </c>
      <c r="C209">
        <f t="shared" si="11"/>
        <v>-2.4038380905187801E-2</v>
      </c>
      <c r="K209">
        <f t="shared" si="9"/>
        <v>344.84323120117188</v>
      </c>
      <c r="L209" s="5">
        <f t="shared" si="10"/>
        <v>-0.3615364594648961</v>
      </c>
    </row>
    <row r="210" spans="1:12" x14ac:dyDescent="0.3">
      <c r="A210" s="2">
        <v>45309</v>
      </c>
      <c r="B210">
        <v>214.87730407714841</v>
      </c>
      <c r="C210">
        <f t="shared" si="11"/>
        <v>8.3528857957482355E-3</v>
      </c>
      <c r="K210">
        <f t="shared" si="9"/>
        <v>344.84323120117188</v>
      </c>
      <c r="L210" s="5">
        <f t="shared" si="10"/>
        <v>-0.37688408924635375</v>
      </c>
    </row>
    <row r="211" spans="1:12" x14ac:dyDescent="0.3">
      <c r="A211" s="2">
        <v>45310</v>
      </c>
      <c r="B211">
        <v>216.6721496582031</v>
      </c>
      <c r="C211">
        <f t="shared" si="11"/>
        <v>1.0832667949593318E-2</v>
      </c>
      <c r="K211">
        <f t="shared" si="9"/>
        <v>344.84323120117188</v>
      </c>
      <c r="L211" s="5">
        <f t="shared" si="10"/>
        <v>-0.37167927320631489</v>
      </c>
    </row>
    <row r="212" spans="1:12" x14ac:dyDescent="0.3">
      <c r="A212" s="2">
        <v>45314</v>
      </c>
      <c r="B212">
        <v>219.019287109375</v>
      </c>
      <c r="C212">
        <f t="shared" si="11"/>
        <v>3.467118602880593E-2</v>
      </c>
      <c r="K212">
        <f t="shared" si="9"/>
        <v>344.84323120117188</v>
      </c>
      <c r="L212" s="5">
        <f t="shared" si="10"/>
        <v>-0.36487288340711177</v>
      </c>
    </row>
    <row r="213" spans="1:12" x14ac:dyDescent="0.3">
      <c r="A213" s="2">
        <v>45315</v>
      </c>
      <c r="B213">
        <v>226.6129455566406</v>
      </c>
      <c r="C213">
        <f t="shared" si="11"/>
        <v>-2.8431842963841888E-3</v>
      </c>
      <c r="K213">
        <f t="shared" si="9"/>
        <v>344.84323120117188</v>
      </c>
      <c r="L213" s="5">
        <f t="shared" si="10"/>
        <v>-0.34285227299578058</v>
      </c>
    </row>
    <row r="214" spans="1:12" x14ac:dyDescent="0.3">
      <c r="A214" s="2">
        <v>45316</v>
      </c>
      <c r="B214">
        <v>225.96864318847659</v>
      </c>
      <c r="C214">
        <f t="shared" si="11"/>
        <v>3.4419488960860986E-2</v>
      </c>
      <c r="K214">
        <f t="shared" si="9"/>
        <v>344.84323120117188</v>
      </c>
      <c r="L214" s="5">
        <f t="shared" si="10"/>
        <v>-0.34472066509360355</v>
      </c>
    </row>
    <row r="215" spans="1:12" x14ac:dyDescent="0.3">
      <c r="A215" s="2">
        <v>45320</v>
      </c>
      <c r="B215">
        <v>233.7463684082031</v>
      </c>
      <c r="C215">
        <f t="shared" si="11"/>
        <v>5.9071198909691923E-4</v>
      </c>
      <c r="K215">
        <f t="shared" si="9"/>
        <v>344.84323120117188</v>
      </c>
      <c r="L215" s="5">
        <f t="shared" si="10"/>
        <v>-0.32216628525951252</v>
      </c>
    </row>
    <row r="216" spans="1:12" x14ac:dyDescent="0.3">
      <c r="A216" s="2">
        <v>45321</v>
      </c>
      <c r="B216">
        <v>233.88444519042969</v>
      </c>
      <c r="C216">
        <f t="shared" si="11"/>
        <v>2.0464316883038593E-2</v>
      </c>
      <c r="K216">
        <f t="shared" si="9"/>
        <v>344.84323120117188</v>
      </c>
      <c r="L216" s="5">
        <f t="shared" si="10"/>
        <v>-0.32176588075760126</v>
      </c>
    </row>
    <row r="217" spans="1:12" x14ac:dyDescent="0.3">
      <c r="A217" s="2">
        <v>45322</v>
      </c>
      <c r="B217">
        <v>238.67073059082031</v>
      </c>
      <c r="C217">
        <f t="shared" si="11"/>
        <v>2.5067376742357404E-2</v>
      </c>
      <c r="K217">
        <f t="shared" si="9"/>
        <v>344.84323120117188</v>
      </c>
      <c r="L217" s="5">
        <f t="shared" si="10"/>
        <v>-0.30788628282053621</v>
      </c>
    </row>
    <row r="218" spans="1:12" x14ac:dyDescent="0.3">
      <c r="A218" s="2">
        <v>45323</v>
      </c>
      <c r="B218">
        <v>244.65357971191409</v>
      </c>
      <c r="C218">
        <f t="shared" si="11"/>
        <v>4.2513239526676745E-2</v>
      </c>
      <c r="K218">
        <f t="shared" si="9"/>
        <v>344.84323120117188</v>
      </c>
      <c r="L218" s="5">
        <f t="shared" si="10"/>
        <v>-0.29053680752344524</v>
      </c>
    </row>
    <row r="219" spans="1:12" x14ac:dyDescent="0.3">
      <c r="A219" s="2">
        <v>45324</v>
      </c>
      <c r="B219">
        <v>255.0545959472656</v>
      </c>
      <c r="C219">
        <f t="shared" si="11"/>
        <v>2.0931055925071686E-2</v>
      </c>
      <c r="K219">
        <f t="shared" si="9"/>
        <v>344.84323120117188</v>
      </c>
      <c r="L219" s="5">
        <f t="shared" si="10"/>
        <v>-0.26037522888632869</v>
      </c>
    </row>
    <row r="220" spans="1:12" x14ac:dyDescent="0.3">
      <c r="A220" s="2">
        <v>45327</v>
      </c>
      <c r="B220">
        <v>260.39315795898438</v>
      </c>
      <c r="C220">
        <f t="shared" si="11"/>
        <v>-3.0576100053407166E-2</v>
      </c>
      <c r="K220">
        <f t="shared" si="9"/>
        <v>344.84323120117188</v>
      </c>
      <c r="L220" s="5">
        <f t="shared" si="10"/>
        <v>-0.24489410143858004</v>
      </c>
    </row>
    <row r="221" spans="1:12" x14ac:dyDescent="0.3">
      <c r="A221" s="2">
        <v>45328</v>
      </c>
      <c r="B221">
        <v>252.43135070800781</v>
      </c>
      <c r="C221">
        <f t="shared" si="11"/>
        <v>-2.2971720162209074E-2</v>
      </c>
      <c r="K221">
        <f t="shared" si="9"/>
        <v>344.84323120117188</v>
      </c>
      <c r="L221" s="5">
        <f t="shared" si="10"/>
        <v>-0.2679822949439119</v>
      </c>
    </row>
    <row r="222" spans="1:12" x14ac:dyDescent="0.3">
      <c r="A222" s="2">
        <v>45329</v>
      </c>
      <c r="B222">
        <v>246.632568359375</v>
      </c>
      <c r="C222">
        <f t="shared" si="11"/>
        <v>3.0789358022662566E-2</v>
      </c>
      <c r="K222">
        <f t="shared" si="9"/>
        <v>344.84323120117188</v>
      </c>
      <c r="L222" s="5">
        <f t="shared" si="10"/>
        <v>-0.28479800081824291</v>
      </c>
    </row>
    <row r="223" spans="1:12" x14ac:dyDescent="0.3">
      <c r="A223" s="2">
        <v>45330</v>
      </c>
      <c r="B223">
        <v>254.2262268066406</v>
      </c>
      <c r="C223">
        <f t="shared" si="11"/>
        <v>-1.1585820033287267E-2</v>
      </c>
      <c r="K223">
        <f t="shared" si="9"/>
        <v>344.84323120117188</v>
      </c>
      <c r="L223" s="5">
        <f t="shared" si="10"/>
        <v>-0.26277739040691173</v>
      </c>
    </row>
    <row r="224" spans="1:12" x14ac:dyDescent="0.3">
      <c r="A224" s="2">
        <v>45331</v>
      </c>
      <c r="B224">
        <v>251.28080749511719</v>
      </c>
      <c r="C224">
        <f t="shared" si="11"/>
        <v>-9.8901265058122939E-3</v>
      </c>
      <c r="K224">
        <f t="shared" si="9"/>
        <v>344.84323120117188</v>
      </c>
      <c r="L224" s="5">
        <f t="shared" si="10"/>
        <v>-0.27131871888612769</v>
      </c>
    </row>
    <row r="225" spans="1:12" x14ac:dyDescent="0.3">
      <c r="A225" s="2">
        <v>45334</v>
      </c>
      <c r="B225">
        <v>248.79560852050781</v>
      </c>
      <c r="C225">
        <f t="shared" si="11"/>
        <v>-1.8491182098022017E-4</v>
      </c>
      <c r="K225">
        <f t="shared" si="9"/>
        <v>344.84323120117188</v>
      </c>
      <c r="L225" s="5">
        <f t="shared" si="10"/>
        <v>-0.27852546893876129</v>
      </c>
    </row>
    <row r="226" spans="1:12" x14ac:dyDescent="0.3">
      <c r="A226" s="2">
        <v>45335</v>
      </c>
      <c r="B226">
        <v>248.7496032714844</v>
      </c>
      <c r="C226">
        <f t="shared" si="11"/>
        <v>1.2580745959987389E-2</v>
      </c>
      <c r="K226">
        <f t="shared" si="9"/>
        <v>344.84323120117188</v>
      </c>
      <c r="L226" s="5">
        <f t="shared" si="10"/>
        <v>-0.27865887810809065</v>
      </c>
    </row>
    <row r="227" spans="1:12" x14ac:dyDescent="0.3">
      <c r="A227" s="2">
        <v>45336</v>
      </c>
      <c r="B227">
        <v>251.8790588378906</v>
      </c>
      <c r="C227">
        <f t="shared" si="11"/>
        <v>4.6442673978893866E-2</v>
      </c>
      <c r="K227">
        <f t="shared" si="9"/>
        <v>344.84323120117188</v>
      </c>
      <c r="L227" s="5">
        <f t="shared" si="10"/>
        <v>-0.26958386870307627</v>
      </c>
    </row>
    <row r="228" spans="1:12" x14ac:dyDescent="0.3">
      <c r="A228" s="2">
        <v>45337</v>
      </c>
      <c r="B228">
        <v>263.57699584960938</v>
      </c>
      <c r="C228">
        <f t="shared" si="11"/>
        <v>-2.5208608051207317E-2</v>
      </c>
      <c r="K228">
        <f t="shared" si="9"/>
        <v>344.84323120117188</v>
      </c>
      <c r="L228" s="5">
        <f t="shared" si="10"/>
        <v>-0.23566139044832823</v>
      </c>
    </row>
    <row r="229" spans="1:12" x14ac:dyDescent="0.3">
      <c r="A229" s="2">
        <v>45338</v>
      </c>
      <c r="B229">
        <v>256.93258666992188</v>
      </c>
      <c r="C229">
        <f t="shared" si="11"/>
        <v>6.5562305629523684E-3</v>
      </c>
      <c r="K229">
        <f t="shared" si="9"/>
        <v>344.84323120117188</v>
      </c>
      <c r="L229" s="5">
        <f t="shared" si="10"/>
        <v>-0.2549293028749211</v>
      </c>
    </row>
    <row r="230" spans="1:12" x14ac:dyDescent="0.3">
      <c r="A230" s="2">
        <v>45341</v>
      </c>
      <c r="B230">
        <v>258.61709594726563</v>
      </c>
      <c r="C230">
        <f t="shared" si="11"/>
        <v>4.1794753943215801E-2</v>
      </c>
      <c r="K230">
        <f t="shared" si="9"/>
        <v>344.84323120117188</v>
      </c>
      <c r="L230" s="5">
        <f t="shared" si="10"/>
        <v>-0.25004444759886946</v>
      </c>
    </row>
    <row r="231" spans="1:12" x14ac:dyDescent="0.3">
      <c r="A231" s="2">
        <v>45342</v>
      </c>
      <c r="B231">
        <v>269.42593383789063</v>
      </c>
      <c r="C231">
        <f t="shared" si="11"/>
        <v>-2.70926740056605E-2</v>
      </c>
      <c r="K231">
        <f t="shared" si="9"/>
        <v>344.84323120117188</v>
      </c>
      <c r="L231" s="5">
        <f t="shared" si="10"/>
        <v>-0.21870023981791575</v>
      </c>
    </row>
    <row r="232" spans="1:12" x14ac:dyDescent="0.3">
      <c r="A232" s="2">
        <v>45343</v>
      </c>
      <c r="B232">
        <v>262.12646484375</v>
      </c>
      <c r="C232">
        <f t="shared" si="11"/>
        <v>8.9253448452504026E-3</v>
      </c>
      <c r="K232">
        <f t="shared" si="9"/>
        <v>344.84323120117188</v>
      </c>
      <c r="L232" s="5">
        <f t="shared" si="10"/>
        <v>-0.23986773952122964</v>
      </c>
    </row>
    <row r="233" spans="1:12" x14ac:dyDescent="0.3">
      <c r="A233" s="2">
        <v>45344</v>
      </c>
      <c r="B233">
        <v>264.46603393554688</v>
      </c>
      <c r="C233">
        <f t="shared" si="11"/>
        <v>-2.3000169743375939E-3</v>
      </c>
      <c r="K233">
        <f t="shared" si="9"/>
        <v>344.84323120117188</v>
      </c>
      <c r="L233" s="5">
        <f t="shared" si="10"/>
        <v>-0.23308329696845698</v>
      </c>
    </row>
    <row r="234" spans="1:12" x14ac:dyDescent="0.3">
      <c r="A234" s="2">
        <v>45345</v>
      </c>
      <c r="B234">
        <v>263.85775756835938</v>
      </c>
      <c r="C234">
        <f t="shared" si="11"/>
        <v>2.0748335866462658E-2</v>
      </c>
      <c r="K234">
        <f t="shared" si="9"/>
        <v>344.84323120117188</v>
      </c>
      <c r="L234" s="5">
        <f t="shared" si="10"/>
        <v>-0.23484721840333256</v>
      </c>
    </row>
    <row r="235" spans="1:12" x14ac:dyDescent="0.3">
      <c r="A235" s="2">
        <v>45348</v>
      </c>
      <c r="B235">
        <v>269.33236694335938</v>
      </c>
      <c r="C235">
        <f t="shared" si="11"/>
        <v>1.633077759030278E-2</v>
      </c>
      <c r="K235">
        <f t="shared" si="9"/>
        <v>344.84323120117188</v>
      </c>
      <c r="L235" s="5">
        <f t="shared" si="10"/>
        <v>-0.21897157150160673</v>
      </c>
    </row>
    <row r="236" spans="1:12" x14ac:dyDescent="0.3">
      <c r="A236" s="2">
        <v>45349</v>
      </c>
      <c r="B236">
        <v>273.73077392578119</v>
      </c>
      <c r="C236">
        <f t="shared" si="11"/>
        <v>-4.4273608328567041E-2</v>
      </c>
      <c r="K236">
        <f t="shared" si="9"/>
        <v>344.84323120117188</v>
      </c>
      <c r="L236" s="5">
        <f t="shared" si="10"/>
        <v>-0.20621676994409577</v>
      </c>
    </row>
    <row r="237" spans="1:12" x14ac:dyDescent="0.3">
      <c r="A237" s="2">
        <v>45350</v>
      </c>
      <c r="B237">
        <v>261.61172485351563</v>
      </c>
      <c r="C237">
        <f t="shared" si="11"/>
        <v>1.1804734048776709E-2</v>
      </c>
      <c r="K237">
        <f t="shared" si="9"/>
        <v>344.84323120117188</v>
      </c>
      <c r="L237" s="5">
        <f t="shared" si="10"/>
        <v>-0.24136041776937567</v>
      </c>
    </row>
    <row r="238" spans="1:12" x14ac:dyDescent="0.3">
      <c r="A238" s="2">
        <v>45351</v>
      </c>
      <c r="B238">
        <v>264.69998168945313</v>
      </c>
      <c r="C238">
        <f t="shared" si="11"/>
        <v>1.7146914075429728E-2</v>
      </c>
      <c r="K238">
        <f t="shared" si="9"/>
        <v>344.84323120117188</v>
      </c>
      <c r="L238" s="5">
        <f t="shared" si="10"/>
        <v>-0.23240487926226805</v>
      </c>
    </row>
    <row r="239" spans="1:12" x14ac:dyDescent="0.3">
      <c r="A239" s="2">
        <v>45352</v>
      </c>
      <c r="B239">
        <v>269.23876953125</v>
      </c>
      <c r="C239">
        <f t="shared" si="11"/>
        <v>2.4157214985101587E-2</v>
      </c>
      <c r="K239">
        <f t="shared" si="9"/>
        <v>344.84323120117188</v>
      </c>
      <c r="L239" s="5">
        <f t="shared" si="10"/>
        <v>-0.21924299168225914</v>
      </c>
    </row>
    <row r="240" spans="1:12" x14ac:dyDescent="0.3">
      <c r="A240" s="2">
        <v>45355</v>
      </c>
      <c r="B240">
        <v>275.74282836914063</v>
      </c>
      <c r="C240">
        <f t="shared" si="11"/>
        <v>1.187864677942155E-3</v>
      </c>
      <c r="K240">
        <f t="shared" si="9"/>
        <v>344.84323120117188</v>
      </c>
      <c r="L240" s="5">
        <f t="shared" si="10"/>
        <v>-0.20038207678120268</v>
      </c>
    </row>
    <row r="241" spans="1:12" x14ac:dyDescent="0.3">
      <c r="A241" s="2">
        <v>45356</v>
      </c>
      <c r="B241">
        <v>276.07037353515619</v>
      </c>
      <c r="C241">
        <f t="shared" si="11"/>
        <v>-4.4068972485244362E-3</v>
      </c>
      <c r="K241">
        <f t="shared" si="9"/>
        <v>344.84323120117188</v>
      </c>
      <c r="L241" s="5">
        <f t="shared" si="10"/>
        <v>-0.19943223889436157</v>
      </c>
    </row>
    <row r="242" spans="1:12" x14ac:dyDescent="0.3">
      <c r="A242" s="2">
        <v>45357</v>
      </c>
      <c r="B242">
        <v>274.853759765625</v>
      </c>
      <c r="C242">
        <f t="shared" si="11"/>
        <v>-3.5751211803862317E-3</v>
      </c>
      <c r="K242">
        <f t="shared" si="9"/>
        <v>344.84323120117188</v>
      </c>
      <c r="L242" s="5">
        <f t="shared" si="10"/>
        <v>-0.20296025875803536</v>
      </c>
    </row>
    <row r="243" spans="1:12" x14ac:dyDescent="0.3">
      <c r="A243" s="2">
        <v>45358</v>
      </c>
      <c r="B243">
        <v>273.87112426757813</v>
      </c>
      <c r="C243">
        <f t="shared" si="11"/>
        <v>-2.4261191153448734E-2</v>
      </c>
      <c r="K243">
        <f t="shared" si="9"/>
        <v>344.84323120117188</v>
      </c>
      <c r="L243" s="5">
        <f t="shared" si="10"/>
        <v>-0.20580977241855913</v>
      </c>
    </row>
    <row r="244" spans="1:12" x14ac:dyDescent="0.3">
      <c r="A244" s="2">
        <v>45362</v>
      </c>
      <c r="B244">
        <v>267.2266845703125</v>
      </c>
      <c r="C244">
        <f t="shared" si="11"/>
        <v>-1.4005621434356528E-3</v>
      </c>
      <c r="K244">
        <f t="shared" si="9"/>
        <v>344.84323120117188</v>
      </c>
      <c r="L244" s="5">
        <f t="shared" si="10"/>
        <v>-0.22507777334211343</v>
      </c>
    </row>
    <row r="245" spans="1:12" x14ac:dyDescent="0.3">
      <c r="A245" s="2">
        <v>45363</v>
      </c>
      <c r="B245">
        <v>266.8524169921875</v>
      </c>
      <c r="C245">
        <f t="shared" si="11"/>
        <v>-7.3119500653002684E-2</v>
      </c>
      <c r="K245">
        <f t="shared" si="9"/>
        <v>344.84323120117188</v>
      </c>
      <c r="L245" s="5">
        <f t="shared" si="10"/>
        <v>-0.22616310007687734</v>
      </c>
    </row>
    <row r="246" spans="1:12" x14ac:dyDescent="0.3">
      <c r="A246" s="2">
        <v>45364</v>
      </c>
      <c r="B246">
        <v>247.3403015136719</v>
      </c>
      <c r="C246">
        <f t="shared" si="11"/>
        <v>7.7563462950010027E-3</v>
      </c>
      <c r="K246">
        <f t="shared" si="9"/>
        <v>344.84323120117188</v>
      </c>
      <c r="L246" s="5">
        <f t="shared" si="10"/>
        <v>-0.28274566778612364</v>
      </c>
    </row>
    <row r="247" spans="1:12" x14ac:dyDescent="0.3">
      <c r="A247" s="2">
        <v>45365</v>
      </c>
      <c r="B247">
        <v>249.2587585449219</v>
      </c>
      <c r="C247">
        <f t="shared" si="11"/>
        <v>-1.5017059247077829E-3</v>
      </c>
      <c r="K247">
        <f t="shared" si="9"/>
        <v>344.84323120117188</v>
      </c>
      <c r="L247" s="5">
        <f t="shared" si="10"/>
        <v>-0.27718239480388318</v>
      </c>
    </row>
    <row r="248" spans="1:12" x14ac:dyDescent="0.3">
      <c r="A248" s="2">
        <v>45366</v>
      </c>
      <c r="B248">
        <v>248.88444519042969</v>
      </c>
      <c r="C248">
        <f t="shared" si="11"/>
        <v>-3.9480982369386282E-3</v>
      </c>
      <c r="K248">
        <f t="shared" si="9"/>
        <v>344.84323120117188</v>
      </c>
      <c r="L248" s="5">
        <f t="shared" si="10"/>
        <v>-0.27826785428408918</v>
      </c>
    </row>
    <row r="249" spans="1:12" x14ac:dyDescent="0.3">
      <c r="A249" s="2">
        <v>45369</v>
      </c>
      <c r="B249">
        <v>247.9018249511719</v>
      </c>
      <c r="C249">
        <f t="shared" si="11"/>
        <v>-2.227268233995593E-2</v>
      </c>
      <c r="K249">
        <f t="shared" si="9"/>
        <v>344.84323120117188</v>
      </c>
      <c r="L249" s="5">
        <f t="shared" si="10"/>
        <v>-0.28111732369613218</v>
      </c>
    </row>
    <row r="250" spans="1:12" x14ac:dyDescent="0.3">
      <c r="A250" s="2">
        <v>45370</v>
      </c>
      <c r="B250">
        <v>242.38038635253909</v>
      </c>
      <c r="C250">
        <f t="shared" si="11"/>
        <v>2.1814846177511737E-2</v>
      </c>
      <c r="K250">
        <f t="shared" si="9"/>
        <v>344.84323120117188</v>
      </c>
      <c r="L250" s="5">
        <f t="shared" si="10"/>
        <v>-0.29712876918514552</v>
      </c>
    </row>
    <row r="251" spans="1:12" x14ac:dyDescent="0.3">
      <c r="A251" s="2">
        <v>45371</v>
      </c>
      <c r="B251">
        <v>247.6678771972656</v>
      </c>
      <c r="C251">
        <f t="shared" si="11"/>
        <v>3.4384845644446049E-2</v>
      </c>
      <c r="K251">
        <f t="shared" si="9"/>
        <v>344.84323120117188</v>
      </c>
      <c r="L251" s="5">
        <f t="shared" si="10"/>
        <v>-0.28179574140232111</v>
      </c>
    </row>
    <row r="252" spans="1:12" x14ac:dyDescent="0.3">
      <c r="A252" s="2">
        <v>45372</v>
      </c>
      <c r="B252">
        <v>256.18389892578119</v>
      </c>
      <c r="C252">
        <f t="shared" si="11"/>
        <v>7.3060957749919459E-3</v>
      </c>
      <c r="K252">
        <f t="shared" si="9"/>
        <v>344.84323120117188</v>
      </c>
      <c r="L252" s="5">
        <f t="shared" si="10"/>
        <v>-0.25710039882925617</v>
      </c>
    </row>
    <row r="253" spans="1:12" x14ac:dyDescent="0.3">
      <c r="A253" s="2">
        <v>45373</v>
      </c>
      <c r="B253">
        <v>258.05560302734381</v>
      </c>
      <c r="C253">
        <f t="shared" si="11"/>
        <v>-2.0671026822955636E-2</v>
      </c>
      <c r="K253">
        <f t="shared" si="9"/>
        <v>344.84323120117188</v>
      </c>
      <c r="L253" s="5">
        <f t="shared" si="10"/>
        <v>-0.25167270319189938</v>
      </c>
    </row>
    <row r="254" spans="1:12" x14ac:dyDescent="0.3">
      <c r="A254" s="2">
        <v>45377</v>
      </c>
      <c r="B254">
        <v>252.72132873535159</v>
      </c>
      <c r="C254">
        <f t="shared" si="11"/>
        <v>7.4065598802551275E-4</v>
      </c>
      <c r="K254">
        <f t="shared" si="9"/>
        <v>344.84323120117188</v>
      </c>
      <c r="L254" s="5">
        <f t="shared" si="10"/>
        <v>-0.26714139681656957</v>
      </c>
    </row>
    <row r="255" spans="1:12" x14ac:dyDescent="0.3">
      <c r="A255" s="2">
        <v>45378</v>
      </c>
      <c r="B255">
        <v>252.90850830078119</v>
      </c>
      <c r="C255">
        <f t="shared" si="11"/>
        <v>2.4606790192132855E-2</v>
      </c>
      <c r="K255">
        <f t="shared" si="9"/>
        <v>344.84323120117188</v>
      </c>
      <c r="L255" s="5">
        <f t="shared" si="10"/>
        <v>-0.26659860070374575</v>
      </c>
    </row>
    <row r="256" spans="1:12" x14ac:dyDescent="0.3">
      <c r="A256" s="2">
        <v>45379</v>
      </c>
      <c r="B256">
        <v>259.13177490234381</v>
      </c>
      <c r="C256">
        <f t="shared" si="11"/>
        <v>1.1737168820064715E-2</v>
      </c>
      <c r="K256">
        <f t="shared" si="9"/>
        <v>344.84323120117188</v>
      </c>
      <c r="L256" s="5">
        <f t="shared" si="10"/>
        <v>-0.24855194634464617</v>
      </c>
    </row>
    <row r="257" spans="1:12" x14ac:dyDescent="0.3">
      <c r="A257" s="2">
        <v>45383</v>
      </c>
      <c r="B257">
        <v>262.17324829101563</v>
      </c>
      <c r="C257">
        <f t="shared" si="11"/>
        <v>-2.1418029534298706E-3</v>
      </c>
      <c r="K257">
        <f t="shared" si="9"/>
        <v>344.84323120117188</v>
      </c>
      <c r="L257" s="5">
        <f t="shared" si="10"/>
        <v>-0.23973207367938421</v>
      </c>
    </row>
    <row r="258" spans="1:12" x14ac:dyDescent="0.3">
      <c r="A258" s="2">
        <v>45384</v>
      </c>
      <c r="B258">
        <v>261.61172485351563</v>
      </c>
      <c r="C258">
        <f t="shared" si="11"/>
        <v>1.9675723269765282E-3</v>
      </c>
      <c r="K258">
        <f t="shared" ref="K258:K321" si="12">MAX(B258:B997)</f>
        <v>344.84323120117188</v>
      </c>
      <c r="L258" s="5">
        <f t="shared" ref="L258:L321" si="13">B258/K258-1</f>
        <v>-0.24136041776937567</v>
      </c>
    </row>
    <row r="259" spans="1:12" x14ac:dyDescent="0.3">
      <c r="A259" s="2">
        <v>45385</v>
      </c>
      <c r="B259">
        <v>262.12646484375</v>
      </c>
      <c r="C259">
        <f t="shared" ref="C259:C322" si="14">(B260-B259)/B259</f>
        <v>-8.7471010645729132E-3</v>
      </c>
      <c r="K259">
        <f t="shared" si="12"/>
        <v>344.84323120117188</v>
      </c>
      <c r="L259" s="5">
        <f t="shared" si="13"/>
        <v>-0.23986773952122964</v>
      </c>
    </row>
    <row r="260" spans="1:12" x14ac:dyDescent="0.3">
      <c r="A260" s="2">
        <v>45386</v>
      </c>
      <c r="B260">
        <v>259.8336181640625</v>
      </c>
      <c r="C260">
        <f t="shared" si="14"/>
        <v>2.7013605931154299E-3</v>
      </c>
      <c r="K260">
        <f t="shared" si="12"/>
        <v>344.84323120117188</v>
      </c>
      <c r="L260" s="5">
        <f t="shared" si="13"/>
        <v>-0.24651669322607972</v>
      </c>
    </row>
    <row r="261" spans="1:12" x14ac:dyDescent="0.3">
      <c r="A261" s="2">
        <v>45387</v>
      </c>
      <c r="B261">
        <v>260.5355224609375</v>
      </c>
      <c r="C261">
        <f t="shared" si="14"/>
        <v>1.2033062722466825E-2</v>
      </c>
      <c r="K261">
        <f t="shared" si="12"/>
        <v>344.84323120117188</v>
      </c>
      <c r="L261" s="5">
        <f t="shared" si="13"/>
        <v>-0.24448126311359031</v>
      </c>
    </row>
    <row r="262" spans="1:12" x14ac:dyDescent="0.3">
      <c r="A262" s="2">
        <v>45390</v>
      </c>
      <c r="B262">
        <v>263.67056274414063</v>
      </c>
      <c r="C262">
        <f t="shared" si="14"/>
        <v>-1.9520930486112372E-3</v>
      </c>
      <c r="K262">
        <f t="shared" si="12"/>
        <v>344.84323120117188</v>
      </c>
      <c r="L262" s="5">
        <f t="shared" si="13"/>
        <v>-0.23539005876463726</v>
      </c>
    </row>
    <row r="263" spans="1:12" x14ac:dyDescent="0.3">
      <c r="A263" s="2">
        <v>45391</v>
      </c>
      <c r="B263">
        <v>263.15585327148438</v>
      </c>
      <c r="C263">
        <f t="shared" si="14"/>
        <v>4.8008306998035856E-3</v>
      </c>
      <c r="K263">
        <f t="shared" si="12"/>
        <v>344.84323120117188</v>
      </c>
      <c r="L263" s="5">
        <f t="shared" si="13"/>
        <v>-0.23688264851582186</v>
      </c>
    </row>
    <row r="264" spans="1:12" x14ac:dyDescent="0.3">
      <c r="A264" s="2">
        <v>45392</v>
      </c>
      <c r="B264">
        <v>264.41921997070313</v>
      </c>
      <c r="C264">
        <f t="shared" si="14"/>
        <v>-2.5836145674603544E-2</v>
      </c>
      <c r="K264">
        <f t="shared" si="12"/>
        <v>344.84323120117188</v>
      </c>
      <c r="L264" s="5">
        <f t="shared" si="13"/>
        <v>-0.23321905130726384</v>
      </c>
    </row>
    <row r="265" spans="1:12" x14ac:dyDescent="0.3">
      <c r="A265" s="2">
        <v>45394</v>
      </c>
      <c r="B265">
        <v>257.587646484375</v>
      </c>
      <c r="C265">
        <f t="shared" si="14"/>
        <v>-4.3596261512173331E-3</v>
      </c>
      <c r="K265">
        <f t="shared" si="12"/>
        <v>344.84323120117188</v>
      </c>
      <c r="L265" s="5">
        <f t="shared" si="13"/>
        <v>-0.25302971559820009</v>
      </c>
    </row>
    <row r="266" spans="1:12" x14ac:dyDescent="0.3">
      <c r="A266" s="2">
        <v>45397</v>
      </c>
      <c r="B266">
        <v>256.46466064453119</v>
      </c>
      <c r="C266">
        <f t="shared" si="14"/>
        <v>7.2978595245953978E-4</v>
      </c>
      <c r="K266">
        <f t="shared" si="12"/>
        <v>344.84323120117188</v>
      </c>
      <c r="L266" s="5">
        <f t="shared" si="13"/>
        <v>-0.25628622678426038</v>
      </c>
    </row>
    <row r="267" spans="1:12" x14ac:dyDescent="0.3">
      <c r="A267" s="2">
        <v>45398</v>
      </c>
      <c r="B267">
        <v>256.65182495117188</v>
      </c>
      <c r="C267">
        <f t="shared" si="14"/>
        <v>2.1330999277405012E-2</v>
      </c>
      <c r="K267">
        <f t="shared" si="12"/>
        <v>344.84323120117188</v>
      </c>
      <c r="L267" s="5">
        <f t="shared" si="13"/>
        <v>-0.25574347491991689</v>
      </c>
    </row>
    <row r="268" spans="1:12" x14ac:dyDescent="0.3">
      <c r="A268" s="2">
        <v>45400</v>
      </c>
      <c r="B268">
        <v>262.12646484375</v>
      </c>
      <c r="C268">
        <f t="shared" si="14"/>
        <v>5.5337068186686782E-3</v>
      </c>
      <c r="K268">
        <f t="shared" si="12"/>
        <v>344.84323120117188</v>
      </c>
      <c r="L268" s="5">
        <f t="shared" si="13"/>
        <v>-0.23986773952122964</v>
      </c>
    </row>
    <row r="269" spans="1:12" x14ac:dyDescent="0.3">
      <c r="A269" s="2">
        <v>45401</v>
      </c>
      <c r="B269">
        <v>263.57699584960938</v>
      </c>
      <c r="C269">
        <f t="shared" si="14"/>
        <v>7.1008190331451441E-3</v>
      </c>
      <c r="K269">
        <f t="shared" si="12"/>
        <v>344.84323120117188</v>
      </c>
      <c r="L269" s="5">
        <f t="shared" si="13"/>
        <v>-0.23566139044832823</v>
      </c>
    </row>
    <row r="270" spans="1:12" x14ac:dyDescent="0.3">
      <c r="A270" s="2">
        <v>45404</v>
      </c>
      <c r="B270">
        <v>265.4486083984375</v>
      </c>
      <c r="C270">
        <f t="shared" si="14"/>
        <v>5.993525112034416E-3</v>
      </c>
      <c r="K270">
        <f t="shared" si="12"/>
        <v>344.84323120117188</v>
      </c>
      <c r="L270" s="5">
        <f t="shared" si="13"/>
        <v>-0.23023396030185606</v>
      </c>
    </row>
    <row r="271" spans="1:12" x14ac:dyDescent="0.3">
      <c r="A271" s="2">
        <v>45405</v>
      </c>
      <c r="B271">
        <v>267.03958129882813</v>
      </c>
      <c r="C271">
        <f t="shared" si="14"/>
        <v>1.7697457462573223E-2</v>
      </c>
      <c r="K271">
        <f t="shared" si="12"/>
        <v>344.84323120117188</v>
      </c>
      <c r="L271" s="5">
        <f t="shared" si="13"/>
        <v>-0.22562034821253396</v>
      </c>
    </row>
    <row r="272" spans="1:12" x14ac:dyDescent="0.3">
      <c r="A272" s="2">
        <v>45406</v>
      </c>
      <c r="B272">
        <v>271.7655029296875</v>
      </c>
      <c r="C272">
        <f t="shared" si="14"/>
        <v>9.9862866824508914E-3</v>
      </c>
      <c r="K272">
        <f t="shared" si="12"/>
        <v>344.84323120117188</v>
      </c>
      <c r="L272" s="5">
        <f t="shared" si="13"/>
        <v>-0.21191579726514298</v>
      </c>
    </row>
    <row r="273" spans="1:12" x14ac:dyDescent="0.3">
      <c r="A273" s="2">
        <v>45407</v>
      </c>
      <c r="B273">
        <v>274.47943115234381</v>
      </c>
      <c r="C273">
        <f t="shared" si="14"/>
        <v>-3.5801080303157315E-3</v>
      </c>
      <c r="K273">
        <f t="shared" si="12"/>
        <v>344.84323120117188</v>
      </c>
      <c r="L273" s="5">
        <f t="shared" si="13"/>
        <v>-0.20404576248672202</v>
      </c>
    </row>
    <row r="274" spans="1:12" x14ac:dyDescent="0.3">
      <c r="A274" s="2">
        <v>45408</v>
      </c>
      <c r="B274">
        <v>273.49676513671881</v>
      </c>
      <c r="C274">
        <f t="shared" si="14"/>
        <v>4.9616478214206394E-3</v>
      </c>
      <c r="K274">
        <f t="shared" si="12"/>
        <v>344.84323120117188</v>
      </c>
      <c r="L274" s="5">
        <f t="shared" si="13"/>
        <v>-0.2068953646442071</v>
      </c>
    </row>
    <row r="275" spans="1:12" x14ac:dyDescent="0.3">
      <c r="A275" s="2">
        <v>45411</v>
      </c>
      <c r="B275">
        <v>274.853759765625</v>
      </c>
      <c r="C275">
        <f t="shared" si="14"/>
        <v>2.7749575635480871E-2</v>
      </c>
      <c r="K275">
        <f t="shared" si="12"/>
        <v>344.84323120117188</v>
      </c>
      <c r="L275" s="5">
        <f t="shared" si="13"/>
        <v>-0.20296025875803536</v>
      </c>
    </row>
    <row r="276" spans="1:12" x14ac:dyDescent="0.3">
      <c r="A276" s="2">
        <v>45412</v>
      </c>
      <c r="B276">
        <v>282.4808349609375</v>
      </c>
      <c r="C276">
        <f t="shared" si="14"/>
        <v>3.8926650426972381E-2</v>
      </c>
      <c r="K276">
        <f t="shared" si="12"/>
        <v>344.84323120117188</v>
      </c>
      <c r="L276" s="5">
        <f t="shared" si="13"/>
        <v>-0.1808427441739574</v>
      </c>
    </row>
    <row r="277" spans="1:12" x14ac:dyDescent="0.3">
      <c r="A277" s="2">
        <v>45414</v>
      </c>
      <c r="B277">
        <v>293.47686767578119</v>
      </c>
      <c r="C277">
        <f t="shared" si="14"/>
        <v>-8.7692699640725368E-3</v>
      </c>
      <c r="K277">
        <f t="shared" si="12"/>
        <v>344.84323120117188</v>
      </c>
      <c r="L277" s="5">
        <f t="shared" si="13"/>
        <v>-0.14895569603169911</v>
      </c>
    </row>
    <row r="278" spans="1:12" x14ac:dyDescent="0.3">
      <c r="A278" s="2">
        <v>45415</v>
      </c>
      <c r="B278">
        <v>290.90328979492188</v>
      </c>
      <c r="C278">
        <f t="shared" si="14"/>
        <v>-1.2868117401442399E-2</v>
      </c>
      <c r="K278">
        <f t="shared" si="12"/>
        <v>344.84323120117188</v>
      </c>
      <c r="L278" s="5">
        <f t="shared" si="13"/>
        <v>-0.15641873328458333</v>
      </c>
    </row>
    <row r="279" spans="1:12" x14ac:dyDescent="0.3">
      <c r="A279" s="2">
        <v>45418</v>
      </c>
      <c r="B279">
        <v>287.159912109375</v>
      </c>
      <c r="C279">
        <f t="shared" si="14"/>
        <v>-3.7803294828206262E-2</v>
      </c>
      <c r="K279">
        <f t="shared" si="12"/>
        <v>344.84323120117188</v>
      </c>
      <c r="L279" s="5">
        <f t="shared" si="13"/>
        <v>-0.16727403606233482</v>
      </c>
    </row>
    <row r="280" spans="1:12" x14ac:dyDescent="0.3">
      <c r="A280" s="2">
        <v>45419</v>
      </c>
      <c r="B280">
        <v>276.3043212890625</v>
      </c>
      <c r="C280">
        <f t="shared" si="14"/>
        <v>2.2861870080870664E-2</v>
      </c>
      <c r="K280">
        <f t="shared" si="12"/>
        <v>344.84323120117188</v>
      </c>
      <c r="L280" s="5">
        <f t="shared" si="13"/>
        <v>-0.19875382118817264</v>
      </c>
    </row>
    <row r="281" spans="1:12" x14ac:dyDescent="0.3">
      <c r="A281" s="2">
        <v>45420</v>
      </c>
      <c r="B281">
        <v>282.62115478515619</v>
      </c>
      <c r="C281">
        <f t="shared" si="14"/>
        <v>-1.9370732744983299E-2</v>
      </c>
      <c r="K281">
        <f t="shared" si="12"/>
        <v>344.84323120117188</v>
      </c>
      <c r="L281" s="5">
        <f t="shared" si="13"/>
        <v>-0.18043583514538253</v>
      </c>
    </row>
    <row r="282" spans="1:12" x14ac:dyDescent="0.3">
      <c r="A282" s="2">
        <v>45421</v>
      </c>
      <c r="B282">
        <v>277.14657592773438</v>
      </c>
      <c r="C282">
        <f t="shared" si="14"/>
        <v>2.5662610709484373E-2</v>
      </c>
      <c r="K282">
        <f t="shared" si="12"/>
        <v>344.84323120117188</v>
      </c>
      <c r="L282" s="5">
        <f t="shared" si="13"/>
        <v>-0.19631139355014671</v>
      </c>
    </row>
    <row r="283" spans="1:12" x14ac:dyDescent="0.3">
      <c r="A283" s="2">
        <v>45422</v>
      </c>
      <c r="B283">
        <v>284.25888061523438</v>
      </c>
      <c r="C283">
        <f t="shared" si="14"/>
        <v>9.2180067947130288E-3</v>
      </c>
      <c r="K283">
        <f t="shared" si="12"/>
        <v>344.84323120117188</v>
      </c>
      <c r="L283" s="5">
        <f t="shared" si="13"/>
        <v>-0.1756866457111762</v>
      </c>
    </row>
    <row r="284" spans="1:12" x14ac:dyDescent="0.3">
      <c r="A284" s="2">
        <v>45425</v>
      </c>
      <c r="B284">
        <v>286.87918090820313</v>
      </c>
      <c r="C284">
        <f t="shared" si="14"/>
        <v>8.8078696599537664E-3</v>
      </c>
      <c r="K284">
        <f t="shared" si="12"/>
        <v>344.84323120117188</v>
      </c>
      <c r="L284" s="5">
        <f t="shared" si="13"/>
        <v>-0.16808811961036907</v>
      </c>
    </row>
    <row r="285" spans="1:12" x14ac:dyDescent="0.3">
      <c r="A285" s="2">
        <v>45426</v>
      </c>
      <c r="B285">
        <v>289.40597534179688</v>
      </c>
      <c r="C285">
        <f t="shared" si="14"/>
        <v>1.8108233934445505E-2</v>
      </c>
      <c r="K285">
        <f t="shared" si="12"/>
        <v>344.84323120117188</v>
      </c>
      <c r="L285" s="5">
        <f t="shared" si="13"/>
        <v>-0.16076074819933017</v>
      </c>
    </row>
    <row r="286" spans="1:12" x14ac:dyDescent="0.3">
      <c r="A286" s="2">
        <v>45427</v>
      </c>
      <c r="B286">
        <v>294.6466064453125</v>
      </c>
      <c r="C286">
        <f t="shared" si="14"/>
        <v>-7.4638166003451068E-3</v>
      </c>
      <c r="K286">
        <f t="shared" si="12"/>
        <v>344.84323120117188</v>
      </c>
      <c r="L286" s="5">
        <f t="shared" si="13"/>
        <v>-0.1455636075007547</v>
      </c>
    </row>
    <row r="287" spans="1:12" x14ac:dyDescent="0.3">
      <c r="A287" s="2">
        <v>45428</v>
      </c>
      <c r="B287">
        <v>292.44741821289063</v>
      </c>
      <c r="C287">
        <f t="shared" si="14"/>
        <v>2.0798468775217399E-3</v>
      </c>
      <c r="K287">
        <f t="shared" si="12"/>
        <v>344.84323120117188</v>
      </c>
      <c r="L287" s="5">
        <f t="shared" si="13"/>
        <v>-0.15194096403102952</v>
      </c>
    </row>
    <row r="288" spans="1:12" x14ac:dyDescent="0.3">
      <c r="A288" s="2">
        <v>45429</v>
      </c>
      <c r="B288">
        <v>293.0556640625</v>
      </c>
      <c r="C288">
        <f t="shared" si="14"/>
        <v>3.9917116255511059E-2</v>
      </c>
      <c r="K288">
        <f t="shared" si="12"/>
        <v>344.84323120117188</v>
      </c>
      <c r="L288" s="5">
        <f t="shared" si="13"/>
        <v>-0.15017713109311537</v>
      </c>
    </row>
    <row r="289" spans="1:12" x14ac:dyDescent="0.3">
      <c r="A289" s="2">
        <v>45433</v>
      </c>
      <c r="B289">
        <v>304.75360107421881</v>
      </c>
      <c r="C289">
        <f t="shared" si="14"/>
        <v>3.0702473802239388E-4</v>
      </c>
      <c r="K289">
        <f t="shared" si="12"/>
        <v>344.84323120117188</v>
      </c>
      <c r="L289" s="5">
        <f t="shared" si="13"/>
        <v>-0.11625465283836733</v>
      </c>
    </row>
    <row r="290" spans="1:12" x14ac:dyDescent="0.3">
      <c r="A290" s="2">
        <v>45434</v>
      </c>
      <c r="B290">
        <v>304.84716796875</v>
      </c>
      <c r="C290">
        <f t="shared" si="14"/>
        <v>-1.7958637861248992E-2</v>
      </c>
      <c r="K290">
        <f t="shared" si="12"/>
        <v>344.84323120117188</v>
      </c>
      <c r="L290" s="5">
        <f t="shared" si="13"/>
        <v>-0.11598332115467647</v>
      </c>
    </row>
    <row r="291" spans="1:12" x14ac:dyDescent="0.3">
      <c r="A291" s="2">
        <v>45435</v>
      </c>
      <c r="B291">
        <v>299.37252807617188</v>
      </c>
      <c r="C291">
        <f t="shared" si="14"/>
        <v>-3.4385885436040288E-3</v>
      </c>
      <c r="K291">
        <f t="shared" si="12"/>
        <v>344.84323120117188</v>
      </c>
      <c r="L291" s="5">
        <f t="shared" si="13"/>
        <v>-0.13185905655336372</v>
      </c>
    </row>
    <row r="292" spans="1:12" x14ac:dyDescent="0.3">
      <c r="A292" s="2">
        <v>45436</v>
      </c>
      <c r="B292">
        <v>298.34310913085938</v>
      </c>
      <c r="C292">
        <f t="shared" si="14"/>
        <v>-2.6660919320952606E-3</v>
      </c>
      <c r="K292">
        <f t="shared" si="12"/>
        <v>344.84323120117188</v>
      </c>
      <c r="L292" s="5">
        <f t="shared" si="13"/>
        <v>-0.13484423605573292</v>
      </c>
    </row>
    <row r="293" spans="1:12" x14ac:dyDescent="0.3">
      <c r="A293" s="2">
        <v>45439</v>
      </c>
      <c r="B293">
        <v>297.54769897460938</v>
      </c>
      <c r="C293">
        <f t="shared" si="14"/>
        <v>-1.619756959020591E-2</v>
      </c>
      <c r="K293">
        <f t="shared" si="12"/>
        <v>344.84323120117188</v>
      </c>
      <c r="L293" s="5">
        <f t="shared" si="13"/>
        <v>-0.13715082085799046</v>
      </c>
    </row>
    <row r="294" spans="1:12" x14ac:dyDescent="0.3">
      <c r="A294" s="2">
        <v>45440</v>
      </c>
      <c r="B294">
        <v>292.7281494140625</v>
      </c>
      <c r="C294">
        <f t="shared" si="14"/>
        <v>1.5664948172019605E-2</v>
      </c>
      <c r="K294">
        <f t="shared" si="12"/>
        <v>344.84323120117188</v>
      </c>
      <c r="L294" s="5">
        <f t="shared" si="13"/>
        <v>-0.15112688048299516</v>
      </c>
    </row>
    <row r="295" spans="1:12" x14ac:dyDescent="0.3">
      <c r="A295" s="2">
        <v>45441</v>
      </c>
      <c r="B295">
        <v>297.313720703125</v>
      </c>
      <c r="C295">
        <f t="shared" si="14"/>
        <v>-3.4623791978466226E-2</v>
      </c>
      <c r="K295">
        <f t="shared" si="12"/>
        <v>344.84323120117188</v>
      </c>
      <c r="L295" s="5">
        <f t="shared" si="13"/>
        <v>-0.13782932706114071</v>
      </c>
    </row>
    <row r="296" spans="1:12" x14ac:dyDescent="0.3">
      <c r="A296" s="2">
        <v>45442</v>
      </c>
      <c r="B296">
        <v>287.01959228515619</v>
      </c>
      <c r="C296">
        <f t="shared" si="14"/>
        <v>1.0759635932069944E-2</v>
      </c>
      <c r="K296">
        <f t="shared" si="12"/>
        <v>344.84323120117188</v>
      </c>
      <c r="L296" s="5">
        <f t="shared" si="13"/>
        <v>-0.16768094509091003</v>
      </c>
    </row>
    <row r="297" spans="1:12" x14ac:dyDescent="0.3">
      <c r="A297" s="2">
        <v>45443</v>
      </c>
      <c r="B297">
        <v>290.10781860351563</v>
      </c>
      <c r="C297">
        <f t="shared" si="14"/>
        <v>8.9193607618059598E-2</v>
      </c>
      <c r="K297">
        <f t="shared" si="12"/>
        <v>344.84323120117188</v>
      </c>
      <c r="L297" s="5">
        <f t="shared" si="13"/>
        <v>-0.15872549508076361</v>
      </c>
    </row>
    <row r="298" spans="1:12" x14ac:dyDescent="0.3">
      <c r="A298" s="2">
        <v>45446</v>
      </c>
      <c r="B298">
        <v>315.98358154296881</v>
      </c>
      <c r="C298">
        <f t="shared" si="14"/>
        <v>-0.12350062535311926</v>
      </c>
      <c r="K298">
        <f t="shared" si="12"/>
        <v>344.84323120117188</v>
      </c>
      <c r="L298" s="5">
        <f t="shared" si="13"/>
        <v>-8.3689186989919895E-2</v>
      </c>
    </row>
    <row r="299" spans="1:12" x14ac:dyDescent="0.3">
      <c r="A299" s="2">
        <v>45447</v>
      </c>
      <c r="B299">
        <v>276.95941162109381</v>
      </c>
      <c r="C299">
        <f t="shared" si="14"/>
        <v>9.6297620183601832E-3</v>
      </c>
      <c r="K299">
        <f t="shared" si="12"/>
        <v>344.84323120117188</v>
      </c>
      <c r="L299" s="5">
        <f t="shared" si="13"/>
        <v>-0.19685414541448998</v>
      </c>
    </row>
    <row r="300" spans="1:12" x14ac:dyDescent="0.3">
      <c r="A300" s="2">
        <v>45448</v>
      </c>
      <c r="B300">
        <v>279.62646484375</v>
      </c>
      <c r="C300">
        <f t="shared" si="14"/>
        <v>5.5223294189549049E-3</v>
      </c>
      <c r="K300">
        <f t="shared" si="12"/>
        <v>344.84323120117188</v>
      </c>
      <c r="L300" s="5">
        <f t="shared" si="13"/>
        <v>-0.18912004196879895</v>
      </c>
    </row>
    <row r="301" spans="1:12" x14ac:dyDescent="0.3">
      <c r="A301" s="2">
        <v>45449</v>
      </c>
      <c r="B301">
        <v>281.170654296875</v>
      </c>
      <c r="C301">
        <f t="shared" si="14"/>
        <v>2.9622072199188137E-2</v>
      </c>
      <c r="K301">
        <f t="shared" si="12"/>
        <v>344.84323120117188</v>
      </c>
      <c r="L301" s="5">
        <f t="shared" si="13"/>
        <v>-0.1846420957213224</v>
      </c>
    </row>
    <row r="302" spans="1:12" x14ac:dyDescent="0.3">
      <c r="A302" s="2">
        <v>45450</v>
      </c>
      <c r="B302">
        <v>289.49951171875</v>
      </c>
      <c r="C302">
        <f t="shared" si="14"/>
        <v>2.0850129449565269E-2</v>
      </c>
      <c r="K302">
        <f t="shared" si="12"/>
        <v>344.84323120117188</v>
      </c>
      <c r="L302" s="5">
        <f t="shared" si="13"/>
        <v>-0.16048950501260062</v>
      </c>
    </row>
    <row r="303" spans="1:12" x14ac:dyDescent="0.3">
      <c r="A303" s="2">
        <v>45453</v>
      </c>
      <c r="B303">
        <v>295.53561401367188</v>
      </c>
      <c r="C303">
        <f t="shared" si="14"/>
        <v>2.3750244085388944E-3</v>
      </c>
      <c r="K303">
        <f t="shared" si="12"/>
        <v>344.84323120117188</v>
      </c>
      <c r="L303" s="5">
        <f t="shared" si="13"/>
        <v>-0.14298560251784476</v>
      </c>
    </row>
    <row r="304" spans="1:12" x14ac:dyDescent="0.3">
      <c r="A304" s="2">
        <v>45454</v>
      </c>
      <c r="B304">
        <v>296.23751831054688</v>
      </c>
      <c r="C304">
        <f t="shared" si="14"/>
        <v>2.5588457781105006E-2</v>
      </c>
      <c r="K304">
        <f t="shared" si="12"/>
        <v>344.84323120117188</v>
      </c>
      <c r="L304" s="5">
        <f t="shared" si="13"/>
        <v>-0.14095017240535535</v>
      </c>
    </row>
    <row r="305" spans="1:12" x14ac:dyDescent="0.3">
      <c r="A305" s="2">
        <v>45455</v>
      </c>
      <c r="B305">
        <v>303.81777954101563</v>
      </c>
      <c r="C305">
        <f t="shared" si="14"/>
        <v>-9.8568620504382448E-3</v>
      </c>
      <c r="K305">
        <f t="shared" si="12"/>
        <v>344.84323120117188</v>
      </c>
      <c r="L305" s="5">
        <f t="shared" si="13"/>
        <v>-0.11896841216008425</v>
      </c>
    </row>
    <row r="306" spans="1:12" x14ac:dyDescent="0.3">
      <c r="A306" s="2">
        <v>45456</v>
      </c>
      <c r="B306">
        <v>300.82308959960938</v>
      </c>
      <c r="C306">
        <f t="shared" si="14"/>
        <v>1.5551813967436146E-4</v>
      </c>
      <c r="K306">
        <f t="shared" si="12"/>
        <v>344.84323120117188</v>
      </c>
      <c r="L306" s="5">
        <f t="shared" si="13"/>
        <v>-0.12765261898350089</v>
      </c>
    </row>
    <row r="307" spans="1:12" x14ac:dyDescent="0.3">
      <c r="A307" s="2">
        <v>45457</v>
      </c>
      <c r="B307">
        <v>300.869873046875</v>
      </c>
      <c r="C307">
        <f t="shared" si="14"/>
        <v>3.2037333967345663E-2</v>
      </c>
      <c r="K307">
        <f t="shared" si="12"/>
        <v>344.84323120117188</v>
      </c>
      <c r="L307" s="5">
        <f t="shared" si="13"/>
        <v>-0.12751695314165545</v>
      </c>
    </row>
    <row r="308" spans="1:12" x14ac:dyDescent="0.3">
      <c r="A308" s="2">
        <v>45461</v>
      </c>
      <c r="B308">
        <v>310.50894165039063</v>
      </c>
      <c r="C308">
        <f t="shared" si="14"/>
        <v>-1.3562387779875234E-2</v>
      </c>
      <c r="K308">
        <f t="shared" si="12"/>
        <v>344.84323120117188</v>
      </c>
      <c r="L308" s="5">
        <f t="shared" si="13"/>
        <v>-9.9564922388607369E-2</v>
      </c>
    </row>
    <row r="309" spans="1:12" x14ac:dyDescent="0.3">
      <c r="A309" s="2">
        <v>45462</v>
      </c>
      <c r="B309">
        <v>306.29769897460938</v>
      </c>
      <c r="C309">
        <f t="shared" si="14"/>
        <v>-8.4021113181610447E-3</v>
      </c>
      <c r="K309">
        <f t="shared" si="12"/>
        <v>344.84323120117188</v>
      </c>
      <c r="L309" s="5">
        <f t="shared" si="13"/>
        <v>-0.11177697208177506</v>
      </c>
    </row>
    <row r="310" spans="1:12" x14ac:dyDescent="0.3">
      <c r="A310" s="2">
        <v>45463</v>
      </c>
      <c r="B310">
        <v>303.72415161132813</v>
      </c>
      <c r="C310">
        <f t="shared" si="14"/>
        <v>4.3138195454319427E-3</v>
      </c>
      <c r="K310">
        <f t="shared" si="12"/>
        <v>344.84323120117188</v>
      </c>
      <c r="L310" s="5">
        <f t="shared" si="13"/>
        <v>-0.11923992083769808</v>
      </c>
    </row>
    <row r="311" spans="1:12" x14ac:dyDescent="0.3">
      <c r="A311" s="2">
        <v>45464</v>
      </c>
      <c r="B311">
        <v>305.03436279296881</v>
      </c>
      <c r="C311">
        <f t="shared" si="14"/>
        <v>2.1475551770690535E-2</v>
      </c>
      <c r="K311">
        <f t="shared" si="12"/>
        <v>344.84323120117188</v>
      </c>
      <c r="L311" s="5">
        <f t="shared" si="13"/>
        <v>-0.11544048079337155</v>
      </c>
    </row>
    <row r="312" spans="1:12" x14ac:dyDescent="0.3">
      <c r="A312" s="2">
        <v>45467</v>
      </c>
      <c r="B312">
        <v>311.58514404296881</v>
      </c>
      <c r="C312">
        <f t="shared" si="14"/>
        <v>-1.6669209919430324E-2</v>
      </c>
      <c r="K312">
        <f t="shared" si="12"/>
        <v>344.84323120117188</v>
      </c>
      <c r="L312" s="5">
        <f t="shared" si="13"/>
        <v>-9.6444077044392507E-2</v>
      </c>
    </row>
    <row r="313" spans="1:12" x14ac:dyDescent="0.3">
      <c r="A313" s="2">
        <v>45468</v>
      </c>
      <c r="B313">
        <v>306.39126586914063</v>
      </c>
      <c r="C313">
        <f t="shared" si="14"/>
        <v>-2.1378850177627526E-3</v>
      </c>
      <c r="K313">
        <f t="shared" si="12"/>
        <v>344.84323120117188</v>
      </c>
      <c r="L313" s="5">
        <f t="shared" si="13"/>
        <v>-0.11150564039808408</v>
      </c>
    </row>
    <row r="314" spans="1:12" x14ac:dyDescent="0.3">
      <c r="A314" s="2">
        <v>45469</v>
      </c>
      <c r="B314">
        <v>305.73623657226563</v>
      </c>
      <c r="C314">
        <f t="shared" si="14"/>
        <v>1.4845336539445309E-2</v>
      </c>
      <c r="K314">
        <f t="shared" si="12"/>
        <v>344.84323120117188</v>
      </c>
      <c r="L314" s="5">
        <f t="shared" si="13"/>
        <v>-0.11340513917784378</v>
      </c>
    </row>
    <row r="315" spans="1:12" x14ac:dyDescent="0.3">
      <c r="A315" s="2">
        <v>45470</v>
      </c>
      <c r="B315">
        <v>310.27499389648438</v>
      </c>
      <c r="C315">
        <f t="shared" si="14"/>
        <v>-1.8096621737722226E-3</v>
      </c>
      <c r="K315">
        <f t="shared" si="12"/>
        <v>344.84323120117188</v>
      </c>
      <c r="L315" s="5">
        <f t="shared" si="13"/>
        <v>-0.10024334009479619</v>
      </c>
    </row>
    <row r="316" spans="1:12" x14ac:dyDescent="0.3">
      <c r="A316" s="2">
        <v>45471</v>
      </c>
      <c r="B316">
        <v>309.7135009765625</v>
      </c>
      <c r="C316">
        <f t="shared" si="14"/>
        <v>-4.0790478221232841E-3</v>
      </c>
      <c r="K316">
        <f t="shared" si="12"/>
        <v>344.84323120117188</v>
      </c>
      <c r="L316" s="5">
        <f t="shared" si="13"/>
        <v>-0.10187159568782622</v>
      </c>
    </row>
    <row r="317" spans="1:12" x14ac:dyDescent="0.3">
      <c r="A317" s="2">
        <v>45474</v>
      </c>
      <c r="B317">
        <v>308.45016479492188</v>
      </c>
      <c r="C317">
        <f t="shared" si="14"/>
        <v>3.640439900091779E-3</v>
      </c>
      <c r="K317">
        <f t="shared" si="12"/>
        <v>344.84323120117188</v>
      </c>
      <c r="L317" s="5">
        <f t="shared" si="13"/>
        <v>-0.10553510439942293</v>
      </c>
    </row>
    <row r="318" spans="1:12" x14ac:dyDescent="0.3">
      <c r="A318" s="2">
        <v>45475</v>
      </c>
      <c r="B318">
        <v>309.57305908203119</v>
      </c>
      <c r="C318">
        <f t="shared" si="14"/>
        <v>1.3150119922043648E-2</v>
      </c>
      <c r="K318">
        <f t="shared" si="12"/>
        <v>344.84323120117188</v>
      </c>
      <c r="L318" s="5">
        <f t="shared" si="13"/>
        <v>-0.10227885870424713</v>
      </c>
    </row>
    <row r="319" spans="1:12" x14ac:dyDescent="0.3">
      <c r="A319" s="2">
        <v>45476</v>
      </c>
      <c r="B319">
        <v>313.64398193359381</v>
      </c>
      <c r="C319">
        <f t="shared" si="14"/>
        <v>-4.4758027400864368E-4</v>
      </c>
      <c r="K319">
        <f t="shared" si="12"/>
        <v>344.84323120117188</v>
      </c>
      <c r="L319" s="5">
        <f t="shared" si="13"/>
        <v>-9.0473718039654094E-2</v>
      </c>
    </row>
    <row r="320" spans="1:12" x14ac:dyDescent="0.3">
      <c r="A320" s="2">
        <v>45477</v>
      </c>
      <c r="B320">
        <v>313.50360107421881</v>
      </c>
      <c r="C320">
        <f t="shared" si="14"/>
        <v>1.3134283783544188E-2</v>
      </c>
      <c r="K320">
        <f t="shared" si="12"/>
        <v>344.84323120117188</v>
      </c>
      <c r="L320" s="5">
        <f t="shared" si="13"/>
        <v>-9.0880804062151932E-2</v>
      </c>
    </row>
    <row r="321" spans="1:12" x14ac:dyDescent="0.3">
      <c r="A321" s="2">
        <v>45478</v>
      </c>
      <c r="B321">
        <v>317.62124633789063</v>
      </c>
      <c r="C321">
        <f t="shared" si="14"/>
        <v>0</v>
      </c>
      <c r="K321">
        <f t="shared" si="12"/>
        <v>344.84323120117188</v>
      </c>
      <c r="L321" s="5">
        <f t="shared" si="13"/>
        <v>-7.8940174549636755E-2</v>
      </c>
    </row>
    <row r="322" spans="1:12" x14ac:dyDescent="0.3">
      <c r="A322" s="2">
        <v>45481</v>
      </c>
      <c r="B322">
        <v>317.62124633789063</v>
      </c>
      <c r="C322">
        <f t="shared" si="14"/>
        <v>5.1563186233265336E-3</v>
      </c>
      <c r="K322">
        <f t="shared" ref="K322:K385" si="15">MAX(B322:B1061)</f>
        <v>344.84323120117188</v>
      </c>
      <c r="L322" s="5">
        <f t="shared" ref="L322:L385" si="16">B322/K322-1</f>
        <v>-7.8940174549636755E-2</v>
      </c>
    </row>
    <row r="323" spans="1:12" x14ac:dyDescent="0.3">
      <c r="A323" s="2">
        <v>45482</v>
      </c>
      <c r="B323">
        <v>319.25900268554688</v>
      </c>
      <c r="C323">
        <f t="shared" ref="C323:C386" si="17">(B324-B323)/B323</f>
        <v>1.4363074284238216E-2</v>
      </c>
      <c r="K323">
        <f t="shared" si="15"/>
        <v>344.84323120117188</v>
      </c>
      <c r="L323" s="5">
        <f t="shared" si="16"/>
        <v>-7.4190896618469115E-2</v>
      </c>
    </row>
    <row r="324" spans="1:12" x14ac:dyDescent="0.3">
      <c r="A324" s="2">
        <v>45483</v>
      </c>
      <c r="B324">
        <v>323.84454345703119</v>
      </c>
      <c r="C324">
        <f t="shared" si="17"/>
        <v>-9.3916755200701488E-3</v>
      </c>
      <c r="K324">
        <f t="shared" si="15"/>
        <v>344.84323120117188</v>
      </c>
      <c r="L324" s="5">
        <f t="shared" si="16"/>
        <v>-6.0893431693576305E-2</v>
      </c>
    </row>
    <row r="325" spans="1:12" x14ac:dyDescent="0.3">
      <c r="A325" s="2">
        <v>45484</v>
      </c>
      <c r="B325">
        <v>320.8031005859375</v>
      </c>
      <c r="C325">
        <f t="shared" si="17"/>
        <v>8.7508880263042241E-4</v>
      </c>
      <c r="K325">
        <f t="shared" si="15"/>
        <v>344.84323120117188</v>
      </c>
      <c r="L325" s="5">
        <f t="shared" si="16"/>
        <v>-6.9713215861876732E-2</v>
      </c>
    </row>
    <row r="326" spans="1:12" x14ac:dyDescent="0.3">
      <c r="A326" s="2">
        <v>45485</v>
      </c>
      <c r="B326">
        <v>321.08383178710938</v>
      </c>
      <c r="C326">
        <f t="shared" si="17"/>
        <v>2.1860468431820286E-3</v>
      </c>
      <c r="K326">
        <f t="shared" si="15"/>
        <v>344.84323120117188</v>
      </c>
      <c r="L326" s="5">
        <f t="shared" si="16"/>
        <v>-6.8899132313842482E-2</v>
      </c>
    </row>
    <row r="327" spans="1:12" x14ac:dyDescent="0.3">
      <c r="A327" s="2">
        <v>45488</v>
      </c>
      <c r="B327">
        <v>321.78573608398438</v>
      </c>
      <c r="C327">
        <f t="shared" si="17"/>
        <v>-4.0715933527909693E-3</v>
      </c>
      <c r="K327">
        <f t="shared" si="15"/>
        <v>344.84323120117188</v>
      </c>
      <c r="L327" s="5">
        <f t="shared" si="16"/>
        <v>-6.686370220135307E-2</v>
      </c>
    </row>
    <row r="328" spans="1:12" x14ac:dyDescent="0.3">
      <c r="A328" s="2">
        <v>45489</v>
      </c>
      <c r="B328">
        <v>320.47555541992188</v>
      </c>
      <c r="C328">
        <f t="shared" si="17"/>
        <v>-3.504123234523432E-3</v>
      </c>
      <c r="K328">
        <f t="shared" si="15"/>
        <v>344.84323120117188</v>
      </c>
      <c r="L328" s="5">
        <f t="shared" si="16"/>
        <v>-7.0663053748718063E-2</v>
      </c>
    </row>
    <row r="329" spans="1:12" x14ac:dyDescent="0.3">
      <c r="A329" s="2">
        <v>45491</v>
      </c>
      <c r="B329">
        <v>319.35256958007813</v>
      </c>
      <c r="C329">
        <f t="shared" si="17"/>
        <v>-2.6520121037273955E-2</v>
      </c>
      <c r="K329">
        <f t="shared" si="15"/>
        <v>344.84323120117188</v>
      </c>
      <c r="L329" s="5">
        <f t="shared" si="16"/>
        <v>-7.3919564934778137E-2</v>
      </c>
    </row>
    <row r="330" spans="1:12" x14ac:dyDescent="0.3">
      <c r="A330" s="2">
        <v>45492</v>
      </c>
      <c r="B330">
        <v>310.88330078125</v>
      </c>
      <c r="C330">
        <f t="shared" si="17"/>
        <v>1.9265489116350187E-2</v>
      </c>
      <c r="K330">
        <f t="shared" si="15"/>
        <v>344.84323120117188</v>
      </c>
      <c r="L330" s="5">
        <f t="shared" si="16"/>
        <v>-9.8479330162959178E-2</v>
      </c>
    </row>
    <row r="331" spans="1:12" x14ac:dyDescent="0.3">
      <c r="A331" s="2">
        <v>45495</v>
      </c>
      <c r="B331">
        <v>316.87261962890619</v>
      </c>
      <c r="C331">
        <f t="shared" si="17"/>
        <v>-1.2846997702652992E-2</v>
      </c>
      <c r="K331">
        <f t="shared" si="15"/>
        <v>344.84323120117188</v>
      </c>
      <c r="L331" s="5">
        <f t="shared" si="16"/>
        <v>-8.1111093510048971E-2</v>
      </c>
    </row>
    <row r="332" spans="1:12" x14ac:dyDescent="0.3">
      <c r="A332" s="2">
        <v>45496</v>
      </c>
      <c r="B332">
        <v>312.8017578125</v>
      </c>
      <c r="C332">
        <f t="shared" si="17"/>
        <v>8.6759972401649656E-3</v>
      </c>
      <c r="K332">
        <f t="shared" si="15"/>
        <v>344.84323120117188</v>
      </c>
      <c r="L332" s="5">
        <f t="shared" si="16"/>
        <v>-9.2916057180718714E-2</v>
      </c>
    </row>
    <row r="333" spans="1:12" x14ac:dyDescent="0.3">
      <c r="A333" s="2">
        <v>45497</v>
      </c>
      <c r="B333">
        <v>315.515625</v>
      </c>
      <c r="C333">
        <f t="shared" si="17"/>
        <v>6.8219610446689444E-3</v>
      </c>
      <c r="K333">
        <f t="shared" si="15"/>
        <v>344.84323120117188</v>
      </c>
      <c r="L333" s="5">
        <f t="shared" si="16"/>
        <v>-8.5046199396220601E-2</v>
      </c>
    </row>
    <row r="334" spans="1:12" x14ac:dyDescent="0.3">
      <c r="A334" s="2">
        <v>45498</v>
      </c>
      <c r="B334">
        <v>317.66806030273438</v>
      </c>
      <c r="C334">
        <f t="shared" si="17"/>
        <v>1.3993384983707431E-2</v>
      </c>
      <c r="K334">
        <f t="shared" si="15"/>
        <v>344.84323120117188</v>
      </c>
      <c r="L334" s="5">
        <f t="shared" si="16"/>
        <v>-7.8804420210829895E-2</v>
      </c>
    </row>
    <row r="335" spans="1:12" x14ac:dyDescent="0.3">
      <c r="A335" s="2">
        <v>45499</v>
      </c>
      <c r="B335">
        <v>322.11331176757813</v>
      </c>
      <c r="C335">
        <f t="shared" si="17"/>
        <v>-5.3748888324017538E-3</v>
      </c>
      <c r="K335">
        <f t="shared" si="15"/>
        <v>344.84323120117188</v>
      </c>
      <c r="L335" s="5">
        <f t="shared" si="16"/>
        <v>-6.5913775817550424E-2</v>
      </c>
    </row>
    <row r="336" spans="1:12" x14ac:dyDescent="0.3">
      <c r="A336" s="2">
        <v>45502</v>
      </c>
      <c r="B336">
        <v>320.38198852539063</v>
      </c>
      <c r="C336">
        <f t="shared" si="17"/>
        <v>2.1761285208991912E-2</v>
      </c>
      <c r="K336">
        <f t="shared" si="15"/>
        <v>344.84323120117188</v>
      </c>
      <c r="L336" s="5">
        <f t="shared" si="16"/>
        <v>-7.0934385432408931E-2</v>
      </c>
    </row>
    <row r="337" spans="1:12" x14ac:dyDescent="0.3">
      <c r="A337" s="2">
        <v>45503</v>
      </c>
      <c r="B337">
        <v>327.35391235351563</v>
      </c>
      <c r="C337">
        <f t="shared" si="17"/>
        <v>-4.5738996206951491E-3</v>
      </c>
      <c r="K337">
        <f t="shared" si="15"/>
        <v>344.84323120117188</v>
      </c>
      <c r="L337" s="5">
        <f t="shared" si="16"/>
        <v>-5.0716723615936266E-2</v>
      </c>
    </row>
    <row r="338" spans="1:12" x14ac:dyDescent="0.3">
      <c r="A338" s="2">
        <v>45504</v>
      </c>
      <c r="B338">
        <v>325.85662841796881</v>
      </c>
      <c r="C338">
        <f t="shared" si="17"/>
        <v>3.7047595589674347E-2</v>
      </c>
      <c r="K338">
        <f t="shared" si="15"/>
        <v>344.84323120117188</v>
      </c>
      <c r="L338" s="5">
        <f t="shared" si="16"/>
        <v>-5.5058650033721568E-2</v>
      </c>
    </row>
    <row r="339" spans="1:12" x14ac:dyDescent="0.3">
      <c r="A339" s="2">
        <v>45505</v>
      </c>
      <c r="B339">
        <v>337.9288330078125</v>
      </c>
      <c r="C339">
        <f t="shared" si="17"/>
        <v>-7.8926226911480019E-3</v>
      </c>
      <c r="K339">
        <f t="shared" si="15"/>
        <v>344.84323120117188</v>
      </c>
      <c r="L339" s="5">
        <f t="shared" si="16"/>
        <v>-2.0050845044209953E-2</v>
      </c>
    </row>
    <row r="340" spans="1:12" x14ac:dyDescent="0.3">
      <c r="A340" s="2">
        <v>45506</v>
      </c>
      <c r="B340">
        <v>335.26168823242188</v>
      </c>
      <c r="C340">
        <f t="shared" si="17"/>
        <v>-4.3126274650448236E-2</v>
      </c>
      <c r="K340">
        <f t="shared" si="15"/>
        <v>344.84323120117188</v>
      </c>
      <c r="L340" s="5">
        <f t="shared" si="16"/>
        <v>-2.7785213980785373E-2</v>
      </c>
    </row>
    <row r="341" spans="1:12" x14ac:dyDescent="0.3">
      <c r="A341" s="2">
        <v>45509</v>
      </c>
      <c r="B341">
        <v>320.8031005859375</v>
      </c>
      <c r="C341">
        <f t="shared" si="17"/>
        <v>-5.9800747254871445E-3</v>
      </c>
      <c r="K341">
        <f t="shared" si="15"/>
        <v>344.84323120117188</v>
      </c>
      <c r="L341" s="5">
        <f t="shared" si="16"/>
        <v>-6.9713215861876732E-2</v>
      </c>
    </row>
    <row r="342" spans="1:12" x14ac:dyDescent="0.3">
      <c r="A342" s="2">
        <v>45510</v>
      </c>
      <c r="B342">
        <v>318.88467407226563</v>
      </c>
      <c r="C342">
        <f t="shared" si="17"/>
        <v>3.3162018996071581E-2</v>
      </c>
      <c r="K342">
        <f t="shared" si="15"/>
        <v>344.84323120117188</v>
      </c>
      <c r="L342" s="5">
        <f t="shared" si="16"/>
        <v>-7.5276400347155881E-2</v>
      </c>
    </row>
    <row r="343" spans="1:12" x14ac:dyDescent="0.3">
      <c r="A343" s="2">
        <v>45511</v>
      </c>
      <c r="B343">
        <v>329.45953369140619</v>
      </c>
      <c r="C343">
        <f t="shared" si="17"/>
        <v>-2.6700741867386288E-2</v>
      </c>
      <c r="K343">
        <f t="shared" si="15"/>
        <v>344.84323120117188</v>
      </c>
      <c r="L343" s="5">
        <f t="shared" si="16"/>
        <v>-4.461069876935253E-2</v>
      </c>
    </row>
    <row r="344" spans="1:12" x14ac:dyDescent="0.3">
      <c r="A344" s="2">
        <v>45512</v>
      </c>
      <c r="B344">
        <v>320.6627197265625</v>
      </c>
      <c r="C344">
        <f t="shared" si="17"/>
        <v>9.7766580670752903E-3</v>
      </c>
      <c r="K344">
        <f t="shared" si="15"/>
        <v>344.84323120117188</v>
      </c>
      <c r="L344" s="5">
        <f t="shared" si="16"/>
        <v>-7.0120301884374681E-2</v>
      </c>
    </row>
    <row r="345" spans="1:12" x14ac:dyDescent="0.3">
      <c r="A345" s="2">
        <v>45513</v>
      </c>
      <c r="B345">
        <v>323.7977294921875</v>
      </c>
      <c r="C345">
        <f t="shared" si="17"/>
        <v>-1.4017166870684107E-2</v>
      </c>
      <c r="K345">
        <f t="shared" si="15"/>
        <v>344.84323120117188</v>
      </c>
      <c r="L345" s="5">
        <f t="shared" si="16"/>
        <v>-6.1029186032382943E-2</v>
      </c>
    </row>
    <row r="346" spans="1:12" x14ac:dyDescent="0.3">
      <c r="A346" s="2">
        <v>45516</v>
      </c>
      <c r="B346">
        <v>319.25900268554688</v>
      </c>
      <c r="C346">
        <f t="shared" si="17"/>
        <v>-1.2311261151506398E-2</v>
      </c>
      <c r="K346">
        <f t="shared" si="15"/>
        <v>344.84323120117188</v>
      </c>
      <c r="L346" s="5">
        <f t="shared" si="16"/>
        <v>-7.4190896618469115E-2</v>
      </c>
    </row>
    <row r="347" spans="1:12" x14ac:dyDescent="0.3">
      <c r="A347" s="2">
        <v>45517</v>
      </c>
      <c r="B347">
        <v>315.32852172851563</v>
      </c>
      <c r="C347">
        <f t="shared" si="17"/>
        <v>-1.0239061773391912E-2</v>
      </c>
      <c r="K347">
        <f t="shared" si="15"/>
        <v>344.84323120117188</v>
      </c>
      <c r="L347" s="5">
        <f t="shared" si="16"/>
        <v>-8.5588774266641132E-2</v>
      </c>
    </row>
    <row r="348" spans="1:12" x14ac:dyDescent="0.3">
      <c r="A348" s="2">
        <v>45518</v>
      </c>
      <c r="B348">
        <v>312.099853515625</v>
      </c>
      <c r="C348">
        <f t="shared" si="17"/>
        <v>2.3734003931596786E-2</v>
      </c>
      <c r="K348">
        <f t="shared" si="15"/>
        <v>344.84323120117188</v>
      </c>
      <c r="L348" s="5">
        <f t="shared" si="16"/>
        <v>-9.4951487293208015E-2</v>
      </c>
    </row>
    <row r="349" spans="1:12" x14ac:dyDescent="0.3">
      <c r="A349" s="2">
        <v>45520</v>
      </c>
      <c r="B349">
        <v>319.50723266601563</v>
      </c>
      <c r="C349">
        <f t="shared" si="17"/>
        <v>5.0206249266329141E-3</v>
      </c>
      <c r="K349">
        <f t="shared" si="15"/>
        <v>344.84323120117188</v>
      </c>
      <c r="L349" s="5">
        <f t="shared" si="16"/>
        <v>-7.3471062334339199E-2</v>
      </c>
    </row>
    <row r="350" spans="1:12" x14ac:dyDescent="0.3">
      <c r="A350" s="2">
        <v>45523</v>
      </c>
      <c r="B350">
        <v>321.11135864257813</v>
      </c>
      <c r="C350">
        <f t="shared" si="17"/>
        <v>5.8771107918066765E-4</v>
      </c>
      <c r="K350">
        <f t="shared" si="15"/>
        <v>344.84323120117188</v>
      </c>
      <c r="L350" s="5">
        <f t="shared" si="16"/>
        <v>-6.8819308054648309E-2</v>
      </c>
    </row>
    <row r="351" spans="1:12" x14ac:dyDescent="0.3">
      <c r="A351" s="2">
        <v>45524</v>
      </c>
      <c r="B351">
        <v>321.30007934570313</v>
      </c>
      <c r="C351">
        <f t="shared" si="17"/>
        <v>-1.1306888128170959E-2</v>
      </c>
      <c r="K351">
        <f t="shared" si="15"/>
        <v>344.84323120117188</v>
      </c>
      <c r="L351" s="5">
        <f t="shared" si="16"/>
        <v>-6.8272042845272884E-2</v>
      </c>
    </row>
    <row r="352" spans="1:12" x14ac:dyDescent="0.3">
      <c r="A352" s="2">
        <v>45525</v>
      </c>
      <c r="B352">
        <v>317.66717529296881</v>
      </c>
      <c r="C352">
        <f t="shared" si="17"/>
        <v>-7.8716011942378782E-3</v>
      </c>
      <c r="K352">
        <f t="shared" si="15"/>
        <v>344.84323120117188</v>
      </c>
      <c r="L352" s="5">
        <f t="shared" si="16"/>
        <v>-7.8806986622710684E-2</v>
      </c>
    </row>
    <row r="353" spans="1:12" x14ac:dyDescent="0.3">
      <c r="A353" s="2">
        <v>45526</v>
      </c>
      <c r="B353">
        <v>315.1666259765625</v>
      </c>
      <c r="C353">
        <f t="shared" si="17"/>
        <v>6.7364617163309442E-3</v>
      </c>
      <c r="K353">
        <f t="shared" si="15"/>
        <v>344.84323120117188</v>
      </c>
      <c r="L353" s="5">
        <f t="shared" si="16"/>
        <v>-8.6058250646934953E-2</v>
      </c>
    </row>
    <row r="354" spans="1:12" x14ac:dyDescent="0.3">
      <c r="A354" s="2">
        <v>45527</v>
      </c>
      <c r="B354">
        <v>317.28973388671881</v>
      </c>
      <c r="C354">
        <f t="shared" si="17"/>
        <v>5.9478981816782793E-3</v>
      </c>
      <c r="K354">
        <f t="shared" si="15"/>
        <v>344.84323120117188</v>
      </c>
      <c r="L354" s="5">
        <f t="shared" si="16"/>
        <v>-7.9901517041461423E-2</v>
      </c>
    </row>
    <row r="355" spans="1:12" x14ac:dyDescent="0.3">
      <c r="A355" s="2">
        <v>45530</v>
      </c>
      <c r="B355">
        <v>319.17694091796881</v>
      </c>
      <c r="C355">
        <f t="shared" si="17"/>
        <v>-8.5734583063627537E-3</v>
      </c>
      <c r="K355">
        <f t="shared" si="15"/>
        <v>344.84323120117188</v>
      </c>
      <c r="L355" s="5">
        <f t="shared" si="16"/>
        <v>-7.4428864947707396E-2</v>
      </c>
    </row>
    <row r="356" spans="1:12" x14ac:dyDescent="0.3">
      <c r="A356" s="2">
        <v>45531</v>
      </c>
      <c r="B356">
        <v>316.44049072265619</v>
      </c>
      <c r="C356">
        <f t="shared" si="17"/>
        <v>-2.6837373501822316E-3</v>
      </c>
      <c r="K356">
        <f t="shared" si="15"/>
        <v>344.84323120117188</v>
      </c>
      <c r="L356" s="5">
        <f t="shared" si="16"/>
        <v>-8.2364210483651057E-2</v>
      </c>
    </row>
    <row r="357" spans="1:12" x14ac:dyDescent="0.3">
      <c r="A357" s="2">
        <v>45532</v>
      </c>
      <c r="B357">
        <v>315.59124755859381</v>
      </c>
      <c r="C357">
        <f t="shared" si="17"/>
        <v>-3.4386412377406536E-3</v>
      </c>
      <c r="K357">
        <f t="shared" si="15"/>
        <v>344.84323120117188</v>
      </c>
      <c r="L357" s="5">
        <f t="shared" si="16"/>
        <v>-8.4826903925840136E-2</v>
      </c>
    </row>
    <row r="358" spans="1:12" x14ac:dyDescent="0.3">
      <c r="A358" s="2">
        <v>45533</v>
      </c>
      <c r="B358">
        <v>314.50604248046881</v>
      </c>
      <c r="C358">
        <f t="shared" si="17"/>
        <v>1.2301404247382876E-2</v>
      </c>
      <c r="K358">
        <f t="shared" si="15"/>
        <v>344.84323120117188</v>
      </c>
      <c r="L358" s="5">
        <f t="shared" si="16"/>
        <v>-8.7973855873671458E-2</v>
      </c>
    </row>
    <row r="359" spans="1:12" x14ac:dyDescent="0.3">
      <c r="A359" s="2">
        <v>45534</v>
      </c>
      <c r="B359">
        <v>318.37490844726563</v>
      </c>
      <c r="C359">
        <f t="shared" si="17"/>
        <v>-5.483244730486214E-3</v>
      </c>
      <c r="K359">
        <f t="shared" si="15"/>
        <v>344.84323120117188</v>
      </c>
      <c r="L359" s="5">
        <f t="shared" si="16"/>
        <v>-7.6754653590591637E-2</v>
      </c>
    </row>
    <row r="360" spans="1:12" x14ac:dyDescent="0.3">
      <c r="A360" s="2">
        <v>45537</v>
      </c>
      <c r="B360">
        <v>316.62918090820313</v>
      </c>
      <c r="C360">
        <f t="shared" si="17"/>
        <v>-2.6820416363661729E-3</v>
      </c>
      <c r="K360">
        <f t="shared" si="15"/>
        <v>344.84323120117188</v>
      </c>
      <c r="L360" s="5">
        <f t="shared" si="16"/>
        <v>-8.1817033771236947E-2</v>
      </c>
    </row>
    <row r="361" spans="1:12" x14ac:dyDescent="0.3">
      <c r="A361" s="2">
        <v>45538</v>
      </c>
      <c r="B361">
        <v>315.77996826171881</v>
      </c>
      <c r="C361">
        <f t="shared" si="17"/>
        <v>-5.2293901953695239E-3</v>
      </c>
      <c r="K361">
        <f t="shared" si="15"/>
        <v>344.84323120117188</v>
      </c>
      <c r="L361" s="5">
        <f t="shared" si="16"/>
        <v>-8.4279638716464711E-2</v>
      </c>
    </row>
    <row r="362" spans="1:12" x14ac:dyDescent="0.3">
      <c r="A362" s="2">
        <v>45539</v>
      </c>
      <c r="B362">
        <v>314.12863159179688</v>
      </c>
      <c r="C362">
        <f t="shared" si="17"/>
        <v>-4.9564928560304903E-3</v>
      </c>
      <c r="K362">
        <f t="shared" si="15"/>
        <v>344.84323120117188</v>
      </c>
      <c r="L362" s="5">
        <f t="shared" si="16"/>
        <v>-8.9068297795460993E-2</v>
      </c>
    </row>
    <row r="363" spans="1:12" x14ac:dyDescent="0.3">
      <c r="A363" s="2">
        <v>45540</v>
      </c>
      <c r="B363">
        <v>312.5716552734375</v>
      </c>
      <c r="C363">
        <f t="shared" si="17"/>
        <v>-4.3772189736181587E-3</v>
      </c>
      <c r="K363">
        <f t="shared" si="15"/>
        <v>344.84323120117188</v>
      </c>
      <c r="L363" s="5">
        <f t="shared" si="16"/>
        <v>-9.3583324269769563E-2</v>
      </c>
    </row>
    <row r="364" spans="1:12" x14ac:dyDescent="0.3">
      <c r="A364" s="2">
        <v>45541</v>
      </c>
      <c r="B364">
        <v>311.20346069335938</v>
      </c>
      <c r="C364">
        <f t="shared" si="17"/>
        <v>-3.7903351944076572E-3</v>
      </c>
      <c r="K364">
        <f t="shared" si="15"/>
        <v>344.84323120117188</v>
      </c>
      <c r="L364" s="5">
        <f t="shared" si="16"/>
        <v>-9.7550908540779746E-2</v>
      </c>
    </row>
    <row r="365" spans="1:12" x14ac:dyDescent="0.3">
      <c r="A365" s="2">
        <v>45544</v>
      </c>
      <c r="B365">
        <v>310.02389526367188</v>
      </c>
      <c r="C365">
        <f t="shared" si="17"/>
        <v>1.7044722426121716E-2</v>
      </c>
      <c r="K365">
        <f t="shared" si="15"/>
        <v>344.84323120117188</v>
      </c>
      <c r="L365" s="5">
        <f t="shared" si="16"/>
        <v>-0.10097149309329889</v>
      </c>
    </row>
    <row r="366" spans="1:12" x14ac:dyDescent="0.3">
      <c r="A366" s="2">
        <v>45545</v>
      </c>
      <c r="B366">
        <v>315.30816650390619</v>
      </c>
      <c r="C366">
        <f t="shared" si="17"/>
        <v>-2.843007048574455E-3</v>
      </c>
      <c r="K366">
        <f t="shared" si="15"/>
        <v>344.84323120117188</v>
      </c>
      <c r="L366" s="5">
        <f t="shared" si="16"/>
        <v>-8.5647801739903495E-2</v>
      </c>
    </row>
    <row r="367" spans="1:12" x14ac:dyDescent="0.3">
      <c r="A367" s="2">
        <v>45546</v>
      </c>
      <c r="B367">
        <v>314.4117431640625</v>
      </c>
      <c r="C367">
        <f t="shared" si="17"/>
        <v>1.5005953811468202E-2</v>
      </c>
      <c r="K367">
        <f t="shared" si="15"/>
        <v>344.84323120117188</v>
      </c>
      <c r="L367" s="5">
        <f t="shared" si="16"/>
        <v>-8.8247311484436541E-2</v>
      </c>
    </row>
    <row r="368" spans="1:12" x14ac:dyDescent="0.3">
      <c r="A368" s="2">
        <v>45547</v>
      </c>
      <c r="B368">
        <v>319.12979125976563</v>
      </c>
      <c r="C368">
        <f t="shared" si="17"/>
        <v>-2.8090572612574478E-3</v>
      </c>
      <c r="K368">
        <f t="shared" si="15"/>
        <v>344.84323120117188</v>
      </c>
      <c r="L368" s="5">
        <f t="shared" si="16"/>
        <v>-7.4565592753090049E-2</v>
      </c>
    </row>
    <row r="369" spans="1:12" x14ac:dyDescent="0.3">
      <c r="A369" s="2">
        <v>45548</v>
      </c>
      <c r="B369">
        <v>318.23333740234381</v>
      </c>
      <c r="C369">
        <f t="shared" si="17"/>
        <v>2.9651309423688629E-3</v>
      </c>
      <c r="K369">
        <f t="shared" si="15"/>
        <v>344.84323120117188</v>
      </c>
      <c r="L369" s="5">
        <f t="shared" si="16"/>
        <v>-7.7165190994584409E-2</v>
      </c>
    </row>
    <row r="370" spans="1:12" x14ac:dyDescent="0.3">
      <c r="A370" s="2">
        <v>45551</v>
      </c>
      <c r="B370">
        <v>319.17694091796881</v>
      </c>
      <c r="C370">
        <f t="shared" si="17"/>
        <v>-3.9911882732134264E-3</v>
      </c>
      <c r="K370">
        <f t="shared" si="15"/>
        <v>344.84323120117188</v>
      </c>
      <c r="L370" s="5">
        <f t="shared" si="16"/>
        <v>-7.4428864947707396E-2</v>
      </c>
    </row>
    <row r="371" spans="1:12" x14ac:dyDescent="0.3">
      <c r="A371" s="2">
        <v>45552</v>
      </c>
      <c r="B371">
        <v>317.90304565429688</v>
      </c>
      <c r="C371">
        <f t="shared" si="17"/>
        <v>-7.7173502241086175E-3</v>
      </c>
      <c r="K371">
        <f t="shared" si="15"/>
        <v>344.84323120117188</v>
      </c>
      <c r="L371" s="5">
        <f t="shared" si="16"/>
        <v>-7.812299360795294E-2</v>
      </c>
    </row>
    <row r="372" spans="1:12" x14ac:dyDescent="0.3">
      <c r="A372" s="2">
        <v>45553</v>
      </c>
      <c r="B372">
        <v>315.44967651367188</v>
      </c>
      <c r="C372">
        <f t="shared" si="17"/>
        <v>1.7948746475528108E-3</v>
      </c>
      <c r="K372">
        <f t="shared" si="15"/>
        <v>344.84323120117188</v>
      </c>
      <c r="L372" s="5">
        <f t="shared" si="16"/>
        <v>-8.5237441329833241E-2</v>
      </c>
    </row>
    <row r="373" spans="1:12" x14ac:dyDescent="0.3">
      <c r="A373" s="2">
        <v>45554</v>
      </c>
      <c r="B373">
        <v>316.015869140625</v>
      </c>
      <c r="C373">
        <f t="shared" si="17"/>
        <v>1.776651903081039E-2</v>
      </c>
      <c r="K373">
        <f t="shared" si="15"/>
        <v>344.84323120117188</v>
      </c>
      <c r="L373" s="5">
        <f t="shared" si="16"/>
        <v>-8.3595557204745652E-2</v>
      </c>
    </row>
    <row r="374" spans="1:12" x14ac:dyDescent="0.3">
      <c r="A374" s="2">
        <v>45555</v>
      </c>
      <c r="B374">
        <v>321.63037109375</v>
      </c>
      <c r="C374">
        <f t="shared" si="17"/>
        <v>8.801440415121323E-4</v>
      </c>
      <c r="K374">
        <f t="shared" si="15"/>
        <v>344.84323120117188</v>
      </c>
      <c r="L374" s="5">
        <f t="shared" si="16"/>
        <v>-6.7314240231904465E-2</v>
      </c>
    </row>
    <row r="375" spans="1:12" x14ac:dyDescent="0.3">
      <c r="A375" s="2">
        <v>45558</v>
      </c>
      <c r="B375">
        <v>321.9134521484375</v>
      </c>
      <c r="C375">
        <f t="shared" si="17"/>
        <v>2.6088168320304399E-2</v>
      </c>
      <c r="K375">
        <f t="shared" si="15"/>
        <v>344.84323120117188</v>
      </c>
      <c r="L375" s="5">
        <f t="shared" si="16"/>
        <v>-6.6493342417841439E-2</v>
      </c>
    </row>
    <row r="376" spans="1:12" x14ac:dyDescent="0.3">
      <c r="A376" s="2">
        <v>45559</v>
      </c>
      <c r="B376">
        <v>330.31158447265619</v>
      </c>
      <c r="C376">
        <f t="shared" si="17"/>
        <v>3.9137259612053242E-2</v>
      </c>
      <c r="K376">
        <f t="shared" si="15"/>
        <v>344.84323120117188</v>
      </c>
      <c r="L376" s="5">
        <f t="shared" si="16"/>
        <v>-4.213986360671329E-2</v>
      </c>
    </row>
    <row r="377" spans="1:12" x14ac:dyDescent="0.3">
      <c r="A377" s="2">
        <v>45560</v>
      </c>
      <c r="B377">
        <v>343.23907470703119</v>
      </c>
      <c r="C377">
        <f t="shared" si="17"/>
        <v>4.6735835525424842E-3</v>
      </c>
      <c r="K377">
        <f t="shared" si="15"/>
        <v>344.84323120117188</v>
      </c>
      <c r="L377" s="5">
        <f t="shared" si="16"/>
        <v>-4.6518427766525372E-3</v>
      </c>
    </row>
    <row r="378" spans="1:12" x14ac:dyDescent="0.3">
      <c r="A378" s="2">
        <v>45561</v>
      </c>
      <c r="B378">
        <v>344.84323120117188</v>
      </c>
      <c r="C378">
        <f t="shared" si="17"/>
        <v>-3.0647205712868247E-2</v>
      </c>
      <c r="K378">
        <f t="shared" si="15"/>
        <v>344.84323120117188</v>
      </c>
      <c r="L378" s="5">
        <f t="shared" si="16"/>
        <v>0</v>
      </c>
    </row>
    <row r="379" spans="1:12" x14ac:dyDescent="0.3">
      <c r="A379" s="2">
        <v>45562</v>
      </c>
      <c r="B379">
        <v>334.27474975585938</v>
      </c>
      <c r="C379">
        <f t="shared" si="17"/>
        <v>-3.9519734076230327E-3</v>
      </c>
      <c r="K379">
        <f t="shared" si="15"/>
        <v>334.27474975585938</v>
      </c>
      <c r="L379" s="5">
        <f t="shared" si="16"/>
        <v>0</v>
      </c>
    </row>
    <row r="380" spans="1:12" x14ac:dyDescent="0.3">
      <c r="A380" s="2">
        <v>45565</v>
      </c>
      <c r="B380">
        <v>332.95370483398438</v>
      </c>
      <c r="C380">
        <f t="shared" si="17"/>
        <v>-5.8098699504602423E-3</v>
      </c>
      <c r="K380">
        <f t="shared" si="15"/>
        <v>332.95370483398438</v>
      </c>
      <c r="L380" s="5">
        <f t="shared" si="16"/>
        <v>0</v>
      </c>
    </row>
    <row r="381" spans="1:12" x14ac:dyDescent="0.3">
      <c r="A381" s="2">
        <v>45566</v>
      </c>
      <c r="B381">
        <v>331.019287109375</v>
      </c>
      <c r="C381">
        <f t="shared" si="17"/>
        <v>-1.8956673095574379E-2</v>
      </c>
      <c r="K381">
        <f t="shared" si="15"/>
        <v>331.019287109375</v>
      </c>
      <c r="L381" s="5">
        <f t="shared" si="16"/>
        <v>0</v>
      </c>
    </row>
    <row r="382" spans="1:12" x14ac:dyDescent="0.3">
      <c r="A382" s="2">
        <v>45568</v>
      </c>
      <c r="B382">
        <v>324.7442626953125</v>
      </c>
      <c r="C382">
        <f t="shared" si="17"/>
        <v>-1.5400301845089016E-2</v>
      </c>
      <c r="K382">
        <f t="shared" si="15"/>
        <v>328.06564331054688</v>
      </c>
      <c r="L382" s="5">
        <f t="shared" si="16"/>
        <v>-1.0124134248615468E-2</v>
      </c>
    </row>
    <row r="383" spans="1:12" x14ac:dyDescent="0.3">
      <c r="A383" s="2">
        <v>45569</v>
      </c>
      <c r="B383">
        <v>319.74310302734381</v>
      </c>
      <c r="C383">
        <f t="shared" si="17"/>
        <v>-2.9216379497777376E-2</v>
      </c>
      <c r="K383">
        <f t="shared" si="15"/>
        <v>328.06564331054688</v>
      </c>
      <c r="L383" s="5">
        <f t="shared" si="16"/>
        <v>-2.5368521370355612E-2</v>
      </c>
    </row>
    <row r="384" spans="1:12" x14ac:dyDescent="0.3">
      <c r="A384" s="2">
        <v>45572</v>
      </c>
      <c r="B384">
        <v>310.4013671875</v>
      </c>
      <c r="C384">
        <f t="shared" si="17"/>
        <v>-5.4720018184621095E-3</v>
      </c>
      <c r="K384">
        <f t="shared" si="15"/>
        <v>328.06564331054688</v>
      </c>
      <c r="L384" s="5">
        <f t="shared" si="16"/>
        <v>-5.3843724520479253E-2</v>
      </c>
    </row>
    <row r="385" spans="1:12" x14ac:dyDescent="0.3">
      <c r="A385" s="2">
        <v>45573</v>
      </c>
      <c r="B385">
        <v>308.70285034179688</v>
      </c>
      <c r="C385">
        <f t="shared" si="17"/>
        <v>7.9475462343959694E-3</v>
      </c>
      <c r="K385">
        <f t="shared" si="15"/>
        <v>328.06564331054688</v>
      </c>
      <c r="L385" s="5">
        <f t="shared" si="16"/>
        <v>-5.9021093380452472E-2</v>
      </c>
    </row>
    <row r="386" spans="1:12" x14ac:dyDescent="0.3">
      <c r="A386" s="2">
        <v>45574</v>
      </c>
      <c r="B386">
        <v>311.15628051757813</v>
      </c>
      <c r="C386">
        <f t="shared" si="17"/>
        <v>1.3949924720249555E-2</v>
      </c>
      <c r="K386">
        <f t="shared" ref="K386:K449" si="18">MAX(B386:B1125)</f>
        <v>328.06564331054688</v>
      </c>
      <c r="L386" s="5">
        <f t="shared" ref="L386:L449" si="19">B386/K386-1</f>
        <v>-5.1542620014502272E-2</v>
      </c>
    </row>
    <row r="387" spans="1:12" x14ac:dyDescent="0.3">
      <c r="A387" s="2">
        <v>45575</v>
      </c>
      <c r="B387">
        <v>315.49688720703119</v>
      </c>
      <c r="C387">
        <f t="shared" ref="C387:C450" si="20">(B388-B387)/B387</f>
        <v>-1.2860843694096727E-2</v>
      </c>
      <c r="K387">
        <f t="shared" si="18"/>
        <v>328.06564331054688</v>
      </c>
      <c r="L387" s="5">
        <f t="shared" si="19"/>
        <v>-3.8311710963339407E-2</v>
      </c>
    </row>
    <row r="388" spans="1:12" x14ac:dyDescent="0.3">
      <c r="A388" s="2">
        <v>45576</v>
      </c>
      <c r="B388">
        <v>311.4393310546875</v>
      </c>
      <c r="C388">
        <f t="shared" si="20"/>
        <v>1.9693796640238943E-3</v>
      </c>
      <c r="K388">
        <f t="shared" si="18"/>
        <v>328.06564331054688</v>
      </c>
      <c r="L388" s="5">
        <f t="shared" si="19"/>
        <v>-5.0679833731083201E-2</v>
      </c>
    </row>
    <row r="389" spans="1:12" x14ac:dyDescent="0.3">
      <c r="A389" s="2">
        <v>45579</v>
      </c>
      <c r="B389">
        <v>312.05267333984381</v>
      </c>
      <c r="C389">
        <f t="shared" si="20"/>
        <v>-2.5703785751128774E-3</v>
      </c>
      <c r="K389">
        <f t="shared" si="18"/>
        <v>328.06564331054688</v>
      </c>
      <c r="L389" s="5">
        <f t="shared" si="19"/>
        <v>-4.8810261900985474E-2</v>
      </c>
    </row>
    <row r="390" spans="1:12" x14ac:dyDescent="0.3">
      <c r="A390" s="2">
        <v>45580</v>
      </c>
      <c r="B390">
        <v>311.25057983398438</v>
      </c>
      <c r="C390">
        <f t="shared" si="20"/>
        <v>-8.0337803713069859E-3</v>
      </c>
      <c r="K390">
        <f t="shared" si="18"/>
        <v>328.06564331054688</v>
      </c>
      <c r="L390" s="5">
        <f t="shared" si="19"/>
        <v>-5.1255179624662417E-2</v>
      </c>
    </row>
    <row r="391" spans="1:12" x14ac:dyDescent="0.3">
      <c r="A391" s="2">
        <v>45581</v>
      </c>
      <c r="B391">
        <v>308.75006103515619</v>
      </c>
      <c r="C391">
        <f t="shared" si="20"/>
        <v>1.2072010202111023E-2</v>
      </c>
      <c r="K391">
        <f t="shared" si="18"/>
        <v>328.06564331054688</v>
      </c>
      <c r="L391" s="5">
        <f t="shared" si="19"/>
        <v>-5.887718713997292E-2</v>
      </c>
    </row>
    <row r="392" spans="1:12" x14ac:dyDescent="0.3">
      <c r="A392" s="2">
        <v>45582</v>
      </c>
      <c r="B392">
        <v>312.477294921875</v>
      </c>
      <c r="C392">
        <f t="shared" si="20"/>
        <v>2.7176779250367412E-3</v>
      </c>
      <c r="K392">
        <f t="shared" si="18"/>
        <v>328.06564331054688</v>
      </c>
      <c r="L392" s="5">
        <f t="shared" si="19"/>
        <v>-4.7515942941687261E-2</v>
      </c>
    </row>
    <row r="393" spans="1:12" x14ac:dyDescent="0.3">
      <c r="A393" s="2">
        <v>45583</v>
      </c>
      <c r="B393">
        <v>313.32650756835938</v>
      </c>
      <c r="C393">
        <f t="shared" si="20"/>
        <v>-2.7103121694837763E-3</v>
      </c>
      <c r="K393">
        <f t="shared" si="18"/>
        <v>328.06564331054688</v>
      </c>
      <c r="L393" s="5">
        <f t="shared" si="19"/>
        <v>-4.4927398045870426E-2</v>
      </c>
    </row>
    <row r="394" spans="1:12" x14ac:dyDescent="0.3">
      <c r="A394" s="2">
        <v>45586</v>
      </c>
      <c r="B394">
        <v>312.477294921875</v>
      </c>
      <c r="C394">
        <f t="shared" si="20"/>
        <v>-2.5366100818262394E-2</v>
      </c>
      <c r="K394">
        <f t="shared" si="18"/>
        <v>328.06564331054688</v>
      </c>
      <c r="L394" s="5">
        <f t="shared" si="19"/>
        <v>-4.7515942941687261E-2</v>
      </c>
    </row>
    <row r="395" spans="1:12" x14ac:dyDescent="0.3">
      <c r="A395" s="2">
        <v>45587</v>
      </c>
      <c r="B395">
        <v>304.55096435546881</v>
      </c>
      <c r="C395">
        <f t="shared" si="20"/>
        <v>-1.8125510169521446E-2</v>
      </c>
      <c r="K395">
        <f t="shared" si="18"/>
        <v>328.06564331054688</v>
      </c>
      <c r="L395" s="5">
        <f t="shared" si="19"/>
        <v>-7.1676749560816044E-2</v>
      </c>
    </row>
    <row r="396" spans="1:12" x14ac:dyDescent="0.3">
      <c r="A396" s="2">
        <v>45588</v>
      </c>
      <c r="B396">
        <v>299.03082275390619</v>
      </c>
      <c r="C396">
        <f t="shared" si="20"/>
        <v>7.1001675538307999E-3</v>
      </c>
      <c r="K396">
        <f t="shared" si="18"/>
        <v>328.06564331054688</v>
      </c>
      <c r="L396" s="5">
        <f t="shared" si="19"/>
        <v>-8.8503082077254658E-2</v>
      </c>
    </row>
    <row r="397" spans="1:12" x14ac:dyDescent="0.3">
      <c r="A397" s="2">
        <v>45589</v>
      </c>
      <c r="B397">
        <v>301.15399169921881</v>
      </c>
      <c r="C397">
        <f t="shared" si="20"/>
        <v>-1.0496833570897616E-2</v>
      </c>
      <c r="K397">
        <f t="shared" si="18"/>
        <v>328.06564331054688</v>
      </c>
      <c r="L397" s="5">
        <f t="shared" si="19"/>
        <v>-8.2031301235202858E-2</v>
      </c>
    </row>
    <row r="398" spans="1:12" x14ac:dyDescent="0.3">
      <c r="A398" s="2">
        <v>45590</v>
      </c>
      <c r="B398">
        <v>297.99282836914063</v>
      </c>
      <c r="C398">
        <f t="shared" si="20"/>
        <v>7.9164297998416677E-3</v>
      </c>
      <c r="K398">
        <f t="shared" si="18"/>
        <v>328.06564331054688</v>
      </c>
      <c r="L398" s="5">
        <f t="shared" si="19"/>
        <v>-9.1667065889430299E-2</v>
      </c>
    </row>
    <row r="399" spans="1:12" x14ac:dyDescent="0.3">
      <c r="A399" s="2">
        <v>45593</v>
      </c>
      <c r="B399">
        <v>300.35186767578119</v>
      </c>
      <c r="C399">
        <f t="shared" si="20"/>
        <v>7.0687355020815912E-3</v>
      </c>
      <c r="K399">
        <f t="shared" si="18"/>
        <v>328.06564331054688</v>
      </c>
      <c r="L399" s="5">
        <f t="shared" si="19"/>
        <v>-8.4476311981659835E-2</v>
      </c>
    </row>
    <row r="400" spans="1:12" x14ac:dyDescent="0.3">
      <c r="A400" s="2">
        <v>45594</v>
      </c>
      <c r="B400">
        <v>302.4749755859375</v>
      </c>
      <c r="C400">
        <f t="shared" si="20"/>
        <v>-6.5509761388288217E-3</v>
      </c>
      <c r="K400">
        <f t="shared" si="18"/>
        <v>328.06564331054688</v>
      </c>
      <c r="L400" s="5">
        <f t="shared" si="19"/>
        <v>-7.8004717185167882E-2</v>
      </c>
    </row>
    <row r="401" spans="1:12" x14ac:dyDescent="0.3">
      <c r="A401" s="2">
        <v>45595</v>
      </c>
      <c r="B401">
        <v>300.49346923828119</v>
      </c>
      <c r="C401">
        <f t="shared" si="20"/>
        <v>7.3793209208893934E-3</v>
      </c>
      <c r="K401">
        <f t="shared" si="18"/>
        <v>328.06564331054688</v>
      </c>
      <c r="L401" s="5">
        <f t="shared" si="19"/>
        <v>-8.4044686283000547E-2</v>
      </c>
    </row>
    <row r="402" spans="1:12" x14ac:dyDescent="0.3">
      <c r="A402" s="2">
        <v>45596</v>
      </c>
      <c r="B402">
        <v>302.71090698242188</v>
      </c>
      <c r="C402">
        <f t="shared" si="20"/>
        <v>3.8964714099308708E-3</v>
      </c>
      <c r="K402">
        <f t="shared" si="18"/>
        <v>328.06564331054688</v>
      </c>
      <c r="L402" s="5">
        <f t="shared" si="19"/>
        <v>-7.7285558073888927E-2</v>
      </c>
    </row>
    <row r="403" spans="1:12" x14ac:dyDescent="0.3">
      <c r="A403" s="2">
        <v>45597</v>
      </c>
      <c r="B403">
        <v>303.89041137695313</v>
      </c>
      <c r="C403">
        <f t="shared" si="20"/>
        <v>-2.0493516642747588E-2</v>
      </c>
      <c r="K403">
        <f t="shared" si="18"/>
        <v>328.06564331054688</v>
      </c>
      <c r="L403" s="5">
        <f t="shared" si="19"/>
        <v>-7.3690227631393546E-2</v>
      </c>
    </row>
    <row r="404" spans="1:12" x14ac:dyDescent="0.3">
      <c r="A404" s="2">
        <v>45600</v>
      </c>
      <c r="B404">
        <v>297.66262817382813</v>
      </c>
      <c r="C404">
        <f t="shared" si="20"/>
        <v>3.6454476399939615E-3</v>
      </c>
      <c r="K404">
        <f t="shared" si="18"/>
        <v>328.06564331054688</v>
      </c>
      <c r="L404" s="5">
        <f t="shared" si="19"/>
        <v>-9.2673572367769297E-2</v>
      </c>
    </row>
    <row r="405" spans="1:12" x14ac:dyDescent="0.3">
      <c r="A405" s="2">
        <v>45601</v>
      </c>
      <c r="B405">
        <v>298.74774169921881</v>
      </c>
      <c r="C405">
        <f t="shared" si="20"/>
        <v>6.0013079498711279E-3</v>
      </c>
      <c r="K405">
        <f t="shared" si="18"/>
        <v>328.06564331054688</v>
      </c>
      <c r="L405" s="5">
        <f t="shared" si="19"/>
        <v>-8.9365961383453207E-2</v>
      </c>
    </row>
    <row r="406" spans="1:12" x14ac:dyDescent="0.3">
      <c r="A406" s="2">
        <v>45602</v>
      </c>
      <c r="B406">
        <v>300.54061889648438</v>
      </c>
      <c r="C406">
        <f t="shared" si="20"/>
        <v>-1.7425365158713114E-2</v>
      </c>
      <c r="K406">
        <f t="shared" si="18"/>
        <v>328.06564331054688</v>
      </c>
      <c r="L406" s="5">
        <f t="shared" si="19"/>
        <v>-8.3900966088080509E-2</v>
      </c>
    </row>
    <row r="407" spans="1:12" x14ac:dyDescent="0.3">
      <c r="A407" s="2">
        <v>45603</v>
      </c>
      <c r="B407">
        <v>295.3035888671875</v>
      </c>
      <c r="C407">
        <f t="shared" si="20"/>
        <v>1.0544713030775152E-2</v>
      </c>
      <c r="K407">
        <f t="shared" si="18"/>
        <v>328.06564331054688</v>
      </c>
      <c r="L407" s="5">
        <f t="shared" si="19"/>
        <v>-9.9864326275539983E-2</v>
      </c>
    </row>
    <row r="408" spans="1:12" x14ac:dyDescent="0.3">
      <c r="A408" s="2">
        <v>45604</v>
      </c>
      <c r="B408">
        <v>298.41748046875</v>
      </c>
      <c r="C408">
        <f t="shared" si="20"/>
        <v>4.2845949253794841E-2</v>
      </c>
      <c r="K408">
        <f t="shared" si="18"/>
        <v>328.06564331054688</v>
      </c>
      <c r="L408" s="5">
        <f t="shared" si="19"/>
        <v>-9.0372653907352052E-2</v>
      </c>
    </row>
    <row r="409" spans="1:12" x14ac:dyDescent="0.3">
      <c r="A409" s="2">
        <v>45607</v>
      </c>
      <c r="B409">
        <v>311.20346069335938</v>
      </c>
      <c r="C409">
        <f t="shared" si="20"/>
        <v>-2.1528284096664727E-2</v>
      </c>
      <c r="K409">
        <f t="shared" si="18"/>
        <v>328.06564331054688</v>
      </c>
      <c r="L409" s="5">
        <f t="shared" si="19"/>
        <v>-5.1398806796802421E-2</v>
      </c>
    </row>
    <row r="410" spans="1:12" x14ac:dyDescent="0.3">
      <c r="A410" s="2">
        <v>45608</v>
      </c>
      <c r="B410">
        <v>304.5037841796875</v>
      </c>
      <c r="C410">
        <f t="shared" si="20"/>
        <v>-1.4564671406436788E-2</v>
      </c>
      <c r="K410">
        <f t="shared" si="18"/>
        <v>328.06564331054688</v>
      </c>
      <c r="L410" s="5">
        <f t="shared" si="19"/>
        <v>-7.1820562778516006E-2</v>
      </c>
    </row>
    <row r="411" spans="1:12" x14ac:dyDescent="0.3">
      <c r="A411" s="2">
        <v>45609</v>
      </c>
      <c r="B411">
        <v>300.06878662109381</v>
      </c>
      <c r="C411">
        <f t="shared" si="20"/>
        <v>-4.4657322427903851E-3</v>
      </c>
      <c r="K411">
        <f t="shared" si="18"/>
        <v>328.06564331054688</v>
      </c>
      <c r="L411" s="5">
        <f t="shared" si="19"/>
        <v>-8.5339191287858385E-2</v>
      </c>
    </row>
    <row r="412" spans="1:12" x14ac:dyDescent="0.3">
      <c r="A412" s="2">
        <v>45610</v>
      </c>
      <c r="B412">
        <v>298.728759765625</v>
      </c>
      <c r="C412">
        <f t="shared" si="20"/>
        <v>-1.6028614089815812E-4</v>
      </c>
      <c r="K412">
        <f t="shared" si="18"/>
        <v>328.06564331054688</v>
      </c>
      <c r="L412" s="5">
        <f t="shared" si="19"/>
        <v>-8.9423821552540916E-2</v>
      </c>
    </row>
    <row r="413" spans="1:12" x14ac:dyDescent="0.3">
      <c r="A413" s="2">
        <v>45614</v>
      </c>
      <c r="B413">
        <v>298.68087768554688</v>
      </c>
      <c r="C413">
        <f t="shared" si="20"/>
        <v>9.6139079969449811E-3</v>
      </c>
      <c r="K413">
        <f t="shared" si="18"/>
        <v>328.06564331054688</v>
      </c>
      <c r="L413" s="5">
        <f t="shared" si="19"/>
        <v>-8.9569774294178006E-2</v>
      </c>
    </row>
    <row r="414" spans="1:12" x14ac:dyDescent="0.3">
      <c r="A414" s="2">
        <v>45615</v>
      </c>
      <c r="B414">
        <v>301.5523681640625</v>
      </c>
      <c r="C414">
        <f t="shared" si="20"/>
        <v>3.4439001148435608E-2</v>
      </c>
      <c r="K414">
        <f t="shared" si="18"/>
        <v>328.06564331054688</v>
      </c>
      <c r="L414" s="5">
        <f t="shared" si="19"/>
        <v>-8.0816981866604354E-2</v>
      </c>
    </row>
    <row r="415" spans="1:12" x14ac:dyDescent="0.3">
      <c r="A415" s="2">
        <v>45617</v>
      </c>
      <c r="B415">
        <v>311.93753051757813</v>
      </c>
      <c r="C415">
        <f t="shared" si="20"/>
        <v>3.3906242769578723E-2</v>
      </c>
      <c r="K415">
        <f t="shared" si="18"/>
        <v>328.06564331054688</v>
      </c>
      <c r="L415" s="5">
        <f t="shared" si="19"/>
        <v>-4.9161236849485923E-2</v>
      </c>
    </row>
    <row r="416" spans="1:12" x14ac:dyDescent="0.3">
      <c r="A416" s="2">
        <v>45618</v>
      </c>
      <c r="B416">
        <v>322.51416015625</v>
      </c>
      <c r="C416">
        <f t="shared" si="20"/>
        <v>1.7213145468116257E-2</v>
      </c>
      <c r="K416">
        <f t="shared" si="18"/>
        <v>328.06564331054688</v>
      </c>
      <c r="L416" s="5">
        <f t="shared" si="19"/>
        <v>-1.6921866911378647E-2</v>
      </c>
    </row>
    <row r="417" spans="1:12" x14ac:dyDescent="0.3">
      <c r="A417" s="2">
        <v>45621</v>
      </c>
      <c r="B417">
        <v>328.06564331054688</v>
      </c>
      <c r="C417">
        <f t="shared" si="20"/>
        <v>-1.1524406154201071E-2</v>
      </c>
      <c r="K417">
        <f t="shared" si="18"/>
        <v>328.06564331054688</v>
      </c>
      <c r="L417" s="5">
        <f t="shared" si="19"/>
        <v>0</v>
      </c>
    </row>
    <row r="418" spans="1:12" x14ac:dyDescent="0.3">
      <c r="A418" s="2">
        <v>45622</v>
      </c>
      <c r="B418">
        <v>324.28488159179688</v>
      </c>
      <c r="C418">
        <f t="shared" si="20"/>
        <v>1.3282305839913866E-3</v>
      </c>
      <c r="K418">
        <f t="shared" si="18"/>
        <v>324.71560668945313</v>
      </c>
      <c r="L418" s="5">
        <f t="shared" si="19"/>
        <v>-1.3264687276586251E-3</v>
      </c>
    </row>
    <row r="419" spans="1:12" x14ac:dyDescent="0.3">
      <c r="A419" s="2">
        <v>45623</v>
      </c>
      <c r="B419">
        <v>324.71560668945313</v>
      </c>
      <c r="C419">
        <f t="shared" si="20"/>
        <v>-1.6506894883697151E-2</v>
      </c>
      <c r="K419">
        <f t="shared" si="18"/>
        <v>324.71560668945313</v>
      </c>
      <c r="L419" s="5">
        <f t="shared" si="19"/>
        <v>0</v>
      </c>
    </row>
    <row r="420" spans="1:12" x14ac:dyDescent="0.3">
      <c r="A420" s="2">
        <v>45624</v>
      </c>
      <c r="B420">
        <v>319.35556030273438</v>
      </c>
      <c r="C420">
        <f t="shared" si="20"/>
        <v>-1.2738036070604607E-2</v>
      </c>
      <c r="K420">
        <f t="shared" si="18"/>
        <v>320.64767456054688</v>
      </c>
      <c r="L420" s="5">
        <f t="shared" si="19"/>
        <v>-4.0297010093192087E-3</v>
      </c>
    </row>
    <row r="421" spans="1:12" x14ac:dyDescent="0.3">
      <c r="A421" s="2">
        <v>45625</v>
      </c>
      <c r="B421">
        <v>315.28759765625</v>
      </c>
      <c r="C421">
        <f t="shared" si="20"/>
        <v>-4.7054865272129027E-3</v>
      </c>
      <c r="K421">
        <f t="shared" si="18"/>
        <v>320.64767456054688</v>
      </c>
      <c r="L421" s="5">
        <f t="shared" si="19"/>
        <v>-1.6716406603113354E-2</v>
      </c>
    </row>
    <row r="422" spans="1:12" x14ac:dyDescent="0.3">
      <c r="A422" s="2">
        <v>45628</v>
      </c>
      <c r="B422">
        <v>313.80401611328119</v>
      </c>
      <c r="C422">
        <f t="shared" si="20"/>
        <v>5.490273497407972E-3</v>
      </c>
      <c r="K422">
        <f t="shared" si="18"/>
        <v>320.64767456054688</v>
      </c>
      <c r="L422" s="5">
        <f t="shared" si="19"/>
        <v>-2.1343234304271874E-2</v>
      </c>
    </row>
    <row r="423" spans="1:12" x14ac:dyDescent="0.3">
      <c r="A423" s="2">
        <v>45629</v>
      </c>
      <c r="B423">
        <v>315.52688598632813</v>
      </c>
      <c r="C423">
        <f t="shared" si="20"/>
        <v>-1.3954194648804343E-2</v>
      </c>
      <c r="K423">
        <f t="shared" si="18"/>
        <v>320.64767456054688</v>
      </c>
      <c r="L423" s="5">
        <f t="shared" si="19"/>
        <v>-1.5970141000513638E-2</v>
      </c>
    </row>
    <row r="424" spans="1:12" x14ac:dyDescent="0.3">
      <c r="A424" s="2">
        <v>45630</v>
      </c>
      <c r="B424">
        <v>311.12396240234381</v>
      </c>
      <c r="C424">
        <f t="shared" si="20"/>
        <v>1.0152419197422843E-2</v>
      </c>
      <c r="K424">
        <f t="shared" si="18"/>
        <v>320.64767456054688</v>
      </c>
      <c r="L424" s="5">
        <f t="shared" si="19"/>
        <v>-2.9701485193228017E-2</v>
      </c>
    </row>
    <row r="425" spans="1:12" x14ac:dyDescent="0.3">
      <c r="A425" s="2">
        <v>45631</v>
      </c>
      <c r="B425">
        <v>314.28262329101563</v>
      </c>
      <c r="C425">
        <f t="shared" si="20"/>
        <v>1.6750153640177376E-3</v>
      </c>
      <c r="K425">
        <f t="shared" si="18"/>
        <v>320.64767456054688</v>
      </c>
      <c r="L425" s="5">
        <f t="shared" si="19"/>
        <v>-1.9850607924272845E-2</v>
      </c>
    </row>
    <row r="426" spans="1:12" x14ac:dyDescent="0.3">
      <c r="A426" s="2">
        <v>45632</v>
      </c>
      <c r="B426">
        <v>314.80905151367188</v>
      </c>
      <c r="C426">
        <f t="shared" si="20"/>
        <v>6.0791051433163948E-4</v>
      </c>
      <c r="K426">
        <f t="shared" si="18"/>
        <v>320.64767456054688</v>
      </c>
      <c r="L426" s="5">
        <f t="shared" si="19"/>
        <v>-1.82088426335133E-2</v>
      </c>
    </row>
    <row r="427" spans="1:12" x14ac:dyDescent="0.3">
      <c r="A427" s="2">
        <v>45635</v>
      </c>
      <c r="B427">
        <v>315.00042724609381</v>
      </c>
      <c r="C427">
        <f t="shared" si="20"/>
        <v>-3.6462159126384374E-3</v>
      </c>
      <c r="K427">
        <f t="shared" si="18"/>
        <v>320.64767456054688</v>
      </c>
      <c r="L427" s="5">
        <f t="shared" si="19"/>
        <v>-1.7612001466072447E-2</v>
      </c>
    </row>
    <row r="428" spans="1:12" x14ac:dyDescent="0.3">
      <c r="A428" s="2">
        <v>45636</v>
      </c>
      <c r="B428">
        <v>313.85186767578119</v>
      </c>
      <c r="C428">
        <f t="shared" si="20"/>
        <v>-1.0673553022285177E-3</v>
      </c>
      <c r="K428">
        <f t="shared" si="18"/>
        <v>320.64767456054688</v>
      </c>
      <c r="L428" s="5">
        <f t="shared" si="19"/>
        <v>-2.1194000218711873E-2</v>
      </c>
    </row>
    <row r="429" spans="1:12" x14ac:dyDescent="0.3">
      <c r="A429" s="2">
        <v>45637</v>
      </c>
      <c r="B429">
        <v>313.51687622070313</v>
      </c>
      <c r="C429">
        <f t="shared" si="20"/>
        <v>5.0374168197411529E-3</v>
      </c>
      <c r="K429">
        <f t="shared" si="18"/>
        <v>320.64767456054688</v>
      </c>
      <c r="L429" s="5">
        <f t="shared" si="19"/>
        <v>-2.2238733992431481E-2</v>
      </c>
    </row>
    <row r="430" spans="1:12" x14ac:dyDescent="0.3">
      <c r="A430" s="2">
        <v>45638</v>
      </c>
      <c r="B430">
        <v>315.09619140625</v>
      </c>
      <c r="C430">
        <f t="shared" si="20"/>
        <v>1.4125034672881519E-2</v>
      </c>
      <c r="K430">
        <f t="shared" si="18"/>
        <v>320.64767456054688</v>
      </c>
      <c r="L430" s="5">
        <f t="shared" si="19"/>
        <v>-1.7313342945353583E-2</v>
      </c>
    </row>
    <row r="431" spans="1:12" x14ac:dyDescent="0.3">
      <c r="A431" s="2">
        <v>45639</v>
      </c>
      <c r="B431">
        <v>319.54693603515619</v>
      </c>
      <c r="C431">
        <f t="shared" si="20"/>
        <v>3.4446849625545456E-3</v>
      </c>
      <c r="K431">
        <f t="shared" si="18"/>
        <v>320.64767456054688</v>
      </c>
      <c r="L431" s="5">
        <f t="shared" si="19"/>
        <v>-3.4328598418786882E-3</v>
      </c>
    </row>
    <row r="432" spans="1:12" x14ac:dyDescent="0.3">
      <c r="A432" s="2">
        <v>45642</v>
      </c>
      <c r="B432">
        <v>320.64767456054688</v>
      </c>
      <c r="C432">
        <f t="shared" si="20"/>
        <v>-1.5522343569034218E-2</v>
      </c>
      <c r="K432">
        <f t="shared" si="18"/>
        <v>320.64767456054688</v>
      </c>
      <c r="L432" s="5">
        <f t="shared" si="19"/>
        <v>0</v>
      </c>
    </row>
    <row r="433" spans="1:12" x14ac:dyDescent="0.3">
      <c r="A433" s="2">
        <v>45643</v>
      </c>
      <c r="B433">
        <v>315.67047119140619</v>
      </c>
      <c r="C433">
        <f t="shared" si="20"/>
        <v>-2.501525054887457E-2</v>
      </c>
      <c r="K433">
        <f t="shared" si="18"/>
        <v>315.67047119140619</v>
      </c>
      <c r="L433" s="5">
        <f t="shared" si="19"/>
        <v>0</v>
      </c>
    </row>
    <row r="434" spans="1:12" x14ac:dyDescent="0.3">
      <c r="A434" s="2">
        <v>45644</v>
      </c>
      <c r="B434">
        <v>307.77389526367188</v>
      </c>
      <c r="C434">
        <f t="shared" si="20"/>
        <v>3.1095270415319178E-4</v>
      </c>
      <c r="K434">
        <f t="shared" si="18"/>
        <v>309.872314453125</v>
      </c>
      <c r="L434" s="5">
        <f t="shared" si="19"/>
        <v>-6.7718834228752689E-3</v>
      </c>
    </row>
    <row r="435" spans="1:12" x14ac:dyDescent="0.3">
      <c r="A435" s="2">
        <v>45645</v>
      </c>
      <c r="B435">
        <v>307.86959838867188</v>
      </c>
      <c r="C435">
        <f t="shared" si="20"/>
        <v>-1.818745749395511E-2</v>
      </c>
      <c r="K435">
        <f t="shared" si="18"/>
        <v>309.872314453125</v>
      </c>
      <c r="L435" s="5">
        <f t="shared" si="19"/>
        <v>-6.4630364541846674E-3</v>
      </c>
    </row>
    <row r="436" spans="1:12" x14ac:dyDescent="0.3">
      <c r="A436" s="2">
        <v>45646</v>
      </c>
      <c r="B436">
        <v>302.27023315429688</v>
      </c>
      <c r="C436">
        <f t="shared" si="20"/>
        <v>-1.5833751565277855E-3</v>
      </c>
      <c r="K436">
        <f t="shared" si="18"/>
        <v>309.872314453125</v>
      </c>
      <c r="L436" s="5">
        <f t="shared" si="19"/>
        <v>-2.4532947747347378E-2</v>
      </c>
    </row>
    <row r="437" spans="1:12" x14ac:dyDescent="0.3">
      <c r="A437" s="2">
        <v>45649</v>
      </c>
      <c r="B437">
        <v>301.7916259765625</v>
      </c>
      <c r="C437">
        <f t="shared" si="20"/>
        <v>-1.6491982896738512E-2</v>
      </c>
      <c r="K437">
        <f t="shared" si="18"/>
        <v>309.872314453125</v>
      </c>
      <c r="L437" s="5">
        <f t="shared" si="19"/>
        <v>-2.6077478043895708E-2</v>
      </c>
    </row>
    <row r="438" spans="1:12" x14ac:dyDescent="0.3">
      <c r="A438" s="2">
        <v>45650</v>
      </c>
      <c r="B438">
        <v>296.81448364257813</v>
      </c>
      <c r="C438">
        <f t="shared" si="20"/>
        <v>6.447654779957716E-4</v>
      </c>
      <c r="K438">
        <f t="shared" si="18"/>
        <v>309.872314453125</v>
      </c>
      <c r="L438" s="5">
        <f t="shared" si="19"/>
        <v>-4.2139391618744138E-2</v>
      </c>
    </row>
    <row r="439" spans="1:12" x14ac:dyDescent="0.3">
      <c r="A439" s="2">
        <v>45652</v>
      </c>
      <c r="B439">
        <v>297.005859375</v>
      </c>
      <c r="C439">
        <f t="shared" si="20"/>
        <v>-2.9003457357612106E-3</v>
      </c>
      <c r="K439">
        <f t="shared" si="18"/>
        <v>309.872314453125</v>
      </c>
      <c r="L439" s="5">
        <f t="shared" si="19"/>
        <v>-4.1521796165727931E-2</v>
      </c>
    </row>
    <row r="440" spans="1:12" x14ac:dyDescent="0.3">
      <c r="A440" s="2">
        <v>45653</v>
      </c>
      <c r="B440">
        <v>296.14443969726563</v>
      </c>
      <c r="C440">
        <f t="shared" si="20"/>
        <v>-5.9792493060377644E-3</v>
      </c>
      <c r="K440">
        <f t="shared" si="18"/>
        <v>309.872314453125</v>
      </c>
      <c r="L440" s="5">
        <f t="shared" si="19"/>
        <v>-4.4301714337038667E-2</v>
      </c>
    </row>
    <row r="441" spans="1:12" x14ac:dyDescent="0.3">
      <c r="A441" s="2">
        <v>45656</v>
      </c>
      <c r="B441">
        <v>294.37371826171881</v>
      </c>
      <c r="C441">
        <f t="shared" si="20"/>
        <v>3.73915176365636E-3</v>
      </c>
      <c r="K441">
        <f t="shared" si="18"/>
        <v>309.872314453125</v>
      </c>
      <c r="L441" s="5">
        <f t="shared" si="19"/>
        <v>-5.0016072648370491E-2</v>
      </c>
    </row>
    <row r="442" spans="1:12" x14ac:dyDescent="0.3">
      <c r="A442" s="2">
        <v>45657</v>
      </c>
      <c r="B442">
        <v>295.47442626953119</v>
      </c>
      <c r="C442">
        <f t="shared" si="20"/>
        <v>5.5070663345350703E-3</v>
      </c>
      <c r="K442">
        <f t="shared" si="18"/>
        <v>309.872314453125</v>
      </c>
      <c r="L442" s="5">
        <f t="shared" si="19"/>
        <v>-4.6463938570968422E-2</v>
      </c>
    </row>
    <row r="443" spans="1:12" x14ac:dyDescent="0.3">
      <c r="A443" s="2">
        <v>45658</v>
      </c>
      <c r="B443">
        <v>297.10162353515619</v>
      </c>
      <c r="C443">
        <f t="shared" si="20"/>
        <v>1.5302771547953E-2</v>
      </c>
      <c r="K443">
        <f t="shared" si="18"/>
        <v>309.872314453125</v>
      </c>
      <c r="L443" s="5">
        <f t="shared" si="19"/>
        <v>-4.1212752228307448E-2</v>
      </c>
    </row>
    <row r="444" spans="1:12" x14ac:dyDescent="0.3">
      <c r="A444" s="2">
        <v>45659</v>
      </c>
      <c r="B444">
        <v>301.64810180664063</v>
      </c>
      <c r="C444">
        <f t="shared" si="20"/>
        <v>2.855710586524935E-3</v>
      </c>
      <c r="K444">
        <f t="shared" si="18"/>
        <v>309.872314453125</v>
      </c>
      <c r="L444" s="5">
        <f t="shared" si="19"/>
        <v>-2.6540650012566558E-2</v>
      </c>
    </row>
    <row r="445" spans="1:12" x14ac:dyDescent="0.3">
      <c r="A445" s="2">
        <v>45660</v>
      </c>
      <c r="B445">
        <v>302.509521484375</v>
      </c>
      <c r="C445">
        <f t="shared" si="20"/>
        <v>-3.1798618167203224E-2</v>
      </c>
      <c r="K445">
        <f t="shared" si="18"/>
        <v>309.872314453125</v>
      </c>
      <c r="L445" s="5">
        <f t="shared" si="19"/>
        <v>-2.3760731841255822E-2</v>
      </c>
    </row>
    <row r="446" spans="1:12" x14ac:dyDescent="0.3">
      <c r="A446" s="2">
        <v>45663</v>
      </c>
      <c r="B446">
        <v>292.89013671875</v>
      </c>
      <c r="C446">
        <f t="shared" si="20"/>
        <v>-3.1047914523732473E-3</v>
      </c>
      <c r="K446">
        <f t="shared" si="18"/>
        <v>309.872314453125</v>
      </c>
      <c r="L446" s="5">
        <f t="shared" si="19"/>
        <v>-5.4803791569265625E-2</v>
      </c>
    </row>
    <row r="447" spans="1:12" x14ac:dyDescent="0.3">
      <c r="A447" s="2">
        <v>45664</v>
      </c>
      <c r="B447">
        <v>291.98077392578119</v>
      </c>
      <c r="C447">
        <f t="shared" si="20"/>
        <v>5.2451883048104109E-3</v>
      </c>
      <c r="K447">
        <f t="shared" si="18"/>
        <v>309.872314453125</v>
      </c>
      <c r="L447" s="5">
        <f t="shared" si="19"/>
        <v>-5.7738428678016929E-2</v>
      </c>
    </row>
    <row r="448" spans="1:12" x14ac:dyDescent="0.3">
      <c r="A448" s="2">
        <v>45665</v>
      </c>
      <c r="B448">
        <v>293.51226806640619</v>
      </c>
      <c r="C448">
        <f t="shared" si="20"/>
        <v>-4.5653844274318317E-3</v>
      </c>
      <c r="K448">
        <f t="shared" si="18"/>
        <v>309.872314453125</v>
      </c>
      <c r="L448" s="5">
        <f t="shared" si="19"/>
        <v>-5.2796089304046667E-2</v>
      </c>
    </row>
    <row r="449" spans="1:12" x14ac:dyDescent="0.3">
      <c r="A449" s="2">
        <v>45666</v>
      </c>
      <c r="B449">
        <v>292.17227172851563</v>
      </c>
      <c r="C449">
        <f t="shared" si="20"/>
        <v>-1.8181930228858643E-2</v>
      </c>
      <c r="K449">
        <f t="shared" si="18"/>
        <v>309.872314453125</v>
      </c>
      <c r="L449" s="5">
        <f t="shared" si="19"/>
        <v>-5.7120439287540514E-2</v>
      </c>
    </row>
    <row r="450" spans="1:12" x14ac:dyDescent="0.3">
      <c r="A450" s="2">
        <v>45667</v>
      </c>
      <c r="B450">
        <v>286.86001586914063</v>
      </c>
      <c r="C450">
        <f t="shared" si="20"/>
        <v>-4.0373713181378085E-2</v>
      </c>
      <c r="K450">
        <f t="shared" ref="K450:K513" si="21">MAX(B450:B1189)</f>
        <v>309.872314453125</v>
      </c>
      <c r="L450" s="5">
        <f t="shared" ref="L450:L513" si="22">B450/K450-1</f>
        <v>-7.4263809674631309E-2</v>
      </c>
    </row>
    <row r="451" spans="1:12" x14ac:dyDescent="0.3">
      <c r="A451" s="2">
        <v>45670</v>
      </c>
      <c r="B451">
        <v>275.27841186523438</v>
      </c>
      <c r="C451">
        <f t="shared" ref="C451:C514" si="23">(B452-B451)/B451</f>
        <v>9.2143041884420324E-3</v>
      </c>
      <c r="K451">
        <f t="shared" si="21"/>
        <v>309.872314453125</v>
      </c>
      <c r="L451" s="5">
        <f t="shared" si="22"/>
        <v>-0.11163921710444935</v>
      </c>
    </row>
    <row r="452" spans="1:12" x14ac:dyDescent="0.3">
      <c r="A452" s="2">
        <v>45671</v>
      </c>
      <c r="B452">
        <v>277.81491088867188</v>
      </c>
      <c r="C452">
        <f t="shared" si="23"/>
        <v>2.8940491609819104E-2</v>
      </c>
      <c r="K452">
        <f t="shared" si="21"/>
        <v>309.872314453125</v>
      </c>
      <c r="L452" s="5">
        <f t="shared" si="22"/>
        <v>-0.10345359062176729</v>
      </c>
    </row>
    <row r="453" spans="1:12" x14ac:dyDescent="0.3">
      <c r="A453" s="2">
        <v>45672</v>
      </c>
      <c r="B453">
        <v>285.85501098632813</v>
      </c>
      <c r="C453">
        <f t="shared" si="23"/>
        <v>-3.3484941704814307E-3</v>
      </c>
      <c r="K453">
        <f t="shared" si="21"/>
        <v>309.872314453125</v>
      </c>
      <c r="L453" s="5">
        <f t="shared" si="22"/>
        <v>-7.750709678334311E-2</v>
      </c>
    </row>
    <row r="454" spans="1:12" x14ac:dyDescent="0.3">
      <c r="A454" s="2">
        <v>45673</v>
      </c>
      <c r="B454">
        <v>284.8978271484375</v>
      </c>
      <c r="C454">
        <f t="shared" si="23"/>
        <v>1.6630332368846253E-2</v>
      </c>
      <c r="K454">
        <f t="shared" si="21"/>
        <v>309.872314453125</v>
      </c>
      <c r="L454" s="5">
        <f t="shared" si="22"/>
        <v>-8.0596058892074551E-2</v>
      </c>
    </row>
    <row r="455" spans="1:12" x14ac:dyDescent="0.3">
      <c r="A455" s="2">
        <v>45674</v>
      </c>
      <c r="B455">
        <v>289.63577270507813</v>
      </c>
      <c r="C455">
        <f t="shared" si="23"/>
        <v>1.2062226675664868E-2</v>
      </c>
      <c r="K455">
        <f t="shared" si="21"/>
        <v>309.872314453125</v>
      </c>
      <c r="L455" s="5">
        <f t="shared" si="22"/>
        <v>-6.5306065770222577E-2</v>
      </c>
    </row>
    <row r="456" spans="1:12" x14ac:dyDescent="0.3">
      <c r="A456" s="2">
        <v>45677</v>
      </c>
      <c r="B456">
        <v>293.12942504882813</v>
      </c>
      <c r="C456">
        <f t="shared" si="23"/>
        <v>-1.273478659880805E-2</v>
      </c>
      <c r="K456">
        <f t="shared" si="21"/>
        <v>309.872314453125</v>
      </c>
      <c r="L456" s="5">
        <f t="shared" si="22"/>
        <v>-5.403157566317407E-2</v>
      </c>
    </row>
    <row r="457" spans="1:12" x14ac:dyDescent="0.3">
      <c r="A457" s="2">
        <v>45678</v>
      </c>
      <c r="B457">
        <v>289.396484375</v>
      </c>
      <c r="C457">
        <f t="shared" si="23"/>
        <v>-1.5875660554359489E-2</v>
      </c>
      <c r="K457">
        <f t="shared" si="21"/>
        <v>309.872314453125</v>
      </c>
      <c r="L457" s="5">
        <f t="shared" si="22"/>
        <v>-6.6078281676314243E-2</v>
      </c>
    </row>
    <row r="458" spans="1:12" x14ac:dyDescent="0.3">
      <c r="A458" s="2">
        <v>45679</v>
      </c>
      <c r="B458">
        <v>284.8021240234375</v>
      </c>
      <c r="C458">
        <f t="shared" si="23"/>
        <v>-1.0754365759875598E-2</v>
      </c>
      <c r="K458">
        <f t="shared" si="21"/>
        <v>309.872314453125</v>
      </c>
      <c r="L458" s="5">
        <f t="shared" si="22"/>
        <v>-8.0904905860765153E-2</v>
      </c>
    </row>
    <row r="459" spans="1:12" x14ac:dyDescent="0.3">
      <c r="A459" s="2">
        <v>45680</v>
      </c>
      <c r="B459">
        <v>281.7392578125</v>
      </c>
      <c r="C459">
        <f t="shared" si="23"/>
        <v>5.0960611921622451E-3</v>
      </c>
      <c r="K459">
        <f t="shared" si="21"/>
        <v>309.872314453125</v>
      </c>
      <c r="L459" s="5">
        <f t="shared" si="22"/>
        <v>-9.0789190671245801E-2</v>
      </c>
    </row>
    <row r="460" spans="1:12" x14ac:dyDescent="0.3">
      <c r="A460" s="2">
        <v>45681</v>
      </c>
      <c r="B460">
        <v>283.17501831054688</v>
      </c>
      <c r="C460">
        <f t="shared" si="23"/>
        <v>-2.9913960210921794E-2</v>
      </c>
      <c r="K460">
        <f t="shared" si="21"/>
        <v>309.872314453125</v>
      </c>
      <c r="L460" s="5">
        <f t="shared" si="22"/>
        <v>-8.6155796750331137E-2</v>
      </c>
    </row>
    <row r="461" spans="1:12" x14ac:dyDescent="0.3">
      <c r="A461" s="2">
        <v>45684</v>
      </c>
      <c r="B461">
        <v>274.70413208007813</v>
      </c>
      <c r="C461">
        <f t="shared" si="23"/>
        <v>-1.0627111799637949E-2</v>
      </c>
      <c r="K461">
        <f t="shared" si="21"/>
        <v>309.872314453125</v>
      </c>
      <c r="L461" s="5">
        <f t="shared" si="22"/>
        <v>-0.11349249588532317</v>
      </c>
    </row>
    <row r="462" spans="1:12" x14ac:dyDescent="0.3">
      <c r="A462" s="2">
        <v>45685</v>
      </c>
      <c r="B462">
        <v>271.78482055664063</v>
      </c>
      <c r="C462">
        <f t="shared" si="23"/>
        <v>1.3734800010554866E-2</v>
      </c>
      <c r="K462">
        <f t="shared" si="21"/>
        <v>309.872314453125</v>
      </c>
      <c r="L462" s="5">
        <f t="shared" si="22"/>
        <v>-0.12291351024276786</v>
      </c>
    </row>
    <row r="463" spans="1:12" x14ac:dyDescent="0.3">
      <c r="A463" s="2">
        <v>45686</v>
      </c>
      <c r="B463">
        <v>275.51773071289063</v>
      </c>
      <c r="C463">
        <f t="shared" si="23"/>
        <v>2.6055239353733568E-2</v>
      </c>
      <c r="K463">
        <f t="shared" si="21"/>
        <v>309.872314453125</v>
      </c>
      <c r="L463" s="5">
        <f t="shared" si="22"/>
        <v>-0.11086690271399269</v>
      </c>
    </row>
    <row r="464" spans="1:12" x14ac:dyDescent="0.3">
      <c r="A464" s="2">
        <v>45687</v>
      </c>
      <c r="B464">
        <v>282.6964111328125</v>
      </c>
      <c r="C464">
        <f t="shared" si="23"/>
        <v>2.133051420882795E-2</v>
      </c>
      <c r="K464">
        <f t="shared" si="21"/>
        <v>309.872314453125</v>
      </c>
      <c r="L464" s="5">
        <f t="shared" si="22"/>
        <v>-8.7700327046879356E-2</v>
      </c>
    </row>
    <row r="465" spans="1:12" x14ac:dyDescent="0.3">
      <c r="A465" s="2">
        <v>45688</v>
      </c>
      <c r="B465">
        <v>288.72647094726563</v>
      </c>
      <c r="C465">
        <f t="shared" si="23"/>
        <v>-3.9118214808198173E-2</v>
      </c>
      <c r="K465">
        <f t="shared" si="21"/>
        <v>309.872314453125</v>
      </c>
      <c r="L465" s="5">
        <f t="shared" si="22"/>
        <v>-6.8240505910243665E-2</v>
      </c>
    </row>
    <row r="466" spans="1:12" x14ac:dyDescent="0.3">
      <c r="A466" s="2">
        <v>45689</v>
      </c>
      <c r="B466">
        <v>277.4320068359375</v>
      </c>
      <c r="C466">
        <f t="shared" si="23"/>
        <v>-2.0872869240994175E-2</v>
      </c>
      <c r="K466">
        <f t="shared" si="21"/>
        <v>309.872314453125</v>
      </c>
      <c r="L466" s="5">
        <f t="shared" si="22"/>
        <v>-0.10468927394962491</v>
      </c>
    </row>
    <row r="467" spans="1:12" x14ac:dyDescent="0.3">
      <c r="A467" s="2">
        <v>45691</v>
      </c>
      <c r="B467">
        <v>271.64120483398438</v>
      </c>
      <c r="C467">
        <f t="shared" si="23"/>
        <v>6.5187163125977471E-3</v>
      </c>
      <c r="K467">
        <f t="shared" si="21"/>
        <v>309.872314453125</v>
      </c>
      <c r="L467" s="5">
        <f t="shared" si="22"/>
        <v>-0.12337697766453393</v>
      </c>
    </row>
    <row r="468" spans="1:12" x14ac:dyDescent="0.3">
      <c r="A468" s="2">
        <v>45692</v>
      </c>
      <c r="B468">
        <v>273.41195678710938</v>
      </c>
      <c r="C468">
        <f t="shared" si="23"/>
        <v>-1.5753703777908717E-3</v>
      </c>
      <c r="K468">
        <f t="shared" si="21"/>
        <v>309.872314453125</v>
      </c>
      <c r="L468" s="5">
        <f t="shared" si="22"/>
        <v>-0.117662520868837</v>
      </c>
    </row>
    <row r="469" spans="1:12" x14ac:dyDescent="0.3">
      <c r="A469" s="2">
        <v>45693</v>
      </c>
      <c r="B469">
        <v>272.98123168945313</v>
      </c>
      <c r="C469">
        <f t="shared" si="23"/>
        <v>-1.4200592976069779E-2</v>
      </c>
      <c r="K469">
        <f t="shared" si="21"/>
        <v>309.872314453125</v>
      </c>
      <c r="L469" s="5">
        <f t="shared" si="22"/>
        <v>-0.11905252919667486</v>
      </c>
    </row>
    <row r="470" spans="1:12" x14ac:dyDescent="0.3">
      <c r="A470" s="2">
        <v>45694</v>
      </c>
      <c r="B470">
        <v>269.104736328125</v>
      </c>
      <c r="C470">
        <f t="shared" si="23"/>
        <v>8.9963465737902281E-4</v>
      </c>
      <c r="K470">
        <f t="shared" si="21"/>
        <v>309.872314453125</v>
      </c>
      <c r="L470" s="5">
        <f t="shared" si="22"/>
        <v>-0.13156250566285099</v>
      </c>
    </row>
    <row r="471" spans="1:12" x14ac:dyDescent="0.3">
      <c r="A471" s="2">
        <v>45695</v>
      </c>
      <c r="B471">
        <v>269.34683227539063</v>
      </c>
      <c r="C471">
        <f t="shared" si="23"/>
        <v>-3.3974332755076872E-2</v>
      </c>
      <c r="K471">
        <f t="shared" si="21"/>
        <v>309.872314453125</v>
      </c>
      <c r="L471" s="5">
        <f t="shared" si="22"/>
        <v>-0.13078122919517787</v>
      </c>
    </row>
    <row r="472" spans="1:12" x14ac:dyDescent="0.3">
      <c r="A472" s="2">
        <v>45698</v>
      </c>
      <c r="B472">
        <v>260.19595336914063</v>
      </c>
      <c r="C472">
        <f t="shared" si="23"/>
        <v>-2.6981911192466523E-2</v>
      </c>
      <c r="K472">
        <f t="shared" si="21"/>
        <v>309.872314453125</v>
      </c>
      <c r="L472" s="5">
        <f t="shared" si="22"/>
        <v>-0.16031235695145984</v>
      </c>
    </row>
    <row r="473" spans="1:12" x14ac:dyDescent="0.3">
      <c r="A473" s="2">
        <v>45699</v>
      </c>
      <c r="B473">
        <v>253.17536926269531</v>
      </c>
      <c r="C473">
        <f t="shared" si="23"/>
        <v>-1.6829152619068442E-2</v>
      </c>
      <c r="K473">
        <f t="shared" si="21"/>
        <v>309.872314453125</v>
      </c>
      <c r="L473" s="5">
        <f t="shared" si="22"/>
        <v>-0.18296873436560701</v>
      </c>
    </row>
    <row r="474" spans="1:12" x14ac:dyDescent="0.3">
      <c r="A474" s="2">
        <v>45700</v>
      </c>
      <c r="B474">
        <v>248.9146423339844</v>
      </c>
      <c r="C474">
        <f t="shared" si="23"/>
        <v>8.169623125789751E-3</v>
      </c>
      <c r="K474">
        <f t="shared" si="21"/>
        <v>309.872314453125</v>
      </c>
      <c r="L474" s="5">
        <f t="shared" si="22"/>
        <v>-0.19671867822951894</v>
      </c>
    </row>
    <row r="475" spans="1:12" x14ac:dyDescent="0.3">
      <c r="A475" s="2">
        <v>45701</v>
      </c>
      <c r="B475">
        <v>250.94818115234381</v>
      </c>
      <c r="C475">
        <f t="shared" si="23"/>
        <v>-6.9458243697309782E-3</v>
      </c>
      <c r="K475">
        <f t="shared" si="21"/>
        <v>309.872314453125</v>
      </c>
      <c r="L475" s="5">
        <f t="shared" si="22"/>
        <v>-0.19015617256666784</v>
      </c>
    </row>
    <row r="476" spans="1:12" x14ac:dyDescent="0.3">
      <c r="A476" s="2">
        <v>45702</v>
      </c>
      <c r="B476">
        <v>249.20513916015619</v>
      </c>
      <c r="C476">
        <f t="shared" si="23"/>
        <v>2.2731820433962886E-2</v>
      </c>
      <c r="K476">
        <f t="shared" si="21"/>
        <v>309.872314453125</v>
      </c>
      <c r="L476" s="5">
        <f t="shared" si="22"/>
        <v>-0.19578120555893042</v>
      </c>
    </row>
    <row r="477" spans="1:12" x14ac:dyDescent="0.3">
      <c r="A477" s="2">
        <v>45705</v>
      </c>
      <c r="B477">
        <v>254.8700256347656</v>
      </c>
      <c r="C477">
        <f t="shared" si="23"/>
        <v>1.4247601741514683E-2</v>
      </c>
      <c r="K477">
        <f t="shared" si="21"/>
        <v>309.872314453125</v>
      </c>
      <c r="L477" s="5">
        <f t="shared" si="22"/>
        <v>-0.17749984833407795</v>
      </c>
    </row>
    <row r="478" spans="1:12" x14ac:dyDescent="0.3">
      <c r="A478" s="2">
        <v>45706</v>
      </c>
      <c r="B478">
        <v>258.50131225585938</v>
      </c>
      <c r="C478">
        <f t="shared" si="23"/>
        <v>-1.4609581809774209E-2</v>
      </c>
      <c r="K478">
        <f t="shared" si="21"/>
        <v>309.872314453125</v>
      </c>
      <c r="L478" s="5">
        <f t="shared" si="22"/>
        <v>-0.16578119374080647</v>
      </c>
    </row>
    <row r="479" spans="1:12" x14ac:dyDescent="0.3">
      <c r="A479" s="2">
        <v>45707</v>
      </c>
      <c r="B479">
        <v>254.72471618652341</v>
      </c>
      <c r="C479">
        <f t="shared" si="23"/>
        <v>1.0264328826087925E-2</v>
      </c>
      <c r="K479">
        <f t="shared" si="21"/>
        <v>309.872314453125</v>
      </c>
      <c r="L479" s="5">
        <f t="shared" si="22"/>
        <v>-0.17796878163810237</v>
      </c>
    </row>
    <row r="480" spans="1:12" x14ac:dyDescent="0.3">
      <c r="A480" s="2">
        <v>45708</v>
      </c>
      <c r="B480">
        <v>257.33929443359381</v>
      </c>
      <c r="C480">
        <f t="shared" si="23"/>
        <v>-1.4487232365656215E-2</v>
      </c>
      <c r="K480">
        <f t="shared" si="21"/>
        <v>309.872314453125</v>
      </c>
      <c r="L480" s="5">
        <f t="shared" si="22"/>
        <v>-0.16953118290752611</v>
      </c>
    </row>
    <row r="481" spans="1:12" x14ac:dyDescent="0.3">
      <c r="A481" s="2">
        <v>45709</v>
      </c>
      <c r="B481">
        <v>253.61116027832031</v>
      </c>
      <c r="C481">
        <f t="shared" si="23"/>
        <v>-1.0500244244196802E-2</v>
      </c>
      <c r="K481">
        <f t="shared" si="21"/>
        <v>309.872314453125</v>
      </c>
      <c r="L481" s="5">
        <f t="shared" si="22"/>
        <v>-0.18156237763317651</v>
      </c>
    </row>
    <row r="482" spans="1:12" x14ac:dyDescent="0.3">
      <c r="A482" s="2">
        <v>45712</v>
      </c>
      <c r="B482">
        <v>250.94818115234381</v>
      </c>
      <c r="C482">
        <f t="shared" si="23"/>
        <v>-1.311985669585701E-2</v>
      </c>
      <c r="K482">
        <f t="shared" si="21"/>
        <v>309.872314453125</v>
      </c>
      <c r="L482" s="5">
        <f t="shared" si="22"/>
        <v>-0.19015617256666784</v>
      </c>
    </row>
    <row r="483" spans="1:12" x14ac:dyDescent="0.3">
      <c r="A483" s="2">
        <v>45713</v>
      </c>
      <c r="B483">
        <v>247.65577697753909</v>
      </c>
      <c r="C483">
        <f t="shared" si="23"/>
        <v>1.9551003430666384E-3</v>
      </c>
      <c r="K483">
        <f t="shared" si="21"/>
        <v>309.872314453125</v>
      </c>
      <c r="L483" s="5">
        <f t="shared" si="22"/>
        <v>-0.2007812075286175</v>
      </c>
    </row>
    <row r="484" spans="1:12" x14ac:dyDescent="0.3">
      <c r="A484" s="2">
        <v>45715</v>
      </c>
      <c r="B484">
        <v>248.13996887207031</v>
      </c>
      <c r="C484">
        <f t="shared" si="23"/>
        <v>-2.107316883593343E-2</v>
      </c>
      <c r="K484">
        <f t="shared" si="21"/>
        <v>309.872314453125</v>
      </c>
      <c r="L484" s="5">
        <f t="shared" si="22"/>
        <v>-0.19921865459327137</v>
      </c>
    </row>
    <row r="485" spans="1:12" x14ac:dyDescent="0.3">
      <c r="A485" s="2">
        <v>45716</v>
      </c>
      <c r="B485">
        <v>242.91087341308591</v>
      </c>
      <c r="C485">
        <f t="shared" si="23"/>
        <v>6.5776319431998954E-3</v>
      </c>
      <c r="K485">
        <f t="shared" si="21"/>
        <v>309.872314453125</v>
      </c>
      <c r="L485" s="5">
        <f t="shared" si="22"/>
        <v>-0.21609365508569334</v>
      </c>
    </row>
    <row r="486" spans="1:12" x14ac:dyDescent="0.3">
      <c r="A486" s="2">
        <v>45719</v>
      </c>
      <c r="B486">
        <v>244.50865173339841</v>
      </c>
      <c r="C486">
        <f t="shared" si="23"/>
        <v>5.9405449996970203E-3</v>
      </c>
      <c r="K486">
        <f t="shared" si="21"/>
        <v>309.872314453125</v>
      </c>
      <c r="L486" s="5">
        <f t="shared" si="22"/>
        <v>-0.21093740767090785</v>
      </c>
    </row>
    <row r="487" spans="1:12" x14ac:dyDescent="0.3">
      <c r="A487" s="2">
        <v>45720</v>
      </c>
      <c r="B487">
        <v>245.96116638183591</v>
      </c>
      <c r="C487">
        <f t="shared" si="23"/>
        <v>4.094486420666503E-2</v>
      </c>
      <c r="K487">
        <f t="shared" si="21"/>
        <v>309.872314453125</v>
      </c>
      <c r="L487" s="5">
        <f t="shared" si="22"/>
        <v>-0.20624994583359935</v>
      </c>
    </row>
    <row r="488" spans="1:12" x14ac:dyDescent="0.3">
      <c r="A488" s="2">
        <v>45721</v>
      </c>
      <c r="B488">
        <v>256.03201293945313</v>
      </c>
      <c r="C488">
        <f t="shared" si="23"/>
        <v>8.5097638675812378E-3</v>
      </c>
      <c r="K488">
        <f t="shared" si="21"/>
        <v>309.872314453125</v>
      </c>
      <c r="L488" s="5">
        <f t="shared" si="22"/>
        <v>-0.17374995765172307</v>
      </c>
    </row>
    <row r="489" spans="1:12" x14ac:dyDescent="0.3">
      <c r="A489" s="2">
        <v>45722</v>
      </c>
      <c r="B489">
        <v>258.21078491210938</v>
      </c>
      <c r="C489">
        <f t="shared" si="23"/>
        <v>-1.2563155570153164E-2</v>
      </c>
      <c r="K489">
        <f t="shared" si="21"/>
        <v>309.872314453125</v>
      </c>
      <c r="L489" s="5">
        <f t="shared" si="22"/>
        <v>-0.16671876489576021</v>
      </c>
    </row>
    <row r="490" spans="1:12" x14ac:dyDescent="0.3">
      <c r="A490" s="2">
        <v>45723</v>
      </c>
      <c r="B490">
        <v>254.96684265136719</v>
      </c>
      <c r="C490">
        <f t="shared" si="23"/>
        <v>3.0383601383332254E-2</v>
      </c>
      <c r="K490">
        <f t="shared" si="21"/>
        <v>309.872314453125</v>
      </c>
      <c r="L490" s="5">
        <f t="shared" si="22"/>
        <v>-0.17718740668606414</v>
      </c>
    </row>
    <row r="491" spans="1:12" x14ac:dyDescent="0.3">
      <c r="A491" s="2">
        <v>45726</v>
      </c>
      <c r="B491">
        <v>262.71365356445313</v>
      </c>
      <c r="C491">
        <f t="shared" si="23"/>
        <v>-1.4743859077682889E-2</v>
      </c>
      <c r="K491">
        <f t="shared" si="21"/>
        <v>309.872314453125</v>
      </c>
      <c r="L491" s="5">
        <f t="shared" si="22"/>
        <v>-0.15218739683762761</v>
      </c>
    </row>
    <row r="492" spans="1:12" x14ac:dyDescent="0.3">
      <c r="A492" s="2">
        <v>45727</v>
      </c>
      <c r="B492">
        <v>258.84024047851563</v>
      </c>
      <c r="C492">
        <f t="shared" si="23"/>
        <v>-7.4820109277917561E-4</v>
      </c>
      <c r="K492">
        <f t="shared" si="21"/>
        <v>309.872314453125</v>
      </c>
      <c r="L492" s="5">
        <f t="shared" si="22"/>
        <v>-0.1646874263829371</v>
      </c>
    </row>
    <row r="493" spans="1:12" x14ac:dyDescent="0.3">
      <c r="A493" s="2">
        <v>45728</v>
      </c>
      <c r="B493">
        <v>258.64657592773438</v>
      </c>
      <c r="C493">
        <f t="shared" si="23"/>
        <v>2.0590346264944535E-3</v>
      </c>
      <c r="K493">
        <f t="shared" si="21"/>
        <v>309.872314453125</v>
      </c>
      <c r="L493" s="5">
        <f t="shared" si="22"/>
        <v>-0.16531240816332959</v>
      </c>
    </row>
    <row r="494" spans="1:12" x14ac:dyDescent="0.3">
      <c r="A494" s="2">
        <v>45729</v>
      </c>
      <c r="B494">
        <v>259.17913818359381</v>
      </c>
      <c r="C494">
        <f t="shared" si="23"/>
        <v>-1.1207163918727527E-3</v>
      </c>
      <c r="K494">
        <f t="shared" si="21"/>
        <v>309.872314453125</v>
      </c>
      <c r="L494" s="5">
        <f t="shared" si="22"/>
        <v>-0.16359375750943261</v>
      </c>
    </row>
    <row r="495" spans="1:12" x14ac:dyDescent="0.3">
      <c r="A495" s="2">
        <v>45733</v>
      </c>
      <c r="B495">
        <v>258.888671875</v>
      </c>
      <c r="C495">
        <f t="shared" si="23"/>
        <v>0</v>
      </c>
      <c r="K495">
        <f t="shared" si="21"/>
        <v>309.872314453125</v>
      </c>
      <c r="L495" s="5">
        <f t="shared" si="22"/>
        <v>-0.16453113169565647</v>
      </c>
    </row>
    <row r="496" spans="1:12" x14ac:dyDescent="0.3">
      <c r="A496" s="2">
        <v>45734</v>
      </c>
      <c r="B496">
        <v>258.888671875</v>
      </c>
      <c r="C496">
        <f t="shared" si="23"/>
        <v>3.6843012312242081E-2</v>
      </c>
      <c r="K496">
        <f t="shared" si="21"/>
        <v>309.872314453125</v>
      </c>
      <c r="L496" s="5">
        <f t="shared" si="22"/>
        <v>-0.16453113169565647</v>
      </c>
    </row>
    <row r="497" spans="1:12" x14ac:dyDescent="0.3">
      <c r="A497" s="2">
        <v>45735</v>
      </c>
      <c r="B497">
        <v>268.42691040039063</v>
      </c>
      <c r="C497">
        <f t="shared" si="23"/>
        <v>1.1363588561966927E-2</v>
      </c>
      <c r="K497">
        <f t="shared" si="21"/>
        <v>309.872314453125</v>
      </c>
      <c r="L497" s="5">
        <f t="shared" si="22"/>
        <v>-0.13374994189422462</v>
      </c>
    </row>
    <row r="498" spans="1:12" x14ac:dyDescent="0.3">
      <c r="A498" s="2">
        <v>45736</v>
      </c>
      <c r="B498">
        <v>271.47720336914063</v>
      </c>
      <c r="C498">
        <f t="shared" si="23"/>
        <v>9.8092744131615586E-3</v>
      </c>
      <c r="K498">
        <f t="shared" si="21"/>
        <v>309.872314453125</v>
      </c>
      <c r="L498" s="5">
        <f t="shared" si="22"/>
        <v>-0.12390623264213063</v>
      </c>
    </row>
    <row r="499" spans="1:12" x14ac:dyDescent="0.3">
      <c r="A499" s="2">
        <v>45737</v>
      </c>
      <c r="B499">
        <v>274.14019775390619</v>
      </c>
      <c r="C499">
        <f t="shared" si="23"/>
        <v>3.0907847756424384E-2</v>
      </c>
      <c r="K499">
        <f t="shared" si="21"/>
        <v>309.872314453125</v>
      </c>
      <c r="L499" s="5">
        <f t="shared" si="22"/>
        <v>-0.11531238846645675</v>
      </c>
    </row>
    <row r="500" spans="1:12" x14ac:dyDescent="0.3">
      <c r="A500" s="2">
        <v>45740</v>
      </c>
      <c r="B500">
        <v>282.61328125</v>
      </c>
      <c r="C500">
        <f t="shared" si="23"/>
        <v>-2.9125316175759169E-3</v>
      </c>
      <c r="K500">
        <f t="shared" si="21"/>
        <v>309.872314453125</v>
      </c>
      <c r="L500" s="5">
        <f t="shared" si="22"/>
        <v>-8.79685984571833E-2</v>
      </c>
    </row>
    <row r="501" spans="1:12" x14ac:dyDescent="0.3">
      <c r="A501" s="2">
        <v>45741</v>
      </c>
      <c r="B501">
        <v>281.7901611328125</v>
      </c>
      <c r="C501">
        <f t="shared" si="23"/>
        <v>-5.1539469551750651E-4</v>
      </c>
      <c r="K501">
        <f t="shared" si="21"/>
        <v>309.872314453125</v>
      </c>
      <c r="L501" s="5">
        <f t="shared" si="22"/>
        <v>-9.0624918750398908E-2</v>
      </c>
    </row>
    <row r="502" spans="1:12" x14ac:dyDescent="0.3">
      <c r="A502" s="2">
        <v>45742</v>
      </c>
      <c r="B502">
        <v>281.64492797851563</v>
      </c>
      <c r="C502">
        <f t="shared" si="23"/>
        <v>1.5987424776038768E-2</v>
      </c>
      <c r="K502">
        <f t="shared" si="21"/>
        <v>309.872314453125</v>
      </c>
      <c r="L502" s="5">
        <f t="shared" si="22"/>
        <v>-9.1093605843510672E-2</v>
      </c>
    </row>
    <row r="503" spans="1:12" x14ac:dyDescent="0.3">
      <c r="A503" s="2">
        <v>45743</v>
      </c>
      <c r="B503">
        <v>286.147705078125</v>
      </c>
      <c r="C503">
        <f t="shared" si="23"/>
        <v>-1.7427953835167282E-2</v>
      </c>
      <c r="K503">
        <f t="shared" si="21"/>
        <v>309.872314453125</v>
      </c>
      <c r="L503" s="5">
        <f t="shared" si="22"/>
        <v>-7.6562533238473174E-2</v>
      </c>
    </row>
    <row r="504" spans="1:12" x14ac:dyDescent="0.3">
      <c r="A504" s="2">
        <v>45744</v>
      </c>
      <c r="B504">
        <v>281.16073608398438</v>
      </c>
      <c r="C504">
        <f t="shared" si="23"/>
        <v>-3.616273611144828E-3</v>
      </c>
      <c r="K504">
        <f t="shared" si="21"/>
        <v>309.872314453125</v>
      </c>
      <c r="L504" s="5">
        <f t="shared" si="22"/>
        <v>-9.2656158778856912E-2</v>
      </c>
    </row>
    <row r="505" spans="1:12" x14ac:dyDescent="0.3">
      <c r="A505" s="2">
        <v>45748</v>
      </c>
      <c r="B505">
        <v>280.14398193359381</v>
      </c>
      <c r="C505">
        <f t="shared" si="23"/>
        <v>-8.8145025173868245E-3</v>
      </c>
      <c r="K505">
        <f t="shared" si="21"/>
        <v>309.872314453125</v>
      </c>
      <c r="L505" s="5">
        <f t="shared" si="22"/>
        <v>-9.5937362368099688E-2</v>
      </c>
    </row>
    <row r="506" spans="1:12" x14ac:dyDescent="0.3">
      <c r="A506" s="2">
        <v>45749</v>
      </c>
      <c r="B506">
        <v>277.67465209960938</v>
      </c>
      <c r="C506">
        <f t="shared" si="23"/>
        <v>4.3068992398264262E-2</v>
      </c>
      <c r="K506">
        <f t="shared" si="21"/>
        <v>309.872314453125</v>
      </c>
      <c r="L506" s="5">
        <f t="shared" si="22"/>
        <v>-0.10390622476338152</v>
      </c>
    </row>
    <row r="507" spans="1:12" x14ac:dyDescent="0.3">
      <c r="A507" s="2">
        <v>45750</v>
      </c>
      <c r="B507">
        <v>289.63381958007813</v>
      </c>
      <c r="C507">
        <f t="shared" si="23"/>
        <v>-1.7385612747440368E-2</v>
      </c>
      <c r="K507">
        <f t="shared" si="21"/>
        <v>309.872314453125</v>
      </c>
      <c r="L507" s="5">
        <f t="shared" si="22"/>
        <v>-6.5312368769583573E-2</v>
      </c>
    </row>
    <row r="508" spans="1:12" x14ac:dyDescent="0.3">
      <c r="A508" s="2">
        <v>45751</v>
      </c>
      <c r="B508">
        <v>284.59835815429688</v>
      </c>
      <c r="C508">
        <f t="shared" si="23"/>
        <v>-1.5311312725592725E-2</v>
      </c>
      <c r="K508">
        <f t="shared" si="21"/>
        <v>309.872314453125</v>
      </c>
      <c r="L508" s="5">
        <f t="shared" si="22"/>
        <v>-8.1562485965978038E-2</v>
      </c>
    </row>
    <row r="509" spans="1:12" x14ac:dyDescent="0.3">
      <c r="A509" s="2">
        <v>45754</v>
      </c>
      <c r="B509">
        <v>280.24078369140619</v>
      </c>
      <c r="C509">
        <f t="shared" si="23"/>
        <v>-1.5548414286070068E-3</v>
      </c>
      <c r="K509">
        <f t="shared" si="21"/>
        <v>309.872314453125</v>
      </c>
      <c r="L509" s="5">
        <f t="shared" si="22"/>
        <v>-9.562496996226888E-2</v>
      </c>
    </row>
    <row r="510" spans="1:12" x14ac:dyDescent="0.3">
      <c r="A510" s="2">
        <v>45755</v>
      </c>
      <c r="B510">
        <v>279.8050537109375</v>
      </c>
      <c r="C510">
        <f t="shared" si="23"/>
        <v>1.5400519073032968E-2</v>
      </c>
      <c r="K510">
        <f t="shared" si="21"/>
        <v>309.872314453125</v>
      </c>
      <c r="L510" s="5">
        <f t="shared" si="22"/>
        <v>-9.7031129725969278E-2</v>
      </c>
    </row>
    <row r="511" spans="1:12" x14ac:dyDescent="0.3">
      <c r="A511" s="2">
        <v>45756</v>
      </c>
      <c r="B511">
        <v>284.11419677734381</v>
      </c>
      <c r="C511">
        <f t="shared" si="23"/>
        <v>3.6468992961650966E-2</v>
      </c>
      <c r="K511">
        <f t="shared" si="21"/>
        <v>309.872314453125</v>
      </c>
      <c r="L511" s="5">
        <f t="shared" si="22"/>
        <v>-8.3124940416958948E-2</v>
      </c>
    </row>
    <row r="512" spans="1:12" x14ac:dyDescent="0.3">
      <c r="A512" s="2">
        <v>45758</v>
      </c>
      <c r="B512">
        <v>294.47555541992188</v>
      </c>
      <c r="C512">
        <f t="shared" si="23"/>
        <v>1.4797849601660069E-3</v>
      </c>
      <c r="K512">
        <f t="shared" si="21"/>
        <v>309.872314453125</v>
      </c>
      <c r="L512" s="5">
        <f t="shared" si="22"/>
        <v>-4.968743032231171E-2</v>
      </c>
    </row>
    <row r="513" spans="1:12" x14ac:dyDescent="0.3">
      <c r="A513" s="2">
        <v>45762</v>
      </c>
      <c r="B513">
        <v>294.91131591796881</v>
      </c>
      <c r="C513">
        <f t="shared" si="23"/>
        <v>3.9402279924341385E-3</v>
      </c>
      <c r="K513">
        <f t="shared" si="21"/>
        <v>309.872314453125</v>
      </c>
      <c r="L513" s="5">
        <f t="shared" si="22"/>
        <v>-4.8281172074245982E-2</v>
      </c>
    </row>
    <row r="514" spans="1:12" x14ac:dyDescent="0.3">
      <c r="A514" s="2">
        <v>45763</v>
      </c>
      <c r="B514">
        <v>296.07333374023438</v>
      </c>
      <c r="C514">
        <f t="shared" si="23"/>
        <v>1.0629546418056737E-2</v>
      </c>
      <c r="K514">
        <f t="shared" ref="K514:K577" si="24">MAX(B514:B1253)</f>
        <v>309.872314453125</v>
      </c>
      <c r="L514" s="5">
        <f t="shared" ref="L514:L577" si="25">B514/K514-1</f>
        <v>-4.4531182907526334E-2</v>
      </c>
    </row>
    <row r="515" spans="1:12" x14ac:dyDescent="0.3">
      <c r="A515" s="2">
        <v>45764</v>
      </c>
      <c r="B515">
        <v>299.220458984375</v>
      </c>
      <c r="C515">
        <f t="shared" ref="C515:C578" si="26">(B516-B515)/B515</f>
        <v>3.5598687017942943E-2</v>
      </c>
      <c r="K515">
        <f t="shared" si="24"/>
        <v>309.872314453125</v>
      </c>
      <c r="L515" s="5">
        <f t="shared" si="25"/>
        <v>-3.4374982765236095E-2</v>
      </c>
    </row>
    <row r="516" spans="1:12" x14ac:dyDescent="0.3">
      <c r="A516" s="2">
        <v>45768</v>
      </c>
      <c r="B516">
        <v>309.872314453125</v>
      </c>
      <c r="C516">
        <f t="shared" si="26"/>
        <v>-2.3281211467992186E-2</v>
      </c>
      <c r="K516">
        <f t="shared" si="24"/>
        <v>309.872314453125</v>
      </c>
      <c r="L516" s="5">
        <f t="shared" si="25"/>
        <v>0</v>
      </c>
    </row>
    <row r="517" spans="1:12" x14ac:dyDescent="0.3">
      <c r="A517" s="2">
        <v>45769</v>
      </c>
      <c r="B517">
        <v>302.65811157226563</v>
      </c>
      <c r="C517">
        <f t="shared" si="26"/>
        <v>7.6788497424905731E-3</v>
      </c>
      <c r="K517">
        <f t="shared" si="24"/>
        <v>307.25</v>
      </c>
      <c r="L517" s="5">
        <f t="shared" si="25"/>
        <v>-1.4945121001576522E-2</v>
      </c>
    </row>
    <row r="518" spans="1:12" x14ac:dyDescent="0.3">
      <c r="A518" s="2">
        <v>45770</v>
      </c>
      <c r="B518">
        <v>304.982177734375</v>
      </c>
      <c r="C518">
        <f t="shared" si="26"/>
        <v>-1.7464079211851999E-3</v>
      </c>
      <c r="K518">
        <f t="shared" si="24"/>
        <v>307.25</v>
      </c>
      <c r="L518" s="5">
        <f t="shared" si="25"/>
        <v>-7.3810325976403357E-3</v>
      </c>
    </row>
    <row r="519" spans="1:12" x14ac:dyDescent="0.3">
      <c r="A519" s="2">
        <v>45771</v>
      </c>
      <c r="B519">
        <v>304.44955444335938</v>
      </c>
      <c r="C519">
        <f t="shared" si="26"/>
        <v>-2.5127195186385041E-2</v>
      </c>
      <c r="K519">
        <f t="shared" si="24"/>
        <v>307.25</v>
      </c>
      <c r="L519" s="5">
        <f t="shared" si="25"/>
        <v>-9.1145502250304933E-3</v>
      </c>
    </row>
    <row r="520" spans="1:12" x14ac:dyDescent="0.3">
      <c r="A520" s="2">
        <v>45772</v>
      </c>
      <c r="B520">
        <v>296.79959106445313</v>
      </c>
      <c r="C520">
        <f t="shared" si="26"/>
        <v>6.688479361893645E-3</v>
      </c>
      <c r="K520">
        <f t="shared" si="24"/>
        <v>307.25</v>
      </c>
      <c r="L520" s="5">
        <f t="shared" si="25"/>
        <v>-3.4012722328875089E-2</v>
      </c>
    </row>
    <row r="521" spans="1:12" x14ac:dyDescent="0.3">
      <c r="A521" s="2">
        <v>45775</v>
      </c>
      <c r="B521">
        <v>298.78472900390619</v>
      </c>
      <c r="C521">
        <f t="shared" si="26"/>
        <v>-1.8149285976782607E-2</v>
      </c>
      <c r="K521">
        <f t="shared" si="24"/>
        <v>307.25</v>
      </c>
      <c r="L521" s="5">
        <f t="shared" si="25"/>
        <v>-2.7551736358319978E-2</v>
      </c>
    </row>
    <row r="522" spans="1:12" x14ac:dyDescent="0.3">
      <c r="A522" s="2">
        <v>45776</v>
      </c>
      <c r="B522">
        <v>293.36199951171881</v>
      </c>
      <c r="C522">
        <f t="shared" si="26"/>
        <v>1.4853811852132257E-2</v>
      </c>
      <c r="K522">
        <f t="shared" si="24"/>
        <v>307.25</v>
      </c>
      <c r="L522" s="5">
        <f t="shared" si="25"/>
        <v>-4.5200977992778446E-2</v>
      </c>
    </row>
    <row r="523" spans="1:12" x14ac:dyDescent="0.3">
      <c r="A523" s="2">
        <v>45777</v>
      </c>
      <c r="B523">
        <v>297.71954345703119</v>
      </c>
      <c r="C523">
        <f t="shared" si="26"/>
        <v>-1.4311363827860399E-2</v>
      </c>
      <c r="K523">
        <f t="shared" si="24"/>
        <v>307.25</v>
      </c>
      <c r="L523" s="5">
        <f t="shared" si="25"/>
        <v>-3.1018572963283364E-2</v>
      </c>
    </row>
    <row r="524" spans="1:12" x14ac:dyDescent="0.3">
      <c r="A524" s="2">
        <v>45779</v>
      </c>
      <c r="B524">
        <v>293.45877075195313</v>
      </c>
      <c r="C524">
        <f t="shared" si="26"/>
        <v>1.6993867652822774E-2</v>
      </c>
      <c r="K524">
        <f t="shared" si="24"/>
        <v>307.25</v>
      </c>
      <c r="L524" s="5">
        <f t="shared" si="25"/>
        <v>-4.4886018708045206E-2</v>
      </c>
    </row>
    <row r="525" spans="1:12" x14ac:dyDescent="0.3">
      <c r="A525" s="2">
        <v>45782</v>
      </c>
      <c r="B525">
        <v>298.44577026367188</v>
      </c>
      <c r="C525">
        <f t="shared" si="26"/>
        <v>-1.9466288104951549E-3</v>
      </c>
      <c r="K525">
        <f t="shared" si="24"/>
        <v>307.25</v>
      </c>
      <c r="L525" s="5">
        <f t="shared" si="25"/>
        <v>-2.8654938116609019E-2</v>
      </c>
    </row>
    <row r="526" spans="1:12" x14ac:dyDescent="0.3">
      <c r="A526" s="2">
        <v>45783</v>
      </c>
      <c r="B526">
        <v>297.86480712890619</v>
      </c>
      <c r="C526">
        <f t="shared" si="26"/>
        <v>1.1378285022981754E-2</v>
      </c>
      <c r="K526">
        <f t="shared" si="24"/>
        <v>307.25</v>
      </c>
      <c r="L526" s="5">
        <f t="shared" si="25"/>
        <v>-3.0545786399003405E-2</v>
      </c>
    </row>
    <row r="527" spans="1:12" x14ac:dyDescent="0.3">
      <c r="A527" s="2">
        <v>45784</v>
      </c>
      <c r="B527">
        <v>301.25399780273438</v>
      </c>
      <c r="C527">
        <f t="shared" si="26"/>
        <v>-9.1610274476268943E-3</v>
      </c>
      <c r="K527">
        <f t="shared" si="24"/>
        <v>307.25</v>
      </c>
      <c r="L527" s="5">
        <f t="shared" si="25"/>
        <v>-1.9515060039920651E-2</v>
      </c>
    </row>
    <row r="528" spans="1:12" x14ac:dyDescent="0.3">
      <c r="A528" s="2">
        <v>45785</v>
      </c>
      <c r="B528">
        <v>298.49420166015619</v>
      </c>
      <c r="C528">
        <f t="shared" si="26"/>
        <v>-2.9034895815974106E-2</v>
      </c>
      <c r="K528">
        <f t="shared" si="24"/>
        <v>307.25</v>
      </c>
      <c r="L528" s="5">
        <f t="shared" si="25"/>
        <v>-2.8497309486879785E-2</v>
      </c>
    </row>
    <row r="529" spans="1:12" x14ac:dyDescent="0.3">
      <c r="A529" s="2">
        <v>45786</v>
      </c>
      <c r="B529">
        <v>289.82745361328119</v>
      </c>
      <c r="C529">
        <f t="shared" si="26"/>
        <v>3.2576166154894774E-2</v>
      </c>
      <c r="K529">
        <f t="shared" si="24"/>
        <v>307.25</v>
      </c>
      <c r="L529" s="5">
        <f t="shared" si="25"/>
        <v>-5.670478889086672E-2</v>
      </c>
    </row>
    <row r="530" spans="1:12" x14ac:dyDescent="0.3">
      <c r="A530" s="2">
        <v>45789</v>
      </c>
      <c r="B530">
        <v>299.2689208984375</v>
      </c>
      <c r="C530">
        <f t="shared" si="26"/>
        <v>-3.4298671363442244E-2</v>
      </c>
      <c r="K530">
        <f t="shared" si="24"/>
        <v>307.25</v>
      </c>
      <c r="L530" s="5">
        <f t="shared" si="25"/>
        <v>-2.5975847360659055E-2</v>
      </c>
    </row>
    <row r="531" spans="1:12" x14ac:dyDescent="0.3">
      <c r="A531" s="2">
        <v>45790</v>
      </c>
      <c r="B531">
        <v>289.00439453125</v>
      </c>
      <c r="C531">
        <f t="shared" si="26"/>
        <v>-8.3766838266475865E-3</v>
      </c>
      <c r="K531">
        <f t="shared" si="24"/>
        <v>307.25</v>
      </c>
      <c r="L531" s="5">
        <f t="shared" si="25"/>
        <v>-5.9383581672091124E-2</v>
      </c>
    </row>
    <row r="532" spans="1:12" x14ac:dyDescent="0.3">
      <c r="A532" s="2">
        <v>45791</v>
      </c>
      <c r="B532">
        <v>286.58349609375</v>
      </c>
      <c r="C532">
        <f t="shared" si="26"/>
        <v>1.2502172346287333E-2</v>
      </c>
      <c r="K532">
        <f t="shared" si="24"/>
        <v>307.25</v>
      </c>
      <c r="L532" s="5">
        <f t="shared" si="25"/>
        <v>-6.7262828010577702E-2</v>
      </c>
    </row>
    <row r="533" spans="1:12" x14ac:dyDescent="0.3">
      <c r="A533" s="2">
        <v>45792</v>
      </c>
      <c r="B533">
        <v>290.16641235351563</v>
      </c>
      <c r="C533">
        <f t="shared" si="26"/>
        <v>1.8353683720310936E-3</v>
      </c>
      <c r="K533">
        <f t="shared" si="24"/>
        <v>307.25</v>
      </c>
      <c r="L533" s="5">
        <f t="shared" si="25"/>
        <v>-5.5601587132577346E-2</v>
      </c>
    </row>
    <row r="534" spans="1:12" x14ac:dyDescent="0.3">
      <c r="A534" s="2">
        <v>45793</v>
      </c>
      <c r="B534">
        <v>290.698974609375</v>
      </c>
      <c r="C534">
        <f t="shared" si="26"/>
        <v>1.2824776623557679E-2</v>
      </c>
      <c r="K534">
        <f t="shared" si="24"/>
        <v>307.25</v>
      </c>
      <c r="L534" s="5">
        <f t="shared" si="25"/>
        <v>-5.3868268155004118E-2</v>
      </c>
    </row>
    <row r="535" spans="1:12" x14ac:dyDescent="0.3">
      <c r="A535" s="2">
        <v>45796</v>
      </c>
      <c r="B535">
        <v>294.4271240234375</v>
      </c>
      <c r="C535">
        <f t="shared" si="26"/>
        <v>-2.0227019913787687E-2</v>
      </c>
      <c r="K535">
        <f t="shared" si="24"/>
        <v>307.25</v>
      </c>
      <c r="L535" s="5">
        <f t="shared" si="25"/>
        <v>-4.1734340037632212E-2</v>
      </c>
    </row>
    <row r="536" spans="1:12" x14ac:dyDescent="0.3">
      <c r="A536" s="2">
        <v>45797</v>
      </c>
      <c r="B536">
        <v>288.47174072265619</v>
      </c>
      <c r="C536">
        <f t="shared" si="26"/>
        <v>-5.8743365082481709E-3</v>
      </c>
      <c r="K536">
        <f t="shared" si="24"/>
        <v>307.25</v>
      </c>
      <c r="L536" s="5">
        <f t="shared" si="25"/>
        <v>-6.1117198624389912E-2</v>
      </c>
    </row>
    <row r="537" spans="1:12" x14ac:dyDescent="0.3">
      <c r="A537" s="2">
        <v>45798</v>
      </c>
      <c r="B537">
        <v>286.77716064453119</v>
      </c>
      <c r="C537">
        <f t="shared" si="26"/>
        <v>-1.7727463985219096E-2</v>
      </c>
      <c r="K537">
        <f t="shared" si="24"/>
        <v>307.25</v>
      </c>
      <c r="L537" s="5">
        <f t="shared" si="25"/>
        <v>-6.6632512141477029E-2</v>
      </c>
    </row>
    <row r="538" spans="1:12" x14ac:dyDescent="0.3">
      <c r="A538" s="2">
        <v>45799</v>
      </c>
      <c r="B538">
        <v>281.69332885742188</v>
      </c>
      <c r="C538">
        <f t="shared" si="26"/>
        <v>2.4750807835782491E-2</v>
      </c>
      <c r="K538">
        <f t="shared" si="24"/>
        <v>307.25</v>
      </c>
      <c r="L538" s="5">
        <f t="shared" si="25"/>
        <v>-8.3178750667463386E-2</v>
      </c>
    </row>
    <row r="539" spans="1:12" x14ac:dyDescent="0.3">
      <c r="A539" s="2">
        <v>45800</v>
      </c>
      <c r="B539">
        <v>288.66546630859381</v>
      </c>
      <c r="C539">
        <f t="shared" si="26"/>
        <v>-4.6963787888560883E-3</v>
      </c>
      <c r="K539">
        <f t="shared" si="24"/>
        <v>307.25</v>
      </c>
      <c r="L539" s="5">
        <f t="shared" si="25"/>
        <v>-6.0486684105471755E-2</v>
      </c>
    </row>
    <row r="540" spans="1:12" x14ac:dyDescent="0.3">
      <c r="A540" s="2">
        <v>45803</v>
      </c>
      <c r="B540">
        <v>287.30978393554688</v>
      </c>
      <c r="C540">
        <f t="shared" si="26"/>
        <v>-7.2465361391554177E-3</v>
      </c>
      <c r="K540">
        <f t="shared" si="24"/>
        <v>307.25</v>
      </c>
      <c r="L540" s="5">
        <f t="shared" si="25"/>
        <v>-6.489899451408665E-2</v>
      </c>
    </row>
    <row r="541" spans="1:12" x14ac:dyDescent="0.3">
      <c r="A541" s="2">
        <v>45804</v>
      </c>
      <c r="B541">
        <v>285.227783203125</v>
      </c>
      <c r="C541">
        <f t="shared" si="26"/>
        <v>-1.1542909184596672E-2</v>
      </c>
      <c r="K541">
        <f t="shared" si="24"/>
        <v>307.25</v>
      </c>
      <c r="L541" s="5">
        <f t="shared" si="25"/>
        <v>-7.1675237744100895E-2</v>
      </c>
    </row>
    <row r="542" spans="1:12" x14ac:dyDescent="0.3">
      <c r="A542" s="2">
        <v>45805</v>
      </c>
      <c r="B542">
        <v>281.9354248046875</v>
      </c>
      <c r="C542">
        <f t="shared" si="26"/>
        <v>6.6974365857515065E-3</v>
      </c>
      <c r="K542">
        <f t="shared" si="24"/>
        <v>307.25</v>
      </c>
      <c r="L542" s="5">
        <f t="shared" si="25"/>
        <v>-8.2390806168633035E-2</v>
      </c>
    </row>
    <row r="543" spans="1:12" x14ac:dyDescent="0.3">
      <c r="A543" s="2">
        <v>45806</v>
      </c>
      <c r="B543">
        <v>283.82366943359381</v>
      </c>
      <c r="C543">
        <f t="shared" si="26"/>
        <v>-1.1429374471927765E-2</v>
      </c>
      <c r="K543">
        <f t="shared" si="24"/>
        <v>307.25</v>
      </c>
      <c r="L543" s="5">
        <f t="shared" si="25"/>
        <v>-7.6245176782444912E-2</v>
      </c>
    </row>
    <row r="544" spans="1:12" x14ac:dyDescent="0.3">
      <c r="A544" s="2">
        <v>45807</v>
      </c>
      <c r="B544">
        <v>280.57974243164063</v>
      </c>
      <c r="C544">
        <f t="shared" si="26"/>
        <v>1.1389012247829762E-2</v>
      </c>
      <c r="K544">
        <f t="shared" si="24"/>
        <v>307.25</v>
      </c>
      <c r="L544" s="5">
        <f t="shared" si="25"/>
        <v>-8.6803116577247708E-2</v>
      </c>
    </row>
    <row r="545" spans="1:12" x14ac:dyDescent="0.3">
      <c r="A545" s="2">
        <v>45810</v>
      </c>
      <c r="B545">
        <v>283.7752685546875</v>
      </c>
      <c r="C545">
        <f t="shared" si="26"/>
        <v>-1.6379409357044628E-2</v>
      </c>
      <c r="K545">
        <f t="shared" si="24"/>
        <v>307.25</v>
      </c>
      <c r="L545" s="5">
        <f t="shared" si="25"/>
        <v>-7.640270608726607E-2</v>
      </c>
    </row>
    <row r="546" spans="1:12" x14ac:dyDescent="0.3">
      <c r="A546" s="2">
        <v>45811</v>
      </c>
      <c r="B546">
        <v>279.127197265625</v>
      </c>
      <c r="C546">
        <f t="shared" si="26"/>
        <v>1.0407327878387657E-3</v>
      </c>
      <c r="K546">
        <f t="shared" si="24"/>
        <v>307.25</v>
      </c>
      <c r="L546" s="5">
        <f t="shared" si="25"/>
        <v>-9.1530684245321403E-2</v>
      </c>
    </row>
    <row r="547" spans="1:12" x14ac:dyDescent="0.3">
      <c r="A547" s="2">
        <v>45812</v>
      </c>
      <c r="B547">
        <v>279.41769409179688</v>
      </c>
      <c r="C547">
        <f t="shared" si="26"/>
        <v>1.9754020305245812E-2</v>
      </c>
      <c r="K547">
        <f t="shared" si="24"/>
        <v>307.25</v>
      </c>
      <c r="L547" s="5">
        <f t="shared" si="25"/>
        <v>-9.0585210441670005E-2</v>
      </c>
    </row>
    <row r="548" spans="1:12" x14ac:dyDescent="0.3">
      <c r="A548" s="2">
        <v>45813</v>
      </c>
      <c r="B548">
        <v>284.93731689453119</v>
      </c>
      <c r="C548">
        <f t="shared" si="26"/>
        <v>5.2675288154670416E-3</v>
      </c>
      <c r="K548">
        <f t="shared" si="24"/>
        <v>307.25</v>
      </c>
      <c r="L548" s="5">
        <f t="shared" si="25"/>
        <v>-7.2620612222843994E-2</v>
      </c>
    </row>
    <row r="549" spans="1:12" x14ac:dyDescent="0.3">
      <c r="A549" s="2">
        <v>45814</v>
      </c>
      <c r="B549">
        <v>286.438232421875</v>
      </c>
      <c r="C549">
        <f t="shared" si="26"/>
        <v>1.5889183133020981E-2</v>
      </c>
      <c r="K549">
        <f t="shared" si="24"/>
        <v>307.25</v>
      </c>
      <c r="L549" s="5">
        <f t="shared" si="25"/>
        <v>-6.7735614574857661E-2</v>
      </c>
    </row>
    <row r="550" spans="1:12" x14ac:dyDescent="0.3">
      <c r="A550" s="2">
        <v>45817</v>
      </c>
      <c r="B550">
        <v>290.989501953125</v>
      </c>
      <c r="C550">
        <f t="shared" si="26"/>
        <v>1.8301768699035903E-3</v>
      </c>
      <c r="K550">
        <f t="shared" si="24"/>
        <v>307.25</v>
      </c>
      <c r="L550" s="5">
        <f t="shared" si="25"/>
        <v>-5.2922695026444311E-2</v>
      </c>
    </row>
    <row r="551" spans="1:12" x14ac:dyDescent="0.3">
      <c r="A551" s="2">
        <v>45818</v>
      </c>
      <c r="B551">
        <v>291.52206420898438</v>
      </c>
      <c r="C551">
        <f t="shared" si="26"/>
        <v>-1.8601542303426255E-2</v>
      </c>
      <c r="K551">
        <f t="shared" si="24"/>
        <v>307.25</v>
      </c>
      <c r="L551" s="5">
        <f t="shared" si="25"/>
        <v>-5.1189376048871083E-2</v>
      </c>
    </row>
    <row r="552" spans="1:12" x14ac:dyDescent="0.3">
      <c r="A552" s="2">
        <v>45819</v>
      </c>
      <c r="B552">
        <v>286.09930419921881</v>
      </c>
      <c r="C552">
        <f t="shared" si="26"/>
        <v>-2.1831054873960278E-2</v>
      </c>
      <c r="K552">
        <f t="shared" si="24"/>
        <v>307.25</v>
      </c>
      <c r="L552" s="5">
        <f t="shared" si="25"/>
        <v>-6.8838717008238182E-2</v>
      </c>
    </row>
    <row r="553" spans="1:12" x14ac:dyDescent="0.3">
      <c r="A553" s="2">
        <v>45820</v>
      </c>
      <c r="B553">
        <v>279.85345458984381</v>
      </c>
      <c r="C553">
        <f t="shared" si="26"/>
        <v>-1.2110590804731768E-2</v>
      </c>
      <c r="K553">
        <f t="shared" si="24"/>
        <v>307.25</v>
      </c>
      <c r="L553" s="5">
        <f t="shared" si="25"/>
        <v>-8.9166950073738649E-2</v>
      </c>
    </row>
    <row r="554" spans="1:12" x14ac:dyDescent="0.3">
      <c r="A554" s="2">
        <v>45821</v>
      </c>
      <c r="B554">
        <v>276.46426391601563</v>
      </c>
      <c r="C554">
        <f t="shared" si="26"/>
        <v>1.1033116569809124E-2</v>
      </c>
      <c r="K554">
        <f t="shared" si="24"/>
        <v>307.25</v>
      </c>
      <c r="L554" s="5">
        <f t="shared" si="25"/>
        <v>-0.1001976764328214</v>
      </c>
    </row>
    <row r="555" spans="1:12" x14ac:dyDescent="0.3">
      <c r="A555" s="2">
        <v>45824</v>
      </c>
      <c r="B555">
        <v>279.5145263671875</v>
      </c>
      <c r="C555">
        <f t="shared" si="26"/>
        <v>-3.464302075786221E-4</v>
      </c>
      <c r="K555">
        <f t="shared" si="24"/>
        <v>307.25</v>
      </c>
      <c r="L555" s="5">
        <f t="shared" si="25"/>
        <v>-9.0270052507119614E-2</v>
      </c>
    </row>
    <row r="556" spans="1:12" x14ac:dyDescent="0.3">
      <c r="A556" s="2">
        <v>45825</v>
      </c>
      <c r="B556">
        <v>279.41769409179688</v>
      </c>
      <c r="C556">
        <f t="shared" si="26"/>
        <v>-4.3320421159596719E-3</v>
      </c>
      <c r="K556">
        <f t="shared" si="24"/>
        <v>307.25</v>
      </c>
      <c r="L556" s="5">
        <f t="shared" si="25"/>
        <v>-9.0585210441670005E-2</v>
      </c>
    </row>
    <row r="557" spans="1:12" x14ac:dyDescent="0.3">
      <c r="A557" s="2">
        <v>45826</v>
      </c>
      <c r="B557">
        <v>278.20724487304688</v>
      </c>
      <c r="C557">
        <f t="shared" si="26"/>
        <v>-2.9584387078303194E-3</v>
      </c>
      <c r="K557">
        <f t="shared" si="24"/>
        <v>307.25</v>
      </c>
      <c r="L557" s="5">
        <f t="shared" si="25"/>
        <v>-9.452483361091335E-2</v>
      </c>
    </row>
    <row r="558" spans="1:12" x14ac:dyDescent="0.3">
      <c r="A558" s="2">
        <v>45827</v>
      </c>
      <c r="B558">
        <v>277.38418579101563</v>
      </c>
      <c r="C558">
        <f t="shared" si="26"/>
        <v>2.321503521988727E-2</v>
      </c>
      <c r="K558">
        <f t="shared" si="24"/>
        <v>307.25</v>
      </c>
      <c r="L558" s="5">
        <f t="shared" si="25"/>
        <v>-9.7203626392137865E-2</v>
      </c>
    </row>
    <row r="559" spans="1:12" x14ac:dyDescent="0.3">
      <c r="A559" s="2">
        <v>45828</v>
      </c>
      <c r="B559">
        <v>283.82366943359381</v>
      </c>
      <c r="C559">
        <f t="shared" si="26"/>
        <v>-9.7235217573906473E-3</v>
      </c>
      <c r="K559">
        <f t="shared" si="24"/>
        <v>307.25</v>
      </c>
      <c r="L559" s="5">
        <f t="shared" si="25"/>
        <v>-7.6245176782444912E-2</v>
      </c>
    </row>
    <row r="560" spans="1:12" x14ac:dyDescent="0.3">
      <c r="A560" s="2">
        <v>45831</v>
      </c>
      <c r="B560">
        <v>281.06390380859381</v>
      </c>
      <c r="C560">
        <f t="shared" si="26"/>
        <v>-1.4814815619102336E-2</v>
      </c>
      <c r="K560">
        <f t="shared" si="24"/>
        <v>307.25</v>
      </c>
      <c r="L560" s="5">
        <f t="shared" si="25"/>
        <v>-8.5227326904495304E-2</v>
      </c>
    </row>
    <row r="561" spans="1:12" x14ac:dyDescent="0.3">
      <c r="A561" s="2">
        <v>45832</v>
      </c>
      <c r="B561">
        <v>276.89999389648438</v>
      </c>
      <c r="C561">
        <f t="shared" si="26"/>
        <v>1.573699732373288E-2</v>
      </c>
      <c r="K561">
        <f t="shared" si="24"/>
        <v>307.25</v>
      </c>
      <c r="L561" s="5">
        <f t="shared" si="25"/>
        <v>-9.8779515389798567E-2</v>
      </c>
    </row>
    <row r="562" spans="1:12" x14ac:dyDescent="0.3">
      <c r="A562" s="2">
        <v>45833</v>
      </c>
      <c r="B562">
        <v>281.257568359375</v>
      </c>
      <c r="C562">
        <f t="shared" si="26"/>
        <v>1.0501019503815436E-2</v>
      </c>
      <c r="K562">
        <f t="shared" si="24"/>
        <v>307.25</v>
      </c>
      <c r="L562" s="5">
        <f t="shared" si="25"/>
        <v>-8.4597011035394631E-2</v>
      </c>
    </row>
    <row r="563" spans="1:12" x14ac:dyDescent="0.3">
      <c r="A563" s="2">
        <v>45834</v>
      </c>
      <c r="B563">
        <v>284.2110595703125</v>
      </c>
      <c r="C563">
        <f t="shared" si="26"/>
        <v>1.9591050300718522E-2</v>
      </c>
      <c r="K563">
        <f t="shared" si="24"/>
        <v>307.25</v>
      </c>
      <c r="L563" s="5">
        <f t="shared" si="25"/>
        <v>-7.4984346394426415E-2</v>
      </c>
    </row>
    <row r="564" spans="1:12" x14ac:dyDescent="0.3">
      <c r="A564" s="2">
        <v>45835</v>
      </c>
      <c r="B564">
        <v>289.779052734375</v>
      </c>
      <c r="C564">
        <f t="shared" si="26"/>
        <v>2.1720860872752089E-3</v>
      </c>
      <c r="K564">
        <f t="shared" si="24"/>
        <v>307.25</v>
      </c>
      <c r="L564" s="5">
        <f t="shared" si="25"/>
        <v>-5.6862318195687545E-2</v>
      </c>
    </row>
    <row r="565" spans="1:12" x14ac:dyDescent="0.3">
      <c r="A565" s="2">
        <v>45838</v>
      </c>
      <c r="B565">
        <v>290.40847778320313</v>
      </c>
      <c r="C565">
        <f t="shared" si="26"/>
        <v>-7.8359791112014836E-3</v>
      </c>
      <c r="K565">
        <f t="shared" si="24"/>
        <v>307.25</v>
      </c>
      <c r="L565" s="5">
        <f t="shared" si="25"/>
        <v>-5.4813741958655404E-2</v>
      </c>
    </row>
    <row r="566" spans="1:12" x14ac:dyDescent="0.3">
      <c r="A566" s="2">
        <v>45839</v>
      </c>
      <c r="B566">
        <v>288.13284301757813</v>
      </c>
      <c r="C566">
        <f t="shared" si="26"/>
        <v>-9.0739463288657344E-3</v>
      </c>
      <c r="K566">
        <f t="shared" si="24"/>
        <v>307.25</v>
      </c>
      <c r="L566" s="5">
        <f t="shared" si="25"/>
        <v>-6.2220201732862135E-2</v>
      </c>
    </row>
    <row r="567" spans="1:12" x14ac:dyDescent="0.3">
      <c r="A567" s="2">
        <v>45840</v>
      </c>
      <c r="B567">
        <v>285.51834106445313</v>
      </c>
      <c r="C567">
        <f t="shared" si="26"/>
        <v>-3.9003341754074196E-3</v>
      </c>
      <c r="K567">
        <f t="shared" si="24"/>
        <v>307.25</v>
      </c>
      <c r="L567" s="5">
        <f t="shared" si="25"/>
        <v>-7.0729565290632679E-2</v>
      </c>
    </row>
    <row r="568" spans="1:12" x14ac:dyDescent="0.3">
      <c r="A568" s="2">
        <v>45841</v>
      </c>
      <c r="B568">
        <v>284.40472412109381</v>
      </c>
      <c r="C568">
        <f t="shared" si="26"/>
        <v>1.021420537473669E-3</v>
      </c>
      <c r="K568">
        <f t="shared" si="24"/>
        <v>307.25</v>
      </c>
      <c r="L568" s="5">
        <f t="shared" si="25"/>
        <v>-7.4354030525325299E-2</v>
      </c>
    </row>
    <row r="569" spans="1:12" x14ac:dyDescent="0.3">
      <c r="A569" s="2">
        <v>45842</v>
      </c>
      <c r="B569">
        <v>284.69522094726563</v>
      </c>
      <c r="C569">
        <f t="shared" si="26"/>
        <v>6.4626103011366795E-3</v>
      </c>
      <c r="K569">
        <f t="shared" si="24"/>
        <v>307.25</v>
      </c>
      <c r="L569" s="5">
        <f t="shared" si="25"/>
        <v>-7.3408556721674123E-2</v>
      </c>
    </row>
    <row r="570" spans="1:12" x14ac:dyDescent="0.3">
      <c r="A570" s="2">
        <v>45845</v>
      </c>
      <c r="B570">
        <v>286.53509521484381</v>
      </c>
      <c r="C570">
        <f t="shared" si="26"/>
        <v>6.2520888401138806E-3</v>
      </c>
      <c r="K570">
        <f t="shared" si="24"/>
        <v>307.25</v>
      </c>
      <c r="L570" s="5">
        <f t="shared" si="25"/>
        <v>-6.7420357315398527E-2</v>
      </c>
    </row>
    <row r="571" spans="1:12" x14ac:dyDescent="0.3">
      <c r="A571" s="2">
        <v>45846</v>
      </c>
      <c r="B571">
        <v>288.3265380859375</v>
      </c>
      <c r="C571">
        <f t="shared" si="26"/>
        <v>6.3812172122350358E-3</v>
      </c>
      <c r="K571">
        <f t="shared" si="24"/>
        <v>307.25</v>
      </c>
      <c r="L571" s="5">
        <f t="shared" si="25"/>
        <v>-6.158978653885272E-2</v>
      </c>
    </row>
    <row r="572" spans="1:12" x14ac:dyDescent="0.3">
      <c r="A572" s="2">
        <v>45847</v>
      </c>
      <c r="B572">
        <v>290.16641235351563</v>
      </c>
      <c r="C572">
        <f t="shared" si="26"/>
        <v>-1.3349567787628602E-3</v>
      </c>
      <c r="K572">
        <f t="shared" si="24"/>
        <v>307.25</v>
      </c>
      <c r="L572" s="5">
        <f t="shared" si="25"/>
        <v>-5.5601587132577346E-2</v>
      </c>
    </row>
    <row r="573" spans="1:12" x14ac:dyDescent="0.3">
      <c r="A573" s="2">
        <v>45848</v>
      </c>
      <c r="B573">
        <v>289.779052734375</v>
      </c>
      <c r="C573">
        <f t="shared" si="26"/>
        <v>-2.3392182385724575E-3</v>
      </c>
      <c r="K573">
        <f t="shared" si="24"/>
        <v>307.25</v>
      </c>
      <c r="L573" s="5">
        <f t="shared" si="25"/>
        <v>-5.6862318195687545E-2</v>
      </c>
    </row>
    <row r="574" spans="1:12" x14ac:dyDescent="0.3">
      <c r="A574" s="2">
        <v>45849</v>
      </c>
      <c r="B574">
        <v>289.1011962890625</v>
      </c>
      <c r="C574">
        <f t="shared" si="26"/>
        <v>-1.1721403849231332E-3</v>
      </c>
      <c r="K574">
        <f t="shared" si="24"/>
        <v>307.25</v>
      </c>
      <c r="L574" s="5">
        <f t="shared" si="25"/>
        <v>-5.9068523062449141E-2</v>
      </c>
    </row>
    <row r="575" spans="1:12" x14ac:dyDescent="0.3">
      <c r="A575" s="2">
        <v>45852</v>
      </c>
      <c r="B575">
        <v>288.7623291015625</v>
      </c>
      <c r="C575">
        <f t="shared" si="26"/>
        <v>-5.0316185599826849E-4</v>
      </c>
      <c r="K575">
        <f t="shared" si="24"/>
        <v>307.25</v>
      </c>
      <c r="L575" s="5">
        <f t="shared" si="25"/>
        <v>-6.0171426846013065E-2</v>
      </c>
    </row>
    <row r="576" spans="1:12" x14ac:dyDescent="0.3">
      <c r="A576" s="2">
        <v>45853</v>
      </c>
      <c r="B576">
        <v>288.61703491210938</v>
      </c>
      <c r="C576">
        <f t="shared" si="26"/>
        <v>-3.3552551371660911E-3</v>
      </c>
      <c r="K576">
        <f t="shared" si="24"/>
        <v>307.25</v>
      </c>
      <c r="L576" s="5">
        <f t="shared" si="25"/>
        <v>-6.0644312735201433E-2</v>
      </c>
    </row>
    <row r="577" spans="1:12" x14ac:dyDescent="0.3">
      <c r="A577" s="2">
        <v>45854</v>
      </c>
      <c r="B577">
        <v>287.64865112304688</v>
      </c>
      <c r="C577">
        <f t="shared" si="26"/>
        <v>-1.5146932244931807E-3</v>
      </c>
      <c r="K577">
        <f t="shared" si="24"/>
        <v>307.25</v>
      </c>
      <c r="L577" s="5">
        <f t="shared" si="25"/>
        <v>-6.3796090730522836E-2</v>
      </c>
    </row>
    <row r="578" spans="1:12" x14ac:dyDescent="0.3">
      <c r="A578" s="2">
        <v>45855</v>
      </c>
      <c r="B578">
        <v>287.21295166015619</v>
      </c>
      <c r="C578">
        <f t="shared" si="26"/>
        <v>-8.2604128570112085E-3</v>
      </c>
      <c r="K578">
        <f t="shared" ref="K578:K641" si="27">MAX(B578:B1317)</f>
        <v>307.25</v>
      </c>
      <c r="L578" s="5">
        <f t="shared" ref="L578:L641" si="28">B578/K578-1</f>
        <v>-6.5214152448637264E-2</v>
      </c>
    </row>
    <row r="579" spans="1:12" x14ac:dyDescent="0.3">
      <c r="A579" s="2">
        <v>45856</v>
      </c>
      <c r="B579">
        <v>284.8404541015625</v>
      </c>
      <c r="C579">
        <f t="shared" ref="C579:C642" si="29">(B580-B579)/B579</f>
        <v>9.6889191926161373E-3</v>
      </c>
      <c r="K579">
        <f t="shared" si="27"/>
        <v>307.25</v>
      </c>
      <c r="L579" s="5">
        <f t="shared" si="28"/>
        <v>-7.2935869482302684E-2</v>
      </c>
    </row>
    <row r="580" spans="1:12" x14ac:dyDescent="0.3">
      <c r="A580" s="2">
        <v>45859</v>
      </c>
      <c r="B580">
        <v>287.60025024414063</v>
      </c>
      <c r="C580">
        <f t="shared" si="29"/>
        <v>2.6936302038873656E-3</v>
      </c>
      <c r="K580">
        <f t="shared" si="27"/>
        <v>307.25</v>
      </c>
      <c r="L580" s="5">
        <f t="shared" si="28"/>
        <v>-6.3953620035343772E-2</v>
      </c>
    </row>
    <row r="581" spans="1:12" x14ac:dyDescent="0.3">
      <c r="A581" s="2">
        <v>45860</v>
      </c>
      <c r="B581">
        <v>288.37493896484381</v>
      </c>
      <c r="C581">
        <f t="shared" si="29"/>
        <v>4.8690561481223946E-3</v>
      </c>
      <c r="K581">
        <f t="shared" si="27"/>
        <v>307.25</v>
      </c>
      <c r="L581" s="5">
        <f t="shared" si="28"/>
        <v>-6.1432257234031562E-2</v>
      </c>
    </row>
    <row r="582" spans="1:12" x14ac:dyDescent="0.3">
      <c r="A582" s="2">
        <v>45861</v>
      </c>
      <c r="B582">
        <v>289.779052734375</v>
      </c>
      <c r="C582">
        <f t="shared" si="29"/>
        <v>3.3415898932966001E-4</v>
      </c>
      <c r="K582">
        <f t="shared" si="27"/>
        <v>307.25</v>
      </c>
      <c r="L582" s="5">
        <f t="shared" si="28"/>
        <v>-5.6862318195687545E-2</v>
      </c>
    </row>
    <row r="583" spans="1:12" x14ac:dyDescent="0.3">
      <c r="A583" s="2">
        <v>45862</v>
      </c>
      <c r="B583">
        <v>289.87588500976563</v>
      </c>
      <c r="C583">
        <f t="shared" si="29"/>
        <v>-2.4219118226552754E-2</v>
      </c>
      <c r="K583">
        <f t="shared" si="27"/>
        <v>307.25</v>
      </c>
      <c r="L583" s="5">
        <f t="shared" si="28"/>
        <v>-5.6547160261137153E-2</v>
      </c>
    </row>
    <row r="584" spans="1:12" x14ac:dyDescent="0.3">
      <c r="A584" s="2">
        <v>45863</v>
      </c>
      <c r="B584">
        <v>282.8553466796875</v>
      </c>
      <c r="C584">
        <f t="shared" si="29"/>
        <v>-6.8467700206005814E-4</v>
      </c>
      <c r="K584">
        <f t="shared" si="27"/>
        <v>307.25</v>
      </c>
      <c r="L584" s="5">
        <f t="shared" si="28"/>
        <v>-7.9396756127949497E-2</v>
      </c>
    </row>
    <row r="585" spans="1:12" x14ac:dyDescent="0.3">
      <c r="A585" s="2">
        <v>45866</v>
      </c>
      <c r="B585">
        <v>282.66168212890619</v>
      </c>
      <c r="C585">
        <f t="shared" si="29"/>
        <v>4.1108766350498697E-3</v>
      </c>
      <c r="K585">
        <f t="shared" si="27"/>
        <v>307.25</v>
      </c>
      <c r="L585" s="5">
        <f t="shared" si="28"/>
        <v>-8.0027071997050614E-2</v>
      </c>
    </row>
    <row r="586" spans="1:12" x14ac:dyDescent="0.3">
      <c r="A586" s="2">
        <v>45867</v>
      </c>
      <c r="B586">
        <v>283.82366943359381</v>
      </c>
      <c r="C586">
        <f t="shared" si="29"/>
        <v>-1.4158846338206976E-2</v>
      </c>
      <c r="K586">
        <f t="shared" si="27"/>
        <v>307.25</v>
      </c>
      <c r="L586" s="5">
        <f t="shared" si="28"/>
        <v>-7.6245176782444912E-2</v>
      </c>
    </row>
    <row r="587" spans="1:12" x14ac:dyDescent="0.3">
      <c r="A587" s="2">
        <v>45868</v>
      </c>
      <c r="B587">
        <v>279.8050537109375</v>
      </c>
      <c r="C587">
        <f t="shared" si="29"/>
        <v>7.0946088912524985E-3</v>
      </c>
      <c r="K587">
        <f t="shared" si="27"/>
        <v>307.25</v>
      </c>
      <c r="L587" s="5">
        <f t="shared" si="28"/>
        <v>-8.9324479378559807E-2</v>
      </c>
    </row>
    <row r="588" spans="1:12" x14ac:dyDescent="0.3">
      <c r="A588" s="2">
        <v>45869</v>
      </c>
      <c r="B588">
        <v>281.7901611328125</v>
      </c>
      <c r="C588">
        <f t="shared" si="29"/>
        <v>8.5902725884531665E-4</v>
      </c>
      <c r="K588">
        <f t="shared" si="27"/>
        <v>307.25</v>
      </c>
      <c r="L588" s="5">
        <f t="shared" si="28"/>
        <v>-8.2863592732912883E-2</v>
      </c>
    </row>
    <row r="589" spans="1:12" x14ac:dyDescent="0.3">
      <c r="A589" s="2">
        <v>45870</v>
      </c>
      <c r="B589">
        <v>282.0322265625</v>
      </c>
      <c r="C589">
        <f t="shared" si="29"/>
        <v>-1.1330358101253112E-2</v>
      </c>
      <c r="K589">
        <f t="shared" si="27"/>
        <v>307.25</v>
      </c>
      <c r="L589" s="5">
        <f t="shared" si="28"/>
        <v>-8.2075747558991052E-2</v>
      </c>
    </row>
    <row r="590" spans="1:12" x14ac:dyDescent="0.3">
      <c r="A590" s="2">
        <v>45873</v>
      </c>
      <c r="B590">
        <v>278.83670043945313</v>
      </c>
      <c r="C590">
        <f t="shared" si="29"/>
        <v>-6.7721938276581357E-3</v>
      </c>
      <c r="K590">
        <f t="shared" si="27"/>
        <v>307.25</v>
      </c>
      <c r="L590" s="5">
        <f t="shared" si="28"/>
        <v>-9.247615804897269E-2</v>
      </c>
    </row>
    <row r="591" spans="1:12" x14ac:dyDescent="0.3">
      <c r="A591" s="2">
        <v>45874</v>
      </c>
      <c r="B591">
        <v>276.9483642578125</v>
      </c>
      <c r="C591">
        <f t="shared" si="29"/>
        <v>-4.1956821366375746E-3</v>
      </c>
      <c r="K591">
        <f t="shared" si="27"/>
        <v>307.25</v>
      </c>
      <c r="L591" s="5">
        <f t="shared" si="28"/>
        <v>-9.862208540988604E-2</v>
      </c>
    </row>
    <row r="592" spans="1:12" x14ac:dyDescent="0.3">
      <c r="A592" s="2">
        <v>45875</v>
      </c>
      <c r="B592">
        <v>275.786376953125</v>
      </c>
      <c r="C592">
        <f t="shared" si="29"/>
        <v>2.6334053633919985E-3</v>
      </c>
      <c r="K592">
        <f t="shared" si="27"/>
        <v>307.25</v>
      </c>
      <c r="L592" s="5">
        <f t="shared" si="28"/>
        <v>-0.10240398062449141</v>
      </c>
    </row>
    <row r="593" spans="1:12" x14ac:dyDescent="0.3">
      <c r="A593" s="2">
        <v>45876</v>
      </c>
      <c r="B593">
        <v>276.51263427734381</v>
      </c>
      <c r="C593">
        <f t="shared" si="29"/>
        <v>-2.451337999458529E-3</v>
      </c>
      <c r="K593">
        <f t="shared" si="27"/>
        <v>307.25</v>
      </c>
      <c r="L593" s="5">
        <f t="shared" si="28"/>
        <v>-0.10004024645290865</v>
      </c>
    </row>
    <row r="594" spans="1:12" x14ac:dyDescent="0.3">
      <c r="A594" s="2">
        <v>45877</v>
      </c>
      <c r="B594">
        <v>275.83480834960938</v>
      </c>
      <c r="C594">
        <f t="shared" si="29"/>
        <v>0</v>
      </c>
      <c r="K594">
        <f t="shared" si="27"/>
        <v>307.25</v>
      </c>
      <c r="L594" s="5">
        <f t="shared" si="28"/>
        <v>-0.10224635199476195</v>
      </c>
    </row>
    <row r="595" spans="1:12" x14ac:dyDescent="0.3">
      <c r="A595" s="2">
        <v>45880</v>
      </c>
      <c r="B595">
        <v>275.83480834960938</v>
      </c>
      <c r="C595">
        <f t="shared" si="29"/>
        <v>-7.0221401540401091E-4</v>
      </c>
      <c r="K595">
        <f t="shared" si="27"/>
        <v>307.25</v>
      </c>
      <c r="L595" s="5">
        <f t="shared" si="28"/>
        <v>-0.10224635199476195</v>
      </c>
    </row>
    <row r="596" spans="1:12" x14ac:dyDescent="0.3">
      <c r="A596" s="2">
        <v>45881</v>
      </c>
      <c r="B596">
        <v>275.64111328125</v>
      </c>
      <c r="C596">
        <f t="shared" si="29"/>
        <v>1.2471590556816436E-2</v>
      </c>
      <c r="K596">
        <f t="shared" si="27"/>
        <v>307.25</v>
      </c>
      <c r="L596" s="5">
        <f t="shared" si="28"/>
        <v>-0.10287676718877137</v>
      </c>
    </row>
    <row r="597" spans="1:12" x14ac:dyDescent="0.3">
      <c r="A597" s="2">
        <v>45882</v>
      </c>
      <c r="B597">
        <v>279.07879638671881</v>
      </c>
      <c r="C597">
        <f t="shared" si="29"/>
        <v>1.7349648228389576E-3</v>
      </c>
      <c r="K597">
        <f t="shared" si="27"/>
        <v>307.25</v>
      </c>
      <c r="L597" s="5">
        <f t="shared" si="28"/>
        <v>-9.1688213550142228E-2</v>
      </c>
    </row>
    <row r="598" spans="1:12" x14ac:dyDescent="0.3">
      <c r="A598" s="2">
        <v>45883</v>
      </c>
      <c r="B598">
        <v>279.56298828125</v>
      </c>
      <c r="C598">
        <f t="shared" si="29"/>
        <v>5.7151621269943848E-3</v>
      </c>
      <c r="K598">
        <f t="shared" si="27"/>
        <v>307.25</v>
      </c>
      <c r="L598" s="5">
        <f t="shared" si="28"/>
        <v>-9.0112324552481637E-2</v>
      </c>
    </row>
    <row r="599" spans="1:12" x14ac:dyDescent="0.3">
      <c r="A599" s="2">
        <v>45887</v>
      </c>
      <c r="B599">
        <v>281.16073608398438</v>
      </c>
      <c r="C599">
        <f t="shared" si="29"/>
        <v>-3.8050270946453817E-3</v>
      </c>
      <c r="K599">
        <f t="shared" si="27"/>
        <v>307.25</v>
      </c>
      <c r="L599" s="5">
        <f t="shared" si="28"/>
        <v>-8.4912168969945023E-2</v>
      </c>
    </row>
    <row r="600" spans="1:12" x14ac:dyDescent="0.3">
      <c r="A600" s="2">
        <v>45888</v>
      </c>
      <c r="B600">
        <v>280.09091186523438</v>
      </c>
      <c r="C600">
        <f t="shared" si="29"/>
        <v>1.3888618012233209E-3</v>
      </c>
      <c r="K600">
        <f t="shared" si="27"/>
        <v>307.25</v>
      </c>
      <c r="L600" s="5">
        <f t="shared" si="28"/>
        <v>-8.8394102960994703E-2</v>
      </c>
    </row>
    <row r="601" spans="1:12" x14ac:dyDescent="0.3">
      <c r="A601" s="2">
        <v>45889</v>
      </c>
      <c r="B601">
        <v>280.47991943359381</v>
      </c>
      <c r="C601">
        <f t="shared" si="29"/>
        <v>-1.5256508543466545E-2</v>
      </c>
      <c r="K601">
        <f t="shared" si="27"/>
        <v>307.25</v>
      </c>
      <c r="L601" s="5">
        <f t="shared" si="28"/>
        <v>-8.7128008352827302E-2</v>
      </c>
    </row>
    <row r="602" spans="1:12" x14ac:dyDescent="0.3">
      <c r="A602" s="2">
        <v>45890</v>
      </c>
      <c r="B602">
        <v>276.20077514648438</v>
      </c>
      <c r="C602">
        <f t="shared" si="29"/>
        <v>-2.2887014453380553E-3</v>
      </c>
      <c r="K602">
        <f t="shared" si="27"/>
        <v>307.25</v>
      </c>
      <c r="L602" s="5">
        <f t="shared" si="28"/>
        <v>-0.10105524769248375</v>
      </c>
    </row>
    <row r="603" spans="1:12" x14ac:dyDescent="0.3">
      <c r="A603" s="2">
        <v>45891</v>
      </c>
      <c r="B603">
        <v>275.56863403320313</v>
      </c>
      <c r="C603">
        <f t="shared" si="29"/>
        <v>2.8233080279557771E-3</v>
      </c>
      <c r="K603">
        <f t="shared" si="27"/>
        <v>307.25</v>
      </c>
      <c r="L603" s="5">
        <f t="shared" si="28"/>
        <v>-0.10311266384636897</v>
      </c>
    </row>
    <row r="604" spans="1:12" x14ac:dyDescent="0.3">
      <c r="A604" s="2">
        <v>45894</v>
      </c>
      <c r="B604">
        <v>276.34664916992188</v>
      </c>
      <c r="C604">
        <f t="shared" si="29"/>
        <v>-1.4956941919380714E-2</v>
      </c>
      <c r="K604">
        <f t="shared" si="27"/>
        <v>307.25</v>
      </c>
      <c r="L604" s="5">
        <f t="shared" si="28"/>
        <v>-0.10058047463003461</v>
      </c>
    </row>
    <row r="605" spans="1:12" x14ac:dyDescent="0.3">
      <c r="A605" s="2">
        <v>45895</v>
      </c>
      <c r="B605">
        <v>272.21334838867188</v>
      </c>
      <c r="C605">
        <f t="shared" si="29"/>
        <v>-1.9471098680958625E-2</v>
      </c>
      <c r="K605">
        <f t="shared" si="27"/>
        <v>307.25</v>
      </c>
      <c r="L605" s="5">
        <f t="shared" si="28"/>
        <v>-0.11403304023215011</v>
      </c>
    </row>
    <row r="606" spans="1:12" x14ac:dyDescent="0.3">
      <c r="A606" s="2">
        <v>45897</v>
      </c>
      <c r="B606">
        <v>266.91305541992188</v>
      </c>
      <c r="C606">
        <f t="shared" si="29"/>
        <v>2.9148635517087578E-3</v>
      </c>
      <c r="K606">
        <f t="shared" si="27"/>
        <v>307.25</v>
      </c>
      <c r="L606" s="5">
        <f t="shared" si="28"/>
        <v>-0.13128379033385884</v>
      </c>
    </row>
    <row r="607" spans="1:12" x14ac:dyDescent="0.3">
      <c r="A607" s="2">
        <v>45898</v>
      </c>
      <c r="B607">
        <v>267.69107055664063</v>
      </c>
      <c r="C607">
        <f t="shared" si="29"/>
        <v>1.671215195319585E-2</v>
      </c>
      <c r="K607">
        <f t="shared" si="27"/>
        <v>307.25</v>
      </c>
      <c r="L607" s="5">
        <f t="shared" si="28"/>
        <v>-0.12875160111752437</v>
      </c>
    </row>
    <row r="608" spans="1:12" x14ac:dyDescent="0.3">
      <c r="A608" s="2">
        <v>45901</v>
      </c>
      <c r="B608">
        <v>272.16476440429688</v>
      </c>
      <c r="C608">
        <f t="shared" si="29"/>
        <v>2.447732442131596E-2</v>
      </c>
      <c r="K608">
        <f t="shared" si="27"/>
        <v>307.25</v>
      </c>
      <c r="L608" s="5">
        <f t="shared" si="28"/>
        <v>-0.11419116548642194</v>
      </c>
    </row>
    <row r="609" spans="1:12" x14ac:dyDescent="0.3">
      <c r="A609" s="2">
        <v>45902</v>
      </c>
      <c r="B609">
        <v>278.82662963867188</v>
      </c>
      <c r="C609">
        <f t="shared" si="29"/>
        <v>-2.2672570108479193E-3</v>
      </c>
      <c r="K609">
        <f t="shared" si="27"/>
        <v>307.25</v>
      </c>
      <c r="L609" s="5">
        <f t="shared" si="28"/>
        <v>-9.2508935268765247E-2</v>
      </c>
    </row>
    <row r="610" spans="1:12" x14ac:dyDescent="0.3">
      <c r="A610" s="2">
        <v>45903</v>
      </c>
      <c r="B610">
        <v>278.1944580078125</v>
      </c>
      <c r="C610">
        <f t="shared" si="29"/>
        <v>-1.4857485994763421E-2</v>
      </c>
      <c r="K610">
        <f t="shared" si="27"/>
        <v>307.25</v>
      </c>
      <c r="L610" s="5">
        <f t="shared" si="28"/>
        <v>-9.4566450747558983E-2</v>
      </c>
    </row>
    <row r="611" spans="1:12" x14ac:dyDescent="0.3">
      <c r="A611" s="2">
        <v>45904</v>
      </c>
      <c r="B611">
        <v>274.06118774414063</v>
      </c>
      <c r="C611">
        <f t="shared" si="29"/>
        <v>1.2597605216761723E-2</v>
      </c>
      <c r="K611">
        <f t="shared" si="27"/>
        <v>307.25</v>
      </c>
      <c r="L611" s="5">
        <f t="shared" si="28"/>
        <v>-0.10801891702476607</v>
      </c>
    </row>
    <row r="612" spans="1:12" x14ac:dyDescent="0.3">
      <c r="A612" s="2">
        <v>45905</v>
      </c>
      <c r="B612">
        <v>277.51370239257813</v>
      </c>
      <c r="C612">
        <f t="shared" si="29"/>
        <v>-8.9364252913240114E-3</v>
      </c>
      <c r="K612">
        <f t="shared" si="27"/>
        <v>307.25</v>
      </c>
      <c r="L612" s="5">
        <f t="shared" si="28"/>
        <v>-9.6782091480624444E-2</v>
      </c>
    </row>
    <row r="613" spans="1:12" x14ac:dyDescent="0.3">
      <c r="A613" s="2">
        <v>45908</v>
      </c>
      <c r="B613">
        <v>275.03372192382813</v>
      </c>
      <c r="C613">
        <f t="shared" si="29"/>
        <v>3.7129236083332734E-3</v>
      </c>
      <c r="K613">
        <f t="shared" si="27"/>
        <v>307.25</v>
      </c>
      <c r="L613" s="5">
        <f t="shared" si="28"/>
        <v>-0.10485363084189381</v>
      </c>
    </row>
    <row r="614" spans="1:12" x14ac:dyDescent="0.3">
      <c r="A614" s="2">
        <v>45909</v>
      </c>
      <c r="B614">
        <v>276.05490112304688</v>
      </c>
      <c r="C614">
        <f t="shared" si="29"/>
        <v>-3.1706542960920989E-3</v>
      </c>
      <c r="K614">
        <f t="shared" si="27"/>
        <v>307.25</v>
      </c>
      <c r="L614" s="5">
        <f t="shared" si="28"/>
        <v>-0.10153002075493289</v>
      </c>
    </row>
    <row r="615" spans="1:12" x14ac:dyDescent="0.3">
      <c r="A615" s="2">
        <v>45910</v>
      </c>
      <c r="B615">
        <v>275.17962646484381</v>
      </c>
      <c r="C615">
        <f t="shared" si="29"/>
        <v>1.3606613045500093E-2</v>
      </c>
      <c r="K615">
        <f t="shared" si="27"/>
        <v>307.25</v>
      </c>
      <c r="L615" s="5">
        <f t="shared" si="28"/>
        <v>-0.10437875845453604</v>
      </c>
    </row>
    <row r="616" spans="1:12" x14ac:dyDescent="0.3">
      <c r="A616" s="2">
        <v>45911</v>
      </c>
      <c r="B616">
        <v>278.92388916015619</v>
      </c>
      <c r="C616">
        <f t="shared" si="29"/>
        <v>2.9637481348015241E-3</v>
      </c>
      <c r="K616">
        <f t="shared" si="27"/>
        <v>307.25</v>
      </c>
      <c r="L616" s="5">
        <f t="shared" si="28"/>
        <v>-9.2192386785496572E-2</v>
      </c>
    </row>
    <row r="617" spans="1:12" x14ac:dyDescent="0.3">
      <c r="A617" s="2">
        <v>45912</v>
      </c>
      <c r="B617">
        <v>279.75054931640619</v>
      </c>
      <c r="C617">
        <f t="shared" si="29"/>
        <v>-4.8670941628251151E-3</v>
      </c>
      <c r="K617">
        <f t="shared" si="27"/>
        <v>307.25</v>
      </c>
      <c r="L617" s="5">
        <f t="shared" si="28"/>
        <v>-8.950187366507345E-2</v>
      </c>
    </row>
    <row r="618" spans="1:12" x14ac:dyDescent="0.3">
      <c r="A618" s="2">
        <v>45915</v>
      </c>
      <c r="B618">
        <v>278.38897705078119</v>
      </c>
      <c r="C618">
        <f t="shared" si="29"/>
        <v>7.3363479404756219E-3</v>
      </c>
      <c r="K618">
        <f t="shared" si="27"/>
        <v>307.25</v>
      </c>
      <c r="L618" s="5">
        <f t="shared" si="28"/>
        <v>-9.39333537810213E-2</v>
      </c>
    </row>
    <row r="619" spans="1:12" x14ac:dyDescent="0.3">
      <c r="A619" s="2">
        <v>45916</v>
      </c>
      <c r="B619">
        <v>280.43133544921881</v>
      </c>
      <c r="C619">
        <f t="shared" si="29"/>
        <v>-4.161636290704894E-3</v>
      </c>
      <c r="K619">
        <f t="shared" si="27"/>
        <v>307.25</v>
      </c>
      <c r="L619" s="5">
        <f t="shared" si="28"/>
        <v>-8.7286133607099137E-2</v>
      </c>
    </row>
    <row r="620" spans="1:12" x14ac:dyDescent="0.3">
      <c r="A620" s="2">
        <v>45917</v>
      </c>
      <c r="B620">
        <v>279.2642822265625</v>
      </c>
      <c r="C620">
        <f t="shared" si="29"/>
        <v>6.7908929931945732E-3</v>
      </c>
      <c r="K620">
        <f t="shared" si="27"/>
        <v>307.25</v>
      </c>
      <c r="L620" s="5">
        <f t="shared" si="28"/>
        <v>-9.1084516756509304E-2</v>
      </c>
    </row>
    <row r="621" spans="1:12" x14ac:dyDescent="0.3">
      <c r="A621" s="2">
        <v>45918</v>
      </c>
      <c r="B621">
        <v>281.16073608398438</v>
      </c>
      <c r="C621">
        <f t="shared" si="29"/>
        <v>-1.0031178515316548E-2</v>
      </c>
      <c r="K621">
        <f t="shared" si="27"/>
        <v>307.25</v>
      </c>
      <c r="L621" s="5">
        <f t="shared" si="28"/>
        <v>-8.4912168969945023E-2</v>
      </c>
    </row>
    <row r="622" spans="1:12" x14ac:dyDescent="0.3">
      <c r="A622" s="2">
        <v>45919</v>
      </c>
      <c r="B622">
        <v>278.34036254882813</v>
      </c>
      <c r="C622">
        <f t="shared" si="29"/>
        <v>1.5722551566186515E-3</v>
      </c>
      <c r="K622">
        <f t="shared" si="27"/>
        <v>307.25</v>
      </c>
      <c r="L622" s="5">
        <f t="shared" si="28"/>
        <v>-9.4091578360201433E-2</v>
      </c>
    </row>
    <row r="623" spans="1:12" x14ac:dyDescent="0.3">
      <c r="A623" s="2">
        <v>45922</v>
      </c>
      <c r="B623">
        <v>278.77798461914063</v>
      </c>
      <c r="C623">
        <f t="shared" si="29"/>
        <v>6.802848430054219E-3</v>
      </c>
      <c r="K623">
        <f t="shared" si="27"/>
        <v>307.25</v>
      </c>
      <c r="L623" s="5">
        <f t="shared" si="28"/>
        <v>-9.26672591728539E-2</v>
      </c>
    </row>
    <row r="624" spans="1:12" x14ac:dyDescent="0.3">
      <c r="A624" s="2">
        <v>45923</v>
      </c>
      <c r="B624">
        <v>280.67446899414063</v>
      </c>
      <c r="C624">
        <f t="shared" si="29"/>
        <v>1.6285386947965677E-2</v>
      </c>
      <c r="K624">
        <f t="shared" si="27"/>
        <v>307.25</v>
      </c>
      <c r="L624" s="5">
        <f t="shared" si="28"/>
        <v>-8.649481206138121E-2</v>
      </c>
    </row>
    <row r="625" spans="1:12" x14ac:dyDescent="0.3">
      <c r="A625" s="2">
        <v>45924</v>
      </c>
      <c r="B625">
        <v>285.245361328125</v>
      </c>
      <c r="C625">
        <f t="shared" si="29"/>
        <v>-3.034432732921627E-2</v>
      </c>
      <c r="K625">
        <f t="shared" si="27"/>
        <v>307.25</v>
      </c>
      <c r="L625" s="5">
        <f t="shared" si="28"/>
        <v>-7.16180265968267E-2</v>
      </c>
    </row>
    <row r="626" spans="1:12" x14ac:dyDescent="0.3">
      <c r="A626" s="2">
        <v>45925</v>
      </c>
      <c r="B626">
        <v>276.58978271484381</v>
      </c>
      <c r="C626">
        <f t="shared" si="29"/>
        <v>-7.5597238708138247E-3</v>
      </c>
      <c r="K626">
        <f t="shared" si="27"/>
        <v>307.25</v>
      </c>
      <c r="L626" s="5">
        <f t="shared" si="28"/>
        <v>-9.9789153084316351E-2</v>
      </c>
    </row>
    <row r="627" spans="1:12" x14ac:dyDescent="0.3">
      <c r="A627" s="2">
        <v>45926</v>
      </c>
      <c r="B627">
        <v>274.49884033203119</v>
      </c>
      <c r="C627">
        <f t="shared" si="29"/>
        <v>-5.8458363285895602E-3</v>
      </c>
      <c r="K627">
        <f t="shared" si="27"/>
        <v>307.25</v>
      </c>
      <c r="L627" s="5">
        <f t="shared" si="28"/>
        <v>-0.10659449851251035</v>
      </c>
    </row>
    <row r="628" spans="1:12" x14ac:dyDescent="0.3">
      <c r="A628" s="2">
        <v>45929</v>
      </c>
      <c r="B628">
        <v>272.8941650390625</v>
      </c>
      <c r="C628">
        <f t="shared" si="29"/>
        <v>-1.2473446119948459E-3</v>
      </c>
      <c r="K628">
        <f t="shared" si="27"/>
        <v>307.25</v>
      </c>
      <c r="L628" s="5">
        <f t="shared" si="28"/>
        <v>-0.11181720084926772</v>
      </c>
    </row>
    <row r="629" spans="1:12" x14ac:dyDescent="0.3">
      <c r="A629" s="2">
        <v>45930</v>
      </c>
      <c r="B629">
        <v>272.55377197265619</v>
      </c>
      <c r="C629">
        <f t="shared" si="29"/>
        <v>1.427269068939757E-3</v>
      </c>
      <c r="K629">
        <f t="shared" si="27"/>
        <v>307.25</v>
      </c>
      <c r="L629" s="5">
        <f t="shared" si="28"/>
        <v>-0.11292507087825487</v>
      </c>
    </row>
    <row r="630" spans="1:12" x14ac:dyDescent="0.3">
      <c r="A630" s="2">
        <v>45931</v>
      </c>
      <c r="B630">
        <v>272.94277954101563</v>
      </c>
      <c r="C630">
        <f t="shared" si="29"/>
        <v>3.2246623886140427E-2</v>
      </c>
      <c r="K630">
        <f t="shared" si="27"/>
        <v>307.25</v>
      </c>
      <c r="L630" s="5">
        <f t="shared" si="28"/>
        <v>-0.11165897627008747</v>
      </c>
    </row>
    <row r="631" spans="1:12" x14ac:dyDescent="0.3">
      <c r="A631" s="2">
        <v>45933</v>
      </c>
      <c r="B631">
        <v>281.7442626953125</v>
      </c>
      <c r="C631">
        <f t="shared" si="29"/>
        <v>-9.6651977492678877E-3</v>
      </c>
      <c r="K631">
        <f t="shared" si="27"/>
        <v>307.25</v>
      </c>
      <c r="L631" s="5">
        <f t="shared" si="28"/>
        <v>-8.3012977395240051E-2</v>
      </c>
    </row>
    <row r="632" spans="1:12" x14ac:dyDescent="0.3">
      <c r="A632" s="2">
        <v>45936</v>
      </c>
      <c r="B632">
        <v>279.02114868164063</v>
      </c>
      <c r="C632">
        <f t="shared" si="29"/>
        <v>7.319616776395841E-3</v>
      </c>
      <c r="K632">
        <f t="shared" si="27"/>
        <v>307.25</v>
      </c>
      <c r="L632" s="5">
        <f t="shared" si="28"/>
        <v>-9.1875838302227453E-2</v>
      </c>
    </row>
    <row r="633" spans="1:12" x14ac:dyDescent="0.3">
      <c r="A633" s="2">
        <v>45937</v>
      </c>
      <c r="B633">
        <v>281.0634765625</v>
      </c>
      <c r="C633">
        <f t="shared" si="29"/>
        <v>-1.2802870132622678E-2</v>
      </c>
      <c r="K633">
        <f t="shared" si="27"/>
        <v>307.25</v>
      </c>
      <c r="L633" s="5">
        <f t="shared" si="28"/>
        <v>-8.5228717453214031E-2</v>
      </c>
    </row>
    <row r="634" spans="1:12" x14ac:dyDescent="0.3">
      <c r="A634" s="2">
        <v>45938</v>
      </c>
      <c r="B634">
        <v>277.46505737304688</v>
      </c>
      <c r="C634">
        <f t="shared" si="29"/>
        <v>2.9793306734785347E-3</v>
      </c>
      <c r="K634">
        <f t="shared" si="27"/>
        <v>307.25</v>
      </c>
      <c r="L634" s="5">
        <f t="shared" si="28"/>
        <v>-9.6940415384713208E-2</v>
      </c>
    </row>
    <row r="635" spans="1:12" x14ac:dyDescent="0.3">
      <c r="A635" s="2">
        <v>45939</v>
      </c>
      <c r="B635">
        <v>278.29171752929688</v>
      </c>
      <c r="C635">
        <f t="shared" si="29"/>
        <v>1.0484081533376838E-2</v>
      </c>
      <c r="K635">
        <f t="shared" si="27"/>
        <v>307.25</v>
      </c>
      <c r="L635" s="5">
        <f t="shared" si="28"/>
        <v>-9.4249902264290086E-2</v>
      </c>
    </row>
    <row r="636" spans="1:12" x14ac:dyDescent="0.3">
      <c r="A636" s="2">
        <v>45940</v>
      </c>
      <c r="B636">
        <v>281.2093505859375</v>
      </c>
      <c r="C636">
        <f t="shared" si="29"/>
        <v>-1.0375305979553469E-2</v>
      </c>
      <c r="K636">
        <f t="shared" si="27"/>
        <v>307.25</v>
      </c>
      <c r="L636" s="5">
        <f t="shared" si="28"/>
        <v>-8.475394439076489E-2</v>
      </c>
    </row>
    <row r="637" spans="1:12" x14ac:dyDescent="0.3">
      <c r="A637" s="2">
        <v>45943</v>
      </c>
      <c r="B637">
        <v>278.29171752929688</v>
      </c>
      <c r="C637">
        <f t="shared" si="29"/>
        <v>4.7178092749222151E-3</v>
      </c>
      <c r="K637">
        <f t="shared" si="27"/>
        <v>307.25</v>
      </c>
      <c r="L637" s="5">
        <f t="shared" si="28"/>
        <v>-9.4249902264290086E-2</v>
      </c>
    </row>
    <row r="638" spans="1:12" x14ac:dyDescent="0.3">
      <c r="A638" s="2">
        <v>45944</v>
      </c>
      <c r="B638">
        <v>279.60464477539063</v>
      </c>
      <c r="C638">
        <f t="shared" si="29"/>
        <v>1.2000106962552737E-2</v>
      </c>
      <c r="K638">
        <f t="shared" si="27"/>
        <v>307.25</v>
      </c>
      <c r="L638" s="5">
        <f t="shared" si="28"/>
        <v>-8.9976746052430889E-2</v>
      </c>
    </row>
    <row r="639" spans="1:12" x14ac:dyDescent="0.3">
      <c r="A639" s="2">
        <v>45945</v>
      </c>
      <c r="B639">
        <v>282.95993041992188</v>
      </c>
      <c r="C639">
        <f t="shared" si="29"/>
        <v>3.0932812886410757E-3</v>
      </c>
      <c r="K639">
        <f t="shared" si="27"/>
        <v>307.25</v>
      </c>
      <c r="L639" s="5">
        <f t="shared" si="28"/>
        <v>-7.9056369666649751E-2</v>
      </c>
    </row>
    <row r="640" spans="1:12" x14ac:dyDescent="0.3">
      <c r="A640" s="2">
        <v>45946</v>
      </c>
      <c r="B640">
        <v>283.835205078125</v>
      </c>
      <c r="C640">
        <f t="shared" si="29"/>
        <v>-7.195470626334844E-3</v>
      </c>
      <c r="K640">
        <f t="shared" si="27"/>
        <v>307.25</v>
      </c>
      <c r="L640" s="5">
        <f t="shared" si="28"/>
        <v>-7.6207631967046385E-2</v>
      </c>
    </row>
    <row r="641" spans="1:12" x14ac:dyDescent="0.3">
      <c r="A641" s="2">
        <v>45947</v>
      </c>
      <c r="B641">
        <v>281.79287719726563</v>
      </c>
      <c r="C641">
        <f t="shared" si="29"/>
        <v>-5.3493749965482064E-3</v>
      </c>
      <c r="K641">
        <f t="shared" si="27"/>
        <v>307.25</v>
      </c>
      <c r="L641" s="5">
        <f t="shared" si="28"/>
        <v>-8.2854752816059807E-2</v>
      </c>
    </row>
    <row r="642" spans="1:12" x14ac:dyDescent="0.3">
      <c r="A642" s="2">
        <v>45950</v>
      </c>
      <c r="B642">
        <v>280.28546142578119</v>
      </c>
      <c r="C642">
        <f t="shared" si="29"/>
        <v>1.3878977752916377E-3</v>
      </c>
      <c r="K642">
        <f t="shared" ref="K642:K705" si="30">MAX(B642:B1381)</f>
        <v>307.25</v>
      </c>
      <c r="L642" s="5">
        <f t="shared" ref="L642:L705" si="31">B642/K642-1</f>
        <v>-8.7760906669548611E-2</v>
      </c>
    </row>
    <row r="643" spans="1:12" x14ac:dyDescent="0.3">
      <c r="A643" s="2">
        <v>45951</v>
      </c>
      <c r="B643">
        <v>280.67446899414063</v>
      </c>
      <c r="C643">
        <f t="shared" ref="C643:C706" si="32">(B644-B643)/B643</f>
        <v>3.6381958262897284E-3</v>
      </c>
      <c r="K643">
        <f t="shared" si="30"/>
        <v>307.25</v>
      </c>
      <c r="L643" s="5">
        <f t="shared" si="31"/>
        <v>-8.649481206138121E-2</v>
      </c>
    </row>
    <row r="644" spans="1:12" x14ac:dyDescent="0.3">
      <c r="A644" s="2">
        <v>45953</v>
      </c>
      <c r="B644">
        <v>281.69561767578119</v>
      </c>
      <c r="C644">
        <f t="shared" si="32"/>
        <v>-3.9702719280930981E-3</v>
      </c>
      <c r="K644">
        <f t="shared" si="30"/>
        <v>307.25</v>
      </c>
      <c r="L644" s="5">
        <f t="shared" si="31"/>
        <v>-8.3171301299328926E-2</v>
      </c>
    </row>
    <row r="645" spans="1:12" x14ac:dyDescent="0.3">
      <c r="A645" s="2">
        <v>45954</v>
      </c>
      <c r="B645">
        <v>280.57720947265619</v>
      </c>
      <c r="C645">
        <f t="shared" si="32"/>
        <v>8.8387433741784951E-3</v>
      </c>
      <c r="K645">
        <f t="shared" si="30"/>
        <v>307.25</v>
      </c>
      <c r="L645" s="5">
        <f t="shared" si="31"/>
        <v>-8.6811360544650329E-2</v>
      </c>
    </row>
    <row r="646" spans="1:12" x14ac:dyDescent="0.3">
      <c r="A646" s="2">
        <v>45957</v>
      </c>
      <c r="B646">
        <v>283.05715942382813</v>
      </c>
      <c r="C646">
        <f t="shared" si="32"/>
        <v>-9.6202600974187452E-3</v>
      </c>
      <c r="K646">
        <f t="shared" si="30"/>
        <v>307.25</v>
      </c>
      <c r="L646" s="5">
        <f t="shared" si="31"/>
        <v>-7.8739920508289263E-2</v>
      </c>
    </row>
    <row r="647" spans="1:12" x14ac:dyDescent="0.3">
      <c r="A647" s="2">
        <v>45958</v>
      </c>
      <c r="B647">
        <v>280.33407592773438</v>
      </c>
      <c r="C647">
        <f t="shared" si="32"/>
        <v>2.4631430460330502E-2</v>
      </c>
      <c r="K647">
        <f t="shared" si="30"/>
        <v>307.25</v>
      </c>
      <c r="L647" s="5">
        <f t="shared" si="31"/>
        <v>-8.7602682090368145E-2</v>
      </c>
    </row>
    <row r="648" spans="1:12" x14ac:dyDescent="0.3">
      <c r="A648" s="2">
        <v>45959</v>
      </c>
      <c r="B648">
        <v>287.23910522460938</v>
      </c>
      <c r="C648">
        <f t="shared" si="32"/>
        <v>-1.3035457724193514E-2</v>
      </c>
      <c r="K648">
        <f t="shared" si="30"/>
        <v>307.25</v>
      </c>
      <c r="L648" s="5">
        <f t="shared" si="31"/>
        <v>-6.5129031002085003E-2</v>
      </c>
    </row>
    <row r="649" spans="1:12" x14ac:dyDescent="0.3">
      <c r="A649" s="2">
        <v>45960</v>
      </c>
      <c r="B649">
        <v>283.49481201171881</v>
      </c>
      <c r="C649">
        <f t="shared" si="32"/>
        <v>-1.1492258296896563E-2</v>
      </c>
      <c r="K649">
        <f t="shared" si="30"/>
        <v>307.25</v>
      </c>
      <c r="L649" s="5">
        <f t="shared" si="31"/>
        <v>-7.7315501996033209E-2</v>
      </c>
    </row>
    <row r="650" spans="1:12" x14ac:dyDescent="0.3">
      <c r="A650" s="2">
        <v>45961</v>
      </c>
      <c r="B650">
        <v>280.23681640625</v>
      </c>
      <c r="C650">
        <f t="shared" si="32"/>
        <v>-5.2064729712070397E-4</v>
      </c>
      <c r="K650">
        <f t="shared" si="30"/>
        <v>307.25</v>
      </c>
      <c r="L650" s="5">
        <f t="shared" si="31"/>
        <v>-8.7919230573637153E-2</v>
      </c>
    </row>
    <row r="651" spans="1:12" x14ac:dyDescent="0.3">
      <c r="A651" s="2">
        <v>45964</v>
      </c>
      <c r="B651">
        <v>280.09091186523438</v>
      </c>
      <c r="C651">
        <f t="shared" si="32"/>
        <v>-3.1076422918714812E-2</v>
      </c>
      <c r="K651">
        <f t="shared" si="30"/>
        <v>307.25</v>
      </c>
      <c r="L651" s="5">
        <f t="shared" si="31"/>
        <v>-8.8394102960994703E-2</v>
      </c>
    </row>
    <row r="652" spans="1:12" x14ac:dyDescent="0.3">
      <c r="A652" s="2">
        <v>45965</v>
      </c>
      <c r="B652">
        <v>271.38668823242188</v>
      </c>
      <c r="C652">
        <f t="shared" si="32"/>
        <v>-3.1714536671749803E-2</v>
      </c>
      <c r="K652">
        <f t="shared" si="30"/>
        <v>307.25</v>
      </c>
      <c r="L652" s="5">
        <f t="shared" si="31"/>
        <v>-0.11672355335257323</v>
      </c>
    </row>
    <row r="653" spans="1:12" x14ac:dyDescent="0.3">
      <c r="A653" s="2">
        <v>45967</v>
      </c>
      <c r="B653">
        <v>262.77978515625</v>
      </c>
      <c r="C653">
        <f t="shared" si="32"/>
        <v>6.6616589832635296E-3</v>
      </c>
      <c r="K653">
        <f t="shared" si="30"/>
        <v>307.25</v>
      </c>
      <c r="L653" s="5">
        <f t="shared" si="31"/>
        <v>-0.14473625661106593</v>
      </c>
    </row>
    <row r="654" spans="1:12" x14ac:dyDescent="0.3">
      <c r="A654" s="2">
        <v>45968</v>
      </c>
      <c r="B654">
        <v>264.53033447265619</v>
      </c>
      <c r="C654">
        <f t="shared" si="32"/>
        <v>2.6168273895294451E-3</v>
      </c>
      <c r="K654">
        <f t="shared" si="30"/>
        <v>307.25</v>
      </c>
      <c r="L654" s="5">
        <f t="shared" si="31"/>
        <v>-0.13903878121185942</v>
      </c>
    </row>
    <row r="655" spans="1:12" x14ac:dyDescent="0.3">
      <c r="A655" s="2">
        <v>45971</v>
      </c>
      <c r="B655">
        <v>265.22256469726563</v>
      </c>
      <c r="C655">
        <f t="shared" si="32"/>
        <v>-2.0507862728145385E-3</v>
      </c>
      <c r="K655">
        <f t="shared" si="30"/>
        <v>307.25</v>
      </c>
      <c r="L655" s="5">
        <f t="shared" si="31"/>
        <v>-0.13678579431321192</v>
      </c>
    </row>
    <row r="656" spans="1:12" x14ac:dyDescent="0.3">
      <c r="A656" s="2">
        <v>45972</v>
      </c>
      <c r="B656">
        <v>264.67864990234381</v>
      </c>
      <c r="C656">
        <f t="shared" si="32"/>
        <v>-2.0548853394275631E-3</v>
      </c>
      <c r="K656">
        <f t="shared" si="30"/>
        <v>307.25</v>
      </c>
      <c r="L656" s="5">
        <f t="shared" si="31"/>
        <v>-0.13855606215673288</v>
      </c>
    </row>
    <row r="657" spans="1:12" x14ac:dyDescent="0.3">
      <c r="A657" s="2">
        <v>45973</v>
      </c>
      <c r="B657">
        <v>264.134765625</v>
      </c>
      <c r="C657">
        <f t="shared" si="32"/>
        <v>1.0295814015395196E-2</v>
      </c>
      <c r="K657">
        <f t="shared" si="30"/>
        <v>307.25</v>
      </c>
      <c r="L657" s="5">
        <f t="shared" si="31"/>
        <v>-0.14032623067534578</v>
      </c>
    </row>
    <row r="658" spans="1:12" x14ac:dyDescent="0.3">
      <c r="A658" s="2">
        <v>45974</v>
      </c>
      <c r="B658">
        <v>266.854248046875</v>
      </c>
      <c r="C658">
        <f t="shared" si="32"/>
        <v>5.3732268408605401E-3</v>
      </c>
      <c r="K658">
        <f t="shared" si="30"/>
        <v>307.25</v>
      </c>
      <c r="L658" s="5">
        <f t="shared" si="31"/>
        <v>-0.13147518943246539</v>
      </c>
    </row>
    <row r="659" spans="1:12" x14ac:dyDescent="0.3">
      <c r="A659" s="2">
        <v>45975</v>
      </c>
      <c r="B659">
        <v>268.28811645507813</v>
      </c>
      <c r="C659">
        <f t="shared" si="32"/>
        <v>8.2934594736934902E-3</v>
      </c>
      <c r="K659">
        <f t="shared" si="30"/>
        <v>307.25</v>
      </c>
      <c r="L659" s="5">
        <f t="shared" si="31"/>
        <v>-0.12680840860837062</v>
      </c>
    </row>
    <row r="660" spans="1:12" x14ac:dyDescent="0.3">
      <c r="A660" s="2">
        <v>45978</v>
      </c>
      <c r="B660">
        <v>270.51315307617188</v>
      </c>
      <c r="C660">
        <f t="shared" si="32"/>
        <v>2.3761940620533623E-3</v>
      </c>
      <c r="K660">
        <f t="shared" si="30"/>
        <v>307.25</v>
      </c>
      <c r="L660" s="5">
        <f t="shared" si="31"/>
        <v>-0.11956662953239428</v>
      </c>
    </row>
    <row r="661" spans="1:12" x14ac:dyDescent="0.3">
      <c r="A661" s="2">
        <v>45979</v>
      </c>
      <c r="B661">
        <v>271.15594482421881</v>
      </c>
      <c r="C661">
        <f t="shared" si="32"/>
        <v>3.4646230072846664E-3</v>
      </c>
      <c r="K661">
        <f t="shared" si="30"/>
        <v>307.25</v>
      </c>
      <c r="L661" s="5">
        <f t="shared" si="31"/>
        <v>-0.11747454898545551</v>
      </c>
    </row>
    <row r="662" spans="1:12" x14ac:dyDescent="0.3">
      <c r="A662" s="2">
        <v>45980</v>
      </c>
      <c r="B662">
        <v>272.09539794921881</v>
      </c>
      <c r="C662">
        <f t="shared" si="32"/>
        <v>7.4505199740420251E-3</v>
      </c>
      <c r="K662">
        <f t="shared" si="30"/>
        <v>307.25</v>
      </c>
      <c r="L662" s="5">
        <f t="shared" si="31"/>
        <v>-0.11441693100335615</v>
      </c>
    </row>
    <row r="663" spans="1:12" x14ac:dyDescent="0.3">
      <c r="A663" s="2">
        <v>45981</v>
      </c>
      <c r="B663">
        <v>274.12265014648438</v>
      </c>
      <c r="C663">
        <f t="shared" si="32"/>
        <v>1.4429246538611789E-3</v>
      </c>
      <c r="K663">
        <f t="shared" si="30"/>
        <v>307.25</v>
      </c>
      <c r="L663" s="5">
        <f t="shared" si="31"/>
        <v>-0.10781887665912326</v>
      </c>
    </row>
    <row r="664" spans="1:12" x14ac:dyDescent="0.3">
      <c r="A664" s="2">
        <v>45982</v>
      </c>
      <c r="B664">
        <v>274.5181884765625</v>
      </c>
      <c r="C664">
        <f t="shared" si="32"/>
        <v>-6.4841943870942208E-3</v>
      </c>
      <c r="K664">
        <f t="shared" si="30"/>
        <v>307.25</v>
      </c>
      <c r="L664" s="5">
        <f t="shared" si="31"/>
        <v>-0.10653152652054521</v>
      </c>
    </row>
    <row r="665" spans="1:12" x14ac:dyDescent="0.3">
      <c r="A665" s="2">
        <v>45985</v>
      </c>
      <c r="B665">
        <v>272.7381591796875</v>
      </c>
      <c r="C665">
        <f t="shared" si="32"/>
        <v>-8.5205644257120104E-3</v>
      </c>
      <c r="K665">
        <f t="shared" si="30"/>
        <v>307.25</v>
      </c>
      <c r="L665" s="5">
        <f t="shared" si="31"/>
        <v>-0.11232494978132623</v>
      </c>
    </row>
    <row r="666" spans="1:12" x14ac:dyDescent="0.3">
      <c r="A666" s="2">
        <v>45986</v>
      </c>
      <c r="B666">
        <v>270.41427612304688</v>
      </c>
      <c r="C666">
        <f t="shared" si="32"/>
        <v>5.8510755354824291E-3</v>
      </c>
      <c r="K666">
        <f t="shared" si="30"/>
        <v>307.25</v>
      </c>
      <c r="L666" s="5">
        <f t="shared" si="31"/>
        <v>-0.11988844223581163</v>
      </c>
    </row>
    <row r="667" spans="1:12" x14ac:dyDescent="0.3">
      <c r="A667" s="2">
        <v>45987</v>
      </c>
      <c r="B667">
        <v>271.99649047851563</v>
      </c>
      <c r="C667">
        <f t="shared" si="32"/>
        <v>-4.9081201479089414E-3</v>
      </c>
      <c r="K667">
        <f t="shared" si="30"/>
        <v>307.25</v>
      </c>
      <c r="L667" s="5">
        <f t="shared" si="31"/>
        <v>-0.11473884303168225</v>
      </c>
    </row>
    <row r="668" spans="1:12" x14ac:dyDescent="0.3">
      <c r="A668" s="2">
        <v>45988</v>
      </c>
      <c r="B668">
        <v>270.6614990234375</v>
      </c>
      <c r="C668">
        <f t="shared" si="32"/>
        <v>-1.3701150835333175E-2</v>
      </c>
      <c r="K668">
        <f t="shared" si="30"/>
        <v>307.25</v>
      </c>
      <c r="L668" s="5">
        <f t="shared" si="31"/>
        <v>-0.11908381115235966</v>
      </c>
    </row>
    <row r="669" spans="1:12" x14ac:dyDescent="0.3">
      <c r="A669" s="2">
        <v>45989</v>
      </c>
      <c r="B669">
        <v>266.953125</v>
      </c>
      <c r="C669">
        <f t="shared" si="32"/>
        <v>-1.1114007170030062E-3</v>
      </c>
      <c r="K669">
        <f t="shared" si="30"/>
        <v>307.25</v>
      </c>
      <c r="L669" s="5">
        <f t="shared" si="31"/>
        <v>-0.13115337672904803</v>
      </c>
    </row>
    <row r="670" spans="1:12" x14ac:dyDescent="0.3">
      <c r="A670" s="2">
        <v>45992</v>
      </c>
      <c r="B670">
        <v>266.65643310546881</v>
      </c>
      <c r="C670">
        <f t="shared" si="32"/>
        <v>-8.1585772525297542E-3</v>
      </c>
      <c r="K670">
        <f t="shared" si="30"/>
        <v>307.25</v>
      </c>
      <c r="L670" s="5">
        <f t="shared" si="31"/>
        <v>-0.13211901348911703</v>
      </c>
    </row>
    <row r="671" spans="1:12" x14ac:dyDescent="0.3">
      <c r="A671" s="2">
        <v>45993</v>
      </c>
      <c r="B671">
        <v>264.48089599609381</v>
      </c>
      <c r="C671">
        <f t="shared" si="32"/>
        <v>3.7389906663693076E-3</v>
      </c>
      <c r="K671">
        <f t="shared" si="30"/>
        <v>307.25</v>
      </c>
      <c r="L671" s="5">
        <f t="shared" si="31"/>
        <v>-0.13919968756356771</v>
      </c>
    </row>
    <row r="672" spans="1:12" x14ac:dyDescent="0.3">
      <c r="A672" s="2">
        <v>45994</v>
      </c>
      <c r="B672">
        <v>265.46978759765619</v>
      </c>
      <c r="C672">
        <f t="shared" si="32"/>
        <v>2.421336732378532E-3</v>
      </c>
      <c r="K672">
        <f t="shared" si="30"/>
        <v>307.25</v>
      </c>
      <c r="L672" s="5">
        <f t="shared" si="31"/>
        <v>-0.13598116322976017</v>
      </c>
    </row>
    <row r="673" spans="1:12" x14ac:dyDescent="0.3">
      <c r="A673" s="2">
        <v>45995</v>
      </c>
      <c r="B673">
        <v>266.11257934570313</v>
      </c>
      <c r="C673">
        <f t="shared" si="32"/>
        <v>2.6011536498318747E-3</v>
      </c>
      <c r="K673">
        <f t="shared" si="30"/>
        <v>307.25</v>
      </c>
      <c r="L673" s="5">
        <f t="shared" si="31"/>
        <v>-0.1338890826828214</v>
      </c>
    </row>
    <row r="674" spans="1:12" x14ac:dyDescent="0.3">
      <c r="A674" s="2">
        <v>45996</v>
      </c>
      <c r="B674">
        <v>266.80477905273438</v>
      </c>
      <c r="C674">
        <f t="shared" si="32"/>
        <v>-1.7049618428443793E-2</v>
      </c>
      <c r="K674">
        <f t="shared" si="30"/>
        <v>307.25</v>
      </c>
      <c r="L674" s="5">
        <f t="shared" si="31"/>
        <v>-0.13163619510908253</v>
      </c>
    </row>
    <row r="675" spans="1:12" x14ac:dyDescent="0.3">
      <c r="A675" s="2">
        <v>45999</v>
      </c>
      <c r="B675">
        <v>262.255859375</v>
      </c>
      <c r="C675">
        <f t="shared" si="32"/>
        <v>-2.4510100539936698E-3</v>
      </c>
      <c r="K675">
        <f t="shared" si="30"/>
        <v>307.25</v>
      </c>
      <c r="L675" s="5">
        <f t="shared" si="31"/>
        <v>-0.14644146663954438</v>
      </c>
    </row>
    <row r="676" spans="1:12" x14ac:dyDescent="0.3">
      <c r="A676" s="2">
        <v>46000</v>
      </c>
      <c r="B676">
        <v>261.61306762695313</v>
      </c>
      <c r="C676">
        <f t="shared" si="32"/>
        <v>3.5910022902205028E-3</v>
      </c>
      <c r="K676">
        <f t="shared" si="30"/>
        <v>307.25</v>
      </c>
      <c r="L676" s="5">
        <f t="shared" si="31"/>
        <v>-0.14853354718648293</v>
      </c>
    </row>
    <row r="677" spans="1:12" x14ac:dyDescent="0.3">
      <c r="A677" s="2">
        <v>46001</v>
      </c>
      <c r="B677">
        <v>262.55252075195313</v>
      </c>
      <c r="C677">
        <f t="shared" si="32"/>
        <v>-2.6365400058882072E-3</v>
      </c>
      <c r="K677">
        <f t="shared" si="30"/>
        <v>307.25</v>
      </c>
      <c r="L677" s="5">
        <f t="shared" si="31"/>
        <v>-0.14547592920438368</v>
      </c>
    </row>
    <row r="678" spans="1:12" x14ac:dyDescent="0.3">
      <c r="A678" s="2">
        <v>46002</v>
      </c>
      <c r="B678">
        <v>261.86029052734381</v>
      </c>
      <c r="C678">
        <f t="shared" si="32"/>
        <v>-4.5317143084234362E-3</v>
      </c>
      <c r="K678">
        <f t="shared" si="30"/>
        <v>307.25</v>
      </c>
      <c r="L678" s="5">
        <f t="shared" si="31"/>
        <v>-0.14772891610303074</v>
      </c>
    </row>
    <row r="679" spans="1:12" x14ac:dyDescent="0.3">
      <c r="A679" s="2">
        <v>46003</v>
      </c>
      <c r="B679">
        <v>260.67361450195313</v>
      </c>
      <c r="C679">
        <f t="shared" si="32"/>
        <v>-5.3109707105789645E-3</v>
      </c>
      <c r="K679">
        <f t="shared" si="30"/>
        <v>307.25</v>
      </c>
      <c r="L679" s="5">
        <f t="shared" si="31"/>
        <v>-0.15159116516858218</v>
      </c>
    </row>
    <row r="680" spans="1:12" x14ac:dyDescent="0.3">
      <c r="A680" s="2">
        <v>46006</v>
      </c>
      <c r="B680">
        <v>259.2891845703125</v>
      </c>
      <c r="C680">
        <f t="shared" si="32"/>
        <v>-7.0557041415716887E-3</v>
      </c>
      <c r="K680">
        <f t="shared" si="30"/>
        <v>307.25</v>
      </c>
      <c r="L680" s="5">
        <f t="shared" si="31"/>
        <v>-0.15609703964096822</v>
      </c>
    </row>
    <row r="681" spans="1:12" x14ac:dyDescent="0.3">
      <c r="A681" s="2">
        <v>46007</v>
      </c>
      <c r="B681">
        <v>257.459716796875</v>
      </c>
      <c r="C681">
        <f t="shared" si="32"/>
        <v>2.8807174590230003E-3</v>
      </c>
      <c r="K681">
        <f t="shared" si="30"/>
        <v>307.25</v>
      </c>
      <c r="L681" s="5">
        <f t="shared" si="31"/>
        <v>-0.16205136925345809</v>
      </c>
    </row>
    <row r="682" spans="1:12" x14ac:dyDescent="0.3">
      <c r="A682" s="2">
        <v>46008</v>
      </c>
      <c r="B682">
        <v>258.20138549804688</v>
      </c>
      <c r="C682">
        <f t="shared" si="32"/>
        <v>-1.206436597825983E-2</v>
      </c>
      <c r="K682">
        <f t="shared" si="30"/>
        <v>307.25</v>
      </c>
      <c r="L682" s="5">
        <f t="shared" si="31"/>
        <v>-0.15963747600310207</v>
      </c>
    </row>
    <row r="683" spans="1:12" x14ac:dyDescent="0.3">
      <c r="A683" s="2">
        <v>46009</v>
      </c>
      <c r="B683">
        <v>255.08634948730469</v>
      </c>
      <c r="C683">
        <f t="shared" si="32"/>
        <v>2.1321993889099215E-2</v>
      </c>
      <c r="K683">
        <f t="shared" si="30"/>
        <v>307.25</v>
      </c>
      <c r="L683" s="5">
        <f t="shared" si="31"/>
        <v>-0.16977591704701489</v>
      </c>
    </row>
    <row r="684" spans="1:12" x14ac:dyDescent="0.3">
      <c r="A684" s="2">
        <v>46010</v>
      </c>
      <c r="B684">
        <v>260.52529907226563</v>
      </c>
      <c r="C684">
        <f t="shared" si="32"/>
        <v>5.8834051217462845E-3</v>
      </c>
      <c r="K684">
        <f t="shared" si="30"/>
        <v>307.25</v>
      </c>
      <c r="L684" s="5">
        <f t="shared" si="31"/>
        <v>-0.15207388422370827</v>
      </c>
    </row>
    <row r="685" spans="1:12" x14ac:dyDescent="0.3">
      <c r="A685" s="2">
        <v>46013</v>
      </c>
      <c r="B685">
        <v>262.05807495117188</v>
      </c>
      <c r="C685">
        <f t="shared" si="32"/>
        <v>7.547117956557956E-3</v>
      </c>
      <c r="K685">
        <f t="shared" si="30"/>
        <v>307.25</v>
      </c>
      <c r="L685" s="5">
        <f t="shared" si="31"/>
        <v>-0.14708519137128762</v>
      </c>
    </row>
    <row r="686" spans="1:12" x14ac:dyDescent="0.3">
      <c r="A686" s="2">
        <v>46014</v>
      </c>
      <c r="B686">
        <v>264.03585815429688</v>
      </c>
      <c r="C686">
        <f t="shared" si="32"/>
        <v>3.9325343359924323E-3</v>
      </c>
      <c r="K686">
        <f t="shared" si="30"/>
        <v>307.25</v>
      </c>
      <c r="L686" s="5">
        <f t="shared" si="31"/>
        <v>-0.14064814270367165</v>
      </c>
    </row>
    <row r="687" spans="1:12" x14ac:dyDescent="0.3">
      <c r="A687" s="2">
        <v>46015</v>
      </c>
      <c r="B687">
        <v>265.07418823242188</v>
      </c>
      <c r="C687">
        <f t="shared" si="32"/>
        <v>-9.6995711810946208E-3</v>
      </c>
      <c r="K687">
        <f t="shared" si="30"/>
        <v>307.25</v>
      </c>
      <c r="L687" s="5">
        <f t="shared" si="31"/>
        <v>-0.13726871201815505</v>
      </c>
    </row>
    <row r="688" spans="1:12" x14ac:dyDescent="0.3">
      <c r="A688" s="2">
        <v>46017</v>
      </c>
      <c r="B688">
        <v>262.50308227539063</v>
      </c>
      <c r="C688">
        <f t="shared" si="32"/>
        <v>-1.8270804809420834E-2</v>
      </c>
      <c r="K688">
        <f t="shared" si="30"/>
        <v>307.25</v>
      </c>
      <c r="L688" s="5">
        <f t="shared" si="31"/>
        <v>-0.1456368355560923</v>
      </c>
    </row>
    <row r="689" spans="1:12" x14ac:dyDescent="0.3">
      <c r="A689" s="2">
        <v>46020</v>
      </c>
      <c r="B689">
        <v>257.70693969726563</v>
      </c>
      <c r="C689">
        <f t="shared" si="32"/>
        <v>-9.5931797832469524E-4</v>
      </c>
      <c r="K689">
        <f t="shared" si="30"/>
        <v>307.25</v>
      </c>
      <c r="L689" s="5">
        <f t="shared" si="31"/>
        <v>-0.16124673817000612</v>
      </c>
    </row>
    <row r="690" spans="1:12" x14ac:dyDescent="0.3">
      <c r="A690" s="2">
        <v>46021</v>
      </c>
      <c r="B690">
        <v>257.459716796875</v>
      </c>
      <c r="C690">
        <f t="shared" si="32"/>
        <v>1.6324184134540381E-2</v>
      </c>
      <c r="K690">
        <f t="shared" si="30"/>
        <v>307.25</v>
      </c>
      <c r="L690" s="5">
        <f t="shared" si="31"/>
        <v>-0.16205136925345809</v>
      </c>
    </row>
    <row r="691" spans="1:12" x14ac:dyDescent="0.3">
      <c r="A691" s="2">
        <v>46022</v>
      </c>
      <c r="B691">
        <v>261.66253662109381</v>
      </c>
      <c r="C691">
        <f t="shared" si="32"/>
        <v>8.3142857875957016E-3</v>
      </c>
      <c r="K691">
        <f t="shared" si="30"/>
        <v>307.25</v>
      </c>
      <c r="L691" s="5">
        <f t="shared" si="31"/>
        <v>-0.14837254150986556</v>
      </c>
    </row>
    <row r="692" spans="1:12" x14ac:dyDescent="0.3">
      <c r="A692" s="2">
        <v>46023</v>
      </c>
      <c r="B692">
        <v>263.83807373046881</v>
      </c>
      <c r="C692">
        <f t="shared" si="32"/>
        <v>1.555489444963257E-2</v>
      </c>
      <c r="K692">
        <f t="shared" si="30"/>
        <v>307.25</v>
      </c>
      <c r="L692" s="5">
        <f t="shared" si="31"/>
        <v>-0.14129186743541478</v>
      </c>
    </row>
    <row r="693" spans="1:12" x14ac:dyDescent="0.3">
      <c r="A693" s="2">
        <v>46024</v>
      </c>
      <c r="B693">
        <v>267.94204711914063</v>
      </c>
      <c r="C693">
        <f t="shared" si="32"/>
        <v>2.5833933661164534E-3</v>
      </c>
      <c r="K693">
        <f t="shared" si="30"/>
        <v>307.25</v>
      </c>
      <c r="L693" s="5">
        <f t="shared" si="31"/>
        <v>-0.12793475307033153</v>
      </c>
    </row>
    <row r="694" spans="1:12" x14ac:dyDescent="0.3">
      <c r="A694" s="2">
        <v>46027</v>
      </c>
      <c r="B694">
        <v>268.63424682617188</v>
      </c>
      <c r="C694">
        <f t="shared" si="32"/>
        <v>-1.1411732910489115E-2</v>
      </c>
      <c r="K694">
        <f t="shared" si="30"/>
        <v>307.25</v>
      </c>
      <c r="L694" s="5">
        <f t="shared" si="31"/>
        <v>-0.12568186549659277</v>
      </c>
    </row>
    <row r="695" spans="1:12" x14ac:dyDescent="0.3">
      <c r="A695" s="2">
        <v>46028</v>
      </c>
      <c r="B695">
        <v>265.56866455078119</v>
      </c>
      <c r="C695">
        <f t="shared" si="32"/>
        <v>-1.6570495075127166E-2</v>
      </c>
      <c r="K695">
        <f t="shared" si="30"/>
        <v>307.25</v>
      </c>
      <c r="L695" s="5">
        <f t="shared" si="31"/>
        <v>-0.1356593505263427</v>
      </c>
    </row>
    <row r="696" spans="1:12" x14ac:dyDescent="0.3">
      <c r="A696" s="2">
        <v>46029</v>
      </c>
      <c r="B696">
        <v>261.16806030273438</v>
      </c>
      <c r="C696">
        <f t="shared" si="32"/>
        <v>-1.8174902765906106E-2</v>
      </c>
      <c r="K696">
        <f t="shared" si="30"/>
        <v>307.25</v>
      </c>
      <c r="L696" s="5">
        <f t="shared" si="31"/>
        <v>-0.14998190300167824</v>
      </c>
    </row>
    <row r="697" spans="1:12" x14ac:dyDescent="0.3">
      <c r="A697" s="2">
        <v>46030</v>
      </c>
      <c r="B697">
        <v>256.42135620117188</v>
      </c>
      <c r="C697">
        <f t="shared" si="32"/>
        <v>-5.0134990952006063E-3</v>
      </c>
      <c r="K697">
        <f t="shared" si="30"/>
        <v>307.25</v>
      </c>
      <c r="L697" s="5">
        <f t="shared" si="31"/>
        <v>-0.16543089926388321</v>
      </c>
    </row>
    <row r="698" spans="1:12" x14ac:dyDescent="0.3">
      <c r="A698" s="2">
        <v>46031</v>
      </c>
      <c r="B698">
        <v>255.13578796386719</v>
      </c>
      <c r="C698">
        <f t="shared" si="32"/>
        <v>2.1317443612447954E-3</v>
      </c>
      <c r="K698">
        <f t="shared" si="30"/>
        <v>307.25</v>
      </c>
      <c r="L698" s="5">
        <f t="shared" si="31"/>
        <v>-0.16961501069530616</v>
      </c>
    </row>
    <row r="699" spans="1:12" x14ac:dyDescent="0.3">
      <c r="A699" s="2">
        <v>46034</v>
      </c>
      <c r="B699">
        <v>255.67967224121091</v>
      </c>
      <c r="C699">
        <f t="shared" si="32"/>
        <v>9.6692434804691526E-4</v>
      </c>
      <c r="K699">
        <f t="shared" si="30"/>
        <v>307.25</v>
      </c>
      <c r="L699" s="5">
        <f t="shared" si="31"/>
        <v>-0.16784484217669349</v>
      </c>
    </row>
    <row r="700" spans="1:12" x14ac:dyDescent="0.3">
      <c r="A700" s="2">
        <v>46035</v>
      </c>
      <c r="B700">
        <v>255.92689514160159</v>
      </c>
      <c r="C700">
        <f t="shared" si="32"/>
        <v>-1.7387467822929598E-3</v>
      </c>
      <c r="K700">
        <f t="shared" si="30"/>
        <v>307.25</v>
      </c>
      <c r="L700" s="5">
        <f t="shared" si="31"/>
        <v>-0.16704021109324141</v>
      </c>
    </row>
    <row r="701" spans="1:12" x14ac:dyDescent="0.3">
      <c r="A701" s="2">
        <v>46036</v>
      </c>
      <c r="B701">
        <v>255.4819030761719</v>
      </c>
      <c r="C701">
        <f t="shared" si="32"/>
        <v>0</v>
      </c>
      <c r="K701">
        <f t="shared" si="30"/>
        <v>307.25</v>
      </c>
      <c r="L701" s="5">
        <f t="shared" si="31"/>
        <v>-0.16848851724598246</v>
      </c>
    </row>
    <row r="702" spans="1:12" x14ac:dyDescent="0.3">
      <c r="A702" s="2">
        <v>46037</v>
      </c>
      <c r="B702">
        <v>255.4819030761719</v>
      </c>
      <c r="C702">
        <f t="shared" si="32"/>
        <v>-4.0643215163209019E-3</v>
      </c>
      <c r="K702">
        <f t="shared" si="30"/>
        <v>307.25</v>
      </c>
      <c r="L702" s="5">
        <f t="shared" si="31"/>
        <v>-0.16848851724598246</v>
      </c>
    </row>
    <row r="703" spans="1:12" x14ac:dyDescent="0.3">
      <c r="A703" s="2">
        <v>46038</v>
      </c>
      <c r="B703">
        <v>254.44354248046881</v>
      </c>
      <c r="C703">
        <f t="shared" si="32"/>
        <v>1.3603425251802657E-3</v>
      </c>
      <c r="K703">
        <f t="shared" si="30"/>
        <v>307.25</v>
      </c>
      <c r="L703" s="5">
        <f t="shared" si="31"/>
        <v>-0.17186804725640747</v>
      </c>
    </row>
    <row r="704" spans="1:12" x14ac:dyDescent="0.3">
      <c r="A704" s="2">
        <v>46041</v>
      </c>
      <c r="B704">
        <v>254.7896728515625</v>
      </c>
      <c r="C704">
        <f t="shared" si="32"/>
        <v>-1.3972419040099535E-2</v>
      </c>
      <c r="K704">
        <f t="shared" si="30"/>
        <v>307.25</v>
      </c>
      <c r="L704" s="5">
        <f t="shared" si="31"/>
        <v>-0.17074150414462974</v>
      </c>
    </row>
    <row r="705" spans="1:12" x14ac:dyDescent="0.3">
      <c r="A705" s="2">
        <v>46042</v>
      </c>
      <c r="B705">
        <v>251.2296447753906</v>
      </c>
      <c r="C705">
        <f t="shared" si="32"/>
        <v>6.888421002508277E-3</v>
      </c>
      <c r="K705">
        <f t="shared" si="30"/>
        <v>307.25</v>
      </c>
      <c r="L705" s="5">
        <f t="shared" si="31"/>
        <v>-0.18232825134128361</v>
      </c>
    </row>
    <row r="706" spans="1:12" x14ac:dyDescent="0.3">
      <c r="A706" s="2">
        <v>46043</v>
      </c>
      <c r="B706">
        <v>252.96022033691409</v>
      </c>
      <c r="C706">
        <f t="shared" si="32"/>
        <v>1.3487090512299892E-2</v>
      </c>
      <c r="K706">
        <f t="shared" ref="K706:K740" si="33">MAX(B706:B1445)</f>
        <v>307.25</v>
      </c>
      <c r="L706" s="5">
        <f t="shared" ref="L706:L740" si="34">B706/K706-1</f>
        <v>-0.17669578409466524</v>
      </c>
    </row>
    <row r="707" spans="1:12" x14ac:dyDescent="0.3">
      <c r="A707" s="2">
        <v>46044</v>
      </c>
      <c r="B707">
        <v>256.37191772460938</v>
      </c>
      <c r="C707">
        <f t="shared" ref="C707:C740" si="35">(B708-B707)/B707</f>
        <v>-1.9672185787178588E-2</v>
      </c>
      <c r="K707">
        <f t="shared" si="33"/>
        <v>307.25</v>
      </c>
      <c r="L707" s="5">
        <f t="shared" si="34"/>
        <v>-0.16559180561559195</v>
      </c>
    </row>
    <row r="708" spans="1:12" x14ac:dyDescent="0.3">
      <c r="A708" s="2">
        <v>46045</v>
      </c>
      <c r="B708">
        <v>251.3285217285156</v>
      </c>
      <c r="C708">
        <f t="shared" si="35"/>
        <v>7.8695574409121973E-4</v>
      </c>
      <c r="K708">
        <f t="shared" si="33"/>
        <v>307.25</v>
      </c>
      <c r="L708" s="5">
        <f t="shared" si="34"/>
        <v>-0.18200643863786625</v>
      </c>
    </row>
    <row r="709" spans="1:12" x14ac:dyDescent="0.3">
      <c r="A709" s="2">
        <v>46049</v>
      </c>
      <c r="B709">
        <v>251.52630615234381</v>
      </c>
      <c r="C709">
        <f t="shared" si="35"/>
        <v>2.1427165738859229E-2</v>
      </c>
      <c r="K709">
        <f t="shared" si="33"/>
        <v>307.25</v>
      </c>
      <c r="L709" s="5">
        <f t="shared" si="34"/>
        <v>-0.18136271390612269</v>
      </c>
    </row>
    <row r="710" spans="1:12" x14ac:dyDescent="0.3">
      <c r="A710" s="2">
        <v>46050</v>
      </c>
      <c r="B710">
        <v>256.91580200195313</v>
      </c>
      <c r="C710">
        <f t="shared" si="35"/>
        <v>2.6943855505007532E-3</v>
      </c>
      <c r="K710">
        <f t="shared" si="33"/>
        <v>307.25</v>
      </c>
      <c r="L710" s="5">
        <f t="shared" si="34"/>
        <v>-0.16382163709697928</v>
      </c>
    </row>
    <row r="711" spans="1:12" x14ac:dyDescent="0.3">
      <c r="A711" s="2">
        <v>46051</v>
      </c>
      <c r="B711">
        <v>257.6080322265625</v>
      </c>
      <c r="C711">
        <f t="shared" si="35"/>
        <v>-1.5355099333041008E-2</v>
      </c>
      <c r="K711">
        <f t="shared" si="33"/>
        <v>307.25</v>
      </c>
      <c r="L711" s="5">
        <f t="shared" si="34"/>
        <v>-0.161568650198332</v>
      </c>
    </row>
    <row r="712" spans="1:12" x14ac:dyDescent="0.3">
      <c r="A712" s="2">
        <v>46052</v>
      </c>
      <c r="B712">
        <v>253.6524353027344</v>
      </c>
      <c r="C712">
        <f t="shared" si="35"/>
        <v>5.4191070568981141E-2</v>
      </c>
      <c r="K712">
        <f t="shared" si="33"/>
        <v>307.25</v>
      </c>
      <c r="L712" s="5">
        <f t="shared" si="34"/>
        <v>-0.17444284685847222</v>
      </c>
    </row>
    <row r="713" spans="1:12" x14ac:dyDescent="0.3">
      <c r="A713" s="2">
        <v>46055</v>
      </c>
      <c r="B713">
        <v>267.39813232421881</v>
      </c>
      <c r="C713">
        <f t="shared" si="35"/>
        <v>4.7337271353380506E-2</v>
      </c>
      <c r="K713">
        <f t="shared" si="33"/>
        <v>307.25</v>
      </c>
      <c r="L713" s="5">
        <f t="shared" si="34"/>
        <v>-0.1297050209138525</v>
      </c>
    </row>
    <row r="714" spans="1:12" x14ac:dyDescent="0.3">
      <c r="A714" s="2">
        <v>46056</v>
      </c>
      <c r="B714">
        <v>280.0560302734375</v>
      </c>
      <c r="C714">
        <f t="shared" si="35"/>
        <v>2.1892635358699612E-2</v>
      </c>
      <c r="K714">
        <f t="shared" si="33"/>
        <v>307.25</v>
      </c>
      <c r="L714" s="5">
        <f t="shared" si="34"/>
        <v>-8.8507631331366965E-2</v>
      </c>
    </row>
    <row r="715" spans="1:12" x14ac:dyDescent="0.3">
      <c r="A715" s="2">
        <v>46057</v>
      </c>
      <c r="B715">
        <v>286.18719482421881</v>
      </c>
      <c r="C715">
        <f t="shared" si="35"/>
        <v>-1.7274873738840643E-4</v>
      </c>
      <c r="K715">
        <f t="shared" si="33"/>
        <v>307.25</v>
      </c>
      <c r="L715" s="5">
        <f t="shared" si="34"/>
        <v>-6.855266127186721E-2</v>
      </c>
    </row>
    <row r="716" spans="1:12" x14ac:dyDescent="0.3">
      <c r="A716" s="2">
        <v>46058</v>
      </c>
      <c r="B716">
        <v>286.13775634765619</v>
      </c>
      <c r="C716">
        <f t="shared" si="35"/>
        <v>1.1750436905847178E-2</v>
      </c>
      <c r="K716">
        <f t="shared" si="33"/>
        <v>307.25</v>
      </c>
      <c r="L716" s="5">
        <f t="shared" si="34"/>
        <v>-6.8713567623576277E-2</v>
      </c>
    </row>
    <row r="717" spans="1:12" x14ac:dyDescent="0.3">
      <c r="A717" s="2">
        <v>46059</v>
      </c>
      <c r="B717">
        <v>289.5</v>
      </c>
      <c r="C717">
        <f t="shared" si="35"/>
        <v>8.6355785837651119E-4</v>
      </c>
      <c r="K717">
        <f t="shared" si="33"/>
        <v>307.25</v>
      </c>
      <c r="L717" s="5">
        <f t="shared" si="34"/>
        <v>-5.7770545158665532E-2</v>
      </c>
    </row>
    <row r="718" spans="1:12" x14ac:dyDescent="0.3">
      <c r="A718" s="2">
        <v>46062</v>
      </c>
      <c r="B718">
        <v>289.75</v>
      </c>
      <c r="C718">
        <f t="shared" si="35"/>
        <v>1.5875776025938308E-2</v>
      </c>
      <c r="K718">
        <f t="shared" si="33"/>
        <v>307.25</v>
      </c>
      <c r="L718" s="5">
        <f t="shared" si="34"/>
        <v>-5.6956875508543559E-2</v>
      </c>
    </row>
    <row r="719" spans="1:12" x14ac:dyDescent="0.3">
      <c r="A719" s="2">
        <v>46063</v>
      </c>
      <c r="B719">
        <v>294.35000610351563</v>
      </c>
      <c r="C719">
        <f t="shared" si="35"/>
        <v>3.3975234055336992E-4</v>
      </c>
      <c r="K719">
        <f t="shared" si="33"/>
        <v>307.25</v>
      </c>
      <c r="L719" s="5">
        <f t="shared" si="34"/>
        <v>-4.1985334081316106E-2</v>
      </c>
    </row>
    <row r="720" spans="1:12" x14ac:dyDescent="0.3">
      <c r="A720" s="2">
        <v>46064</v>
      </c>
      <c r="B720">
        <v>294.45001220703119</v>
      </c>
      <c r="C720">
        <f t="shared" si="35"/>
        <v>-1.8679513932575217E-3</v>
      </c>
      <c r="K720">
        <f t="shared" si="33"/>
        <v>307.25</v>
      </c>
      <c r="L720" s="5">
        <f t="shared" si="34"/>
        <v>-4.1659846356285835E-2</v>
      </c>
    </row>
    <row r="721" spans="1:12" x14ac:dyDescent="0.3">
      <c r="A721" s="2">
        <v>46065</v>
      </c>
      <c r="B721">
        <v>293.89999389648438</v>
      </c>
      <c r="C721">
        <f t="shared" si="35"/>
        <v>-2.2796807855031829E-2</v>
      </c>
      <c r="K721">
        <f t="shared" si="33"/>
        <v>307.25</v>
      </c>
      <c r="L721" s="5">
        <f t="shared" si="34"/>
        <v>-4.3449979181499176E-2</v>
      </c>
    </row>
    <row r="722" spans="1:12" x14ac:dyDescent="0.3">
      <c r="A722" s="2">
        <v>46066</v>
      </c>
      <c r="B722">
        <v>287.20001220703119</v>
      </c>
      <c r="C722">
        <f t="shared" si="35"/>
        <v>4.6309147728661543E-2</v>
      </c>
      <c r="K722">
        <f t="shared" si="33"/>
        <v>307.25</v>
      </c>
      <c r="L722" s="5">
        <f t="shared" si="34"/>
        <v>-6.5256266209825275E-2</v>
      </c>
    </row>
    <row r="723" spans="1:12" x14ac:dyDescent="0.3">
      <c r="A723" s="2">
        <v>46069</v>
      </c>
      <c r="B723">
        <v>300.5</v>
      </c>
      <c r="C723">
        <f t="shared" si="35"/>
        <v>8.3194675540765393E-4</v>
      </c>
      <c r="K723">
        <f t="shared" si="33"/>
        <v>307.25</v>
      </c>
      <c r="L723" s="5">
        <f t="shared" si="34"/>
        <v>-2.1969080553295384E-2</v>
      </c>
    </row>
    <row r="724" spans="1:12" x14ac:dyDescent="0.3">
      <c r="A724" s="2">
        <v>46070</v>
      </c>
      <c r="B724">
        <v>300.75</v>
      </c>
      <c r="C724">
        <f t="shared" si="35"/>
        <v>-6.6504474490837288E-4</v>
      </c>
      <c r="K724">
        <f t="shared" si="33"/>
        <v>307.25</v>
      </c>
      <c r="L724" s="5">
        <f t="shared" si="34"/>
        <v>-2.11554109031733E-2</v>
      </c>
    </row>
    <row r="725" spans="1:12" x14ac:dyDescent="0.3">
      <c r="A725" s="2">
        <v>46071</v>
      </c>
      <c r="B725">
        <v>300.54998779296881</v>
      </c>
      <c r="C725">
        <f t="shared" si="35"/>
        <v>-1.9630657581488874E-2</v>
      </c>
      <c r="K725">
        <f t="shared" si="33"/>
        <v>307.25</v>
      </c>
      <c r="L725" s="5">
        <f t="shared" si="34"/>
        <v>-2.1806386353234175E-2</v>
      </c>
    </row>
    <row r="726" spans="1:12" x14ac:dyDescent="0.3">
      <c r="A726" s="2">
        <v>46072</v>
      </c>
      <c r="B726">
        <v>294.64999389648438</v>
      </c>
      <c r="C726">
        <f t="shared" si="35"/>
        <v>1.4593648055725019E-2</v>
      </c>
      <c r="K726">
        <f t="shared" si="33"/>
        <v>307.25</v>
      </c>
      <c r="L726" s="5">
        <f t="shared" si="34"/>
        <v>-4.1008970231133035E-2</v>
      </c>
    </row>
    <row r="727" spans="1:12" x14ac:dyDescent="0.3">
      <c r="A727" s="2">
        <v>46073</v>
      </c>
      <c r="B727">
        <v>298.95001220703119</v>
      </c>
      <c r="C727">
        <f t="shared" si="35"/>
        <v>1.4718159280212084E-2</v>
      </c>
      <c r="K727">
        <f t="shared" si="33"/>
        <v>307.25</v>
      </c>
      <c r="L727" s="5">
        <f t="shared" si="34"/>
        <v>-2.7013792654088875E-2</v>
      </c>
    </row>
    <row r="728" spans="1:12" x14ac:dyDescent="0.3">
      <c r="A728" s="2">
        <v>46076</v>
      </c>
      <c r="B728">
        <v>303.35000610351563</v>
      </c>
      <c r="C728">
        <f t="shared" si="35"/>
        <v>4.7798966879149755E-3</v>
      </c>
      <c r="K728">
        <f t="shared" si="33"/>
        <v>307.25</v>
      </c>
      <c r="L728" s="5">
        <f t="shared" si="34"/>
        <v>-1.2693226676922298E-2</v>
      </c>
    </row>
    <row r="729" spans="1:12" x14ac:dyDescent="0.3">
      <c r="A729" s="2">
        <v>46077</v>
      </c>
      <c r="B729">
        <v>304.79998779296881</v>
      </c>
      <c r="C729">
        <f t="shared" si="35"/>
        <v>8.038098114017414E-3</v>
      </c>
      <c r="K729">
        <f t="shared" si="33"/>
        <v>307.25</v>
      </c>
      <c r="L729" s="5">
        <f t="shared" si="34"/>
        <v>-7.9740023011592998E-3</v>
      </c>
    </row>
    <row r="730" spans="1:12" x14ac:dyDescent="0.3">
      <c r="A730" s="2">
        <v>46078</v>
      </c>
      <c r="B730">
        <v>307.25</v>
      </c>
      <c r="C730">
        <f t="shared" si="35"/>
        <v>-1.3018714401952807E-2</v>
      </c>
      <c r="K730">
        <f t="shared" si="33"/>
        <v>307.25</v>
      </c>
      <c r="L730" s="5">
        <f t="shared" si="34"/>
        <v>0</v>
      </c>
    </row>
    <row r="731" spans="1:12" x14ac:dyDescent="0.3">
      <c r="A731" s="2">
        <v>46079</v>
      </c>
      <c r="B731">
        <v>303.25</v>
      </c>
      <c r="C731">
        <f t="shared" si="35"/>
        <v>-1.5169022600216405E-2</v>
      </c>
      <c r="K731">
        <f t="shared" si="33"/>
        <v>303.60000610351563</v>
      </c>
      <c r="L731" s="5">
        <f t="shared" si="34"/>
        <v>-1.1528527552014944E-3</v>
      </c>
    </row>
    <row r="732" spans="1:12" x14ac:dyDescent="0.3">
      <c r="A732" s="2">
        <v>46080</v>
      </c>
      <c r="B732">
        <v>298.64999389648438</v>
      </c>
      <c r="C732">
        <f t="shared" si="35"/>
        <v>-6.1945626697611864E-3</v>
      </c>
      <c r="K732">
        <f t="shared" si="33"/>
        <v>303.60000610351563</v>
      </c>
      <c r="L732" s="5">
        <f t="shared" si="34"/>
        <v>-1.6304387705919465E-2</v>
      </c>
    </row>
    <row r="733" spans="1:12" x14ac:dyDescent="0.3">
      <c r="A733" s="2">
        <v>46083</v>
      </c>
      <c r="B733">
        <v>296.79998779296881</v>
      </c>
      <c r="C733">
        <f t="shared" si="35"/>
        <v>-1.6340888764863049E-2</v>
      </c>
      <c r="K733">
        <f t="shared" si="33"/>
        <v>303.60000610351563</v>
      </c>
      <c r="L733" s="5">
        <f t="shared" si="34"/>
        <v>-2.2397951824244311E-2</v>
      </c>
    </row>
    <row r="734" spans="1:12" x14ac:dyDescent="0.3">
      <c r="A734" s="2">
        <v>46085</v>
      </c>
      <c r="B734">
        <v>291.95001220703119</v>
      </c>
      <c r="C734">
        <f t="shared" si="35"/>
        <v>2.5689329290664691E-2</v>
      </c>
      <c r="K734">
        <f t="shared" si="33"/>
        <v>303.60000610351563</v>
      </c>
      <c r="L734" s="5">
        <f t="shared" si="34"/>
        <v>-3.8372838149786648E-2</v>
      </c>
    </row>
    <row r="735" spans="1:12" x14ac:dyDescent="0.3">
      <c r="A735" s="2">
        <v>46086</v>
      </c>
      <c r="B735">
        <v>299.45001220703119</v>
      </c>
      <c r="C735">
        <f t="shared" si="35"/>
        <v>-1.0018978070349654E-3</v>
      </c>
      <c r="K735">
        <f t="shared" si="33"/>
        <v>303.60000610351563</v>
      </c>
      <c r="L735" s="5">
        <f t="shared" si="34"/>
        <v>-1.3669281334169114E-2</v>
      </c>
    </row>
    <row r="736" spans="1:12" x14ac:dyDescent="0.3">
      <c r="A736" s="2">
        <v>46087</v>
      </c>
      <c r="B736">
        <v>299.14999389648438</v>
      </c>
      <c r="C736">
        <f t="shared" si="35"/>
        <v>-1.3204017282447293E-2</v>
      </c>
      <c r="K736">
        <f t="shared" si="33"/>
        <v>303.60000610351563</v>
      </c>
      <c r="L736" s="5">
        <f t="shared" si="34"/>
        <v>-1.4657483918211645E-2</v>
      </c>
    </row>
    <row r="737" spans="1:13" x14ac:dyDescent="0.3">
      <c r="A737" s="2">
        <v>46090</v>
      </c>
      <c r="B737">
        <v>295.20001220703119</v>
      </c>
      <c r="C737">
        <f t="shared" si="35"/>
        <v>1.168692935904631E-2</v>
      </c>
      <c r="K737">
        <f t="shared" si="33"/>
        <v>303.60000610351563</v>
      </c>
      <c r="L737" s="5">
        <f t="shared" si="34"/>
        <v>-2.7667963529685702E-2</v>
      </c>
    </row>
    <row r="738" spans="1:13" x14ac:dyDescent="0.3">
      <c r="A738" s="2">
        <v>46091</v>
      </c>
      <c r="B738">
        <v>298.64999389648438</v>
      </c>
      <c r="C738">
        <f t="shared" si="35"/>
        <v>5.0223974401426407E-4</v>
      </c>
      <c r="K738">
        <f t="shared" si="33"/>
        <v>303.60000610351563</v>
      </c>
      <c r="L738" s="5">
        <f t="shared" si="34"/>
        <v>-1.6304387705919465E-2</v>
      </c>
    </row>
    <row r="739" spans="1:13" x14ac:dyDescent="0.3">
      <c r="A739" s="2">
        <v>46092</v>
      </c>
      <c r="B739">
        <v>298.79998779296881</v>
      </c>
      <c r="C739">
        <f t="shared" si="35"/>
        <v>1.6064318964673564E-2</v>
      </c>
      <c r="K739">
        <f t="shared" si="33"/>
        <v>303.60000610351563</v>
      </c>
      <c r="L739" s="5">
        <f t="shared" si="34"/>
        <v>-1.5810336673413028E-2</v>
      </c>
    </row>
    <row r="740" spans="1:13" x14ac:dyDescent="0.3">
      <c r="A740" s="2">
        <v>46093</v>
      </c>
      <c r="B740">
        <v>303.60000610351563</v>
      </c>
      <c r="C740">
        <f t="shared" si="35"/>
        <v>-8.7285699710456799E-3</v>
      </c>
      <c r="K740">
        <f t="shared" si="33"/>
        <v>303.60000610351563</v>
      </c>
      <c r="L740" s="5">
        <f t="shared" si="34"/>
        <v>0</v>
      </c>
    </row>
    <row r="741" spans="1:13" x14ac:dyDescent="0.3">
      <c r="A741" s="2">
        <v>46094</v>
      </c>
      <c r="B741">
        <v>300.95001220703119</v>
      </c>
      <c r="C741" t="s">
        <v>3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1"/>
  <sheetViews>
    <sheetView showGridLines="0" zoomScaleNormal="100" workbookViewId="0"/>
  </sheetViews>
  <sheetFormatPr defaultRowHeight="14.4" outlineLevelCol="1" x14ac:dyDescent="0.3"/>
  <cols>
    <col min="1" max="1" width="18.109375" bestFit="1" customWidth="1"/>
    <col min="2" max="2" width="12" bestFit="1" customWidth="1"/>
    <col min="3" max="3" width="12.6640625" bestFit="1" customWidth="1"/>
    <col min="4" max="5" width="12" bestFit="1" customWidth="1"/>
    <col min="6" max="6" width="8.21875" customWidth="1"/>
    <col min="7" max="7" width="12" bestFit="1" customWidth="1"/>
    <col min="8" max="8" width="13.21875" bestFit="1" customWidth="1"/>
    <col min="9" max="10" width="12" bestFit="1" customWidth="1"/>
    <col min="11" max="11" width="12" hidden="1" customWidth="1" outlineLevel="1"/>
    <col min="12" max="12" width="12.6640625" hidden="1" customWidth="1" outlineLevel="1"/>
    <col min="13" max="13" width="16.21875" bestFit="1" customWidth="1" collapsed="1"/>
    <col min="15" max="15" width="14" bestFit="1" customWidth="1"/>
  </cols>
  <sheetData>
    <row r="1" spans="1:15" x14ac:dyDescent="0.3">
      <c r="A1" s="1" t="s">
        <v>1</v>
      </c>
      <c r="B1" s="1" t="s">
        <v>0</v>
      </c>
      <c r="C1" s="4" t="s">
        <v>2</v>
      </c>
      <c r="D1" s="4" t="s">
        <v>4</v>
      </c>
      <c r="E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s="2">
        <v>45000</v>
      </c>
      <c r="B2">
        <v>179.608642578125</v>
      </c>
      <c r="C2">
        <f>(B3-B2)/B2</f>
        <v>4.3202553566306949E-3</v>
      </c>
      <c r="D2">
        <f>((B740/B2)^(1/3)-1)</f>
        <v>0.37812203064222194</v>
      </c>
      <c r="E2">
        <f>SLOPE(C2:C739,Nifty_50!C2:C739)</f>
        <v>1.0656004669846348</v>
      </c>
      <c r="G2">
        <f>_xlfn.STDEV.S(C2:C740)</f>
        <v>1.7107830881993327E-2</v>
      </c>
      <c r="H2">
        <v>6.4799999999999996E-2</v>
      </c>
      <c r="I2">
        <f>(D2-H2)/G2</f>
        <v>18.31453869303828</v>
      </c>
      <c r="J2">
        <f>(D2-H2)/E2</f>
        <v>0.29403330830816898</v>
      </c>
      <c r="K2">
        <f t="shared" ref="K2:K65" si="0">MAX(B2:B741)</f>
        <v>478.50546264648438</v>
      </c>
      <c r="L2" s="5">
        <f t="shared" ref="L2:L65" si="1">B2/K2-1</f>
        <v>-0.62464662036508811</v>
      </c>
      <c r="M2" s="5">
        <f>MIN(L2:L740)</f>
        <v>-0.64427624642793746</v>
      </c>
      <c r="N2">
        <f>D2/M2</f>
        <v>-0.58689425962643349</v>
      </c>
      <c r="O2">
        <f>(D2-(H2+E2*(Nifty_50!D2-Larsen_and_Toubro!H2)))</f>
        <v>0.26618610521291175</v>
      </c>
    </row>
    <row r="3" spans="1:15" x14ac:dyDescent="0.3">
      <c r="A3" s="2">
        <v>45001</v>
      </c>
      <c r="B3">
        <v>180.38459777832031</v>
      </c>
      <c r="C3">
        <f t="shared" ref="C3:C66" si="2">(B4-B3)/B3</f>
        <v>3.6223262589047162E-3</v>
      </c>
      <c r="K3">
        <f t="shared" si="0"/>
        <v>478.50546264648438</v>
      </c>
      <c r="L3" s="5">
        <f t="shared" si="1"/>
        <v>-0.62302499791609089</v>
      </c>
    </row>
    <row r="4" spans="1:15" x14ac:dyDescent="0.3">
      <c r="A4" s="2">
        <v>45002</v>
      </c>
      <c r="B4">
        <v>181.03800964355469</v>
      </c>
      <c r="C4">
        <f t="shared" si="2"/>
        <v>-2.0753496120824912E-2</v>
      </c>
      <c r="K4">
        <f t="shared" si="0"/>
        <v>478.50546264648438</v>
      </c>
      <c r="L4" s="5">
        <f t="shared" si="1"/>
        <v>-0.62165947146709177</v>
      </c>
    </row>
    <row r="5" spans="1:15" x14ac:dyDescent="0.3">
      <c r="A5" s="2">
        <v>45005</v>
      </c>
      <c r="B5">
        <v>177.28083801269531</v>
      </c>
      <c r="C5">
        <f t="shared" si="2"/>
        <v>0</v>
      </c>
      <c r="K5">
        <f t="shared" si="0"/>
        <v>478.50546264648438</v>
      </c>
      <c r="L5" s="5">
        <f t="shared" si="1"/>
        <v>-0.6295113601583503</v>
      </c>
    </row>
    <row r="6" spans="1:15" x14ac:dyDescent="0.3">
      <c r="A6" s="2">
        <v>45006</v>
      </c>
      <c r="B6">
        <v>177.28083801269531</v>
      </c>
      <c r="C6">
        <f t="shared" si="2"/>
        <v>-1.4282238235497237E-2</v>
      </c>
      <c r="K6">
        <f t="shared" si="0"/>
        <v>478.50546264648438</v>
      </c>
      <c r="L6" s="5">
        <f t="shared" si="1"/>
        <v>-0.6295113601583503</v>
      </c>
    </row>
    <row r="7" spans="1:15" x14ac:dyDescent="0.3">
      <c r="A7" s="2">
        <v>45007</v>
      </c>
      <c r="B7">
        <v>174.7488708496094</v>
      </c>
      <c r="C7">
        <f t="shared" si="2"/>
        <v>-2.8044918672531661E-3</v>
      </c>
      <c r="K7">
        <f t="shared" si="0"/>
        <v>478.50546264648438</v>
      </c>
      <c r="L7" s="5">
        <f t="shared" si="1"/>
        <v>-0.63480276717611406</v>
      </c>
    </row>
    <row r="8" spans="1:15" x14ac:dyDescent="0.3">
      <c r="A8" s="2">
        <v>45008</v>
      </c>
      <c r="B8">
        <v>174.2587890625</v>
      </c>
      <c r="C8">
        <f t="shared" si="2"/>
        <v>-2.2967062642554284E-2</v>
      </c>
      <c r="K8">
        <f t="shared" si="0"/>
        <v>478.50546264648438</v>
      </c>
      <c r="L8" s="5">
        <f t="shared" si="1"/>
        <v>-0.63582695984551196</v>
      </c>
    </row>
    <row r="9" spans="1:15" x14ac:dyDescent="0.3">
      <c r="A9" s="2">
        <v>45009</v>
      </c>
      <c r="B9">
        <v>170.25657653808591</v>
      </c>
      <c r="C9">
        <f t="shared" si="2"/>
        <v>-2.3973970093878595E-4</v>
      </c>
      <c r="K9">
        <f t="shared" si="0"/>
        <v>478.50546264648438</v>
      </c>
      <c r="L9" s="5">
        <f t="shared" si="1"/>
        <v>-0.64419094487146955</v>
      </c>
    </row>
    <row r="10" spans="1:15" x14ac:dyDescent="0.3">
      <c r="A10" s="2">
        <v>45012</v>
      </c>
      <c r="B10">
        <v>170.21575927734381</v>
      </c>
      <c r="C10">
        <f t="shared" si="2"/>
        <v>2.3993165555978193E-3</v>
      </c>
      <c r="K10">
        <f t="shared" si="0"/>
        <v>478.50546264648438</v>
      </c>
      <c r="L10" s="5">
        <f t="shared" si="1"/>
        <v>-0.64427624642793746</v>
      </c>
    </row>
    <row r="11" spans="1:15" x14ac:dyDescent="0.3">
      <c r="A11" s="2">
        <v>45013</v>
      </c>
      <c r="B11">
        <v>170.62416076660159</v>
      </c>
      <c r="C11">
        <f t="shared" si="2"/>
        <v>1.9387096702073357E-2</v>
      </c>
      <c r="K11">
        <f t="shared" si="0"/>
        <v>478.50546264648438</v>
      </c>
      <c r="L11" s="5">
        <f t="shared" si="1"/>
        <v>-0.64342275253677261</v>
      </c>
    </row>
    <row r="12" spans="1:15" x14ac:dyDescent="0.3">
      <c r="A12" s="2">
        <v>45014</v>
      </c>
      <c r="B12">
        <v>173.93206787109381</v>
      </c>
      <c r="C12">
        <f t="shared" si="2"/>
        <v>3.2872723929472879E-3</v>
      </c>
      <c r="K12">
        <f t="shared" si="0"/>
        <v>478.50546264648438</v>
      </c>
      <c r="L12" s="5">
        <f t="shared" si="1"/>
        <v>-0.63650975495844375</v>
      </c>
    </row>
    <row r="13" spans="1:15" x14ac:dyDescent="0.3">
      <c r="A13" s="2">
        <v>45016</v>
      </c>
      <c r="B13">
        <v>174.50382995605469</v>
      </c>
      <c r="C13">
        <f t="shared" si="2"/>
        <v>3.0423521348675802E-2</v>
      </c>
      <c r="K13">
        <f t="shared" si="0"/>
        <v>478.50546264648438</v>
      </c>
      <c r="L13" s="5">
        <f t="shared" si="1"/>
        <v>-0.63531486351081301</v>
      </c>
    </row>
    <row r="14" spans="1:15" x14ac:dyDescent="0.3">
      <c r="A14" s="2">
        <v>45019</v>
      </c>
      <c r="B14">
        <v>179.81285095214841</v>
      </c>
      <c r="C14">
        <f t="shared" si="2"/>
        <v>1.0674618546929093E-2</v>
      </c>
      <c r="K14">
        <f t="shared" si="0"/>
        <v>478.50546264648438</v>
      </c>
      <c r="L14" s="5">
        <f t="shared" si="1"/>
        <v>-0.62421985747528952</v>
      </c>
    </row>
    <row r="15" spans="1:15" x14ac:dyDescent="0.3">
      <c r="A15" s="2">
        <v>45021</v>
      </c>
      <c r="B15">
        <v>181.73228454589841</v>
      </c>
      <c r="C15">
        <f t="shared" si="2"/>
        <v>-3.5955478447660142E-3</v>
      </c>
      <c r="K15">
        <f t="shared" si="0"/>
        <v>478.50546264648438</v>
      </c>
      <c r="L15" s="5">
        <f t="shared" si="1"/>
        <v>-0.62020854779632761</v>
      </c>
    </row>
    <row r="16" spans="1:15" x14ac:dyDescent="0.3">
      <c r="A16" s="2">
        <v>45022</v>
      </c>
      <c r="B16">
        <v>181.078857421875</v>
      </c>
      <c r="C16">
        <f t="shared" si="2"/>
        <v>1.5787233095903913E-3</v>
      </c>
      <c r="K16">
        <f t="shared" si="0"/>
        <v>478.50546264648438</v>
      </c>
      <c r="L16" s="5">
        <f t="shared" si="1"/>
        <v>-0.62157410613375907</v>
      </c>
    </row>
    <row r="17" spans="1:12" x14ac:dyDescent="0.3">
      <c r="A17" s="2">
        <v>45026</v>
      </c>
      <c r="B17">
        <v>181.36473083496091</v>
      </c>
      <c r="C17">
        <f t="shared" si="2"/>
        <v>7.2055850288064056E-3</v>
      </c>
      <c r="K17">
        <f t="shared" si="0"/>
        <v>478.50546264648438</v>
      </c>
      <c r="L17" s="5">
        <f t="shared" si="1"/>
        <v>-0.62097667635415987</v>
      </c>
    </row>
    <row r="18" spans="1:12" x14ac:dyDescent="0.3">
      <c r="A18" s="2">
        <v>45027</v>
      </c>
      <c r="B18">
        <v>182.67156982421881</v>
      </c>
      <c r="C18">
        <f t="shared" si="2"/>
        <v>1.810874502278853E-2</v>
      </c>
      <c r="K18">
        <f t="shared" si="0"/>
        <v>478.50546264648438</v>
      </c>
      <c r="L18" s="5">
        <f t="shared" si="1"/>
        <v>-0.61824559156772896</v>
      </c>
    </row>
    <row r="19" spans="1:12" x14ac:dyDescent="0.3">
      <c r="A19" s="2">
        <v>45028</v>
      </c>
      <c r="B19">
        <v>185.9795227050781</v>
      </c>
      <c r="C19">
        <f t="shared" si="2"/>
        <v>-9.6618460540281448E-3</v>
      </c>
      <c r="K19">
        <f t="shared" si="0"/>
        <v>478.50546264648438</v>
      </c>
      <c r="L19" s="5">
        <f t="shared" si="1"/>
        <v>-0.61133249832410352</v>
      </c>
    </row>
    <row r="20" spans="1:12" x14ac:dyDescent="0.3">
      <c r="A20" s="2">
        <v>45029</v>
      </c>
      <c r="B20">
        <v>184.1826171875</v>
      </c>
      <c r="C20">
        <f t="shared" si="2"/>
        <v>1.818170972890145E-2</v>
      </c>
      <c r="K20">
        <f t="shared" si="0"/>
        <v>478.50546264648438</v>
      </c>
      <c r="L20" s="5">
        <f t="shared" si="1"/>
        <v>-0.61508774389149967</v>
      </c>
    </row>
    <row r="21" spans="1:12" x14ac:dyDescent="0.3">
      <c r="A21" s="2">
        <v>45033</v>
      </c>
      <c r="B21">
        <v>187.5313720703125</v>
      </c>
      <c r="C21">
        <f t="shared" si="2"/>
        <v>1.132403302312048E-2</v>
      </c>
      <c r="K21">
        <f t="shared" si="0"/>
        <v>478.50546264648438</v>
      </c>
      <c r="L21" s="5">
        <f t="shared" si="1"/>
        <v>-0.60808938097983845</v>
      </c>
    </row>
    <row r="22" spans="1:12" x14ac:dyDescent="0.3">
      <c r="A22" s="2">
        <v>45034</v>
      </c>
      <c r="B22">
        <v>189.65498352050781</v>
      </c>
      <c r="C22">
        <f t="shared" si="2"/>
        <v>-7.7518887132904113E-3</v>
      </c>
      <c r="K22">
        <f t="shared" si="0"/>
        <v>478.50546264648438</v>
      </c>
      <c r="L22" s="5">
        <f t="shared" si="1"/>
        <v>-0.60365137218794251</v>
      </c>
    </row>
    <row r="23" spans="1:12" x14ac:dyDescent="0.3">
      <c r="A23" s="2">
        <v>45035</v>
      </c>
      <c r="B23">
        <v>188.18479919433591</v>
      </c>
      <c r="C23">
        <f t="shared" si="2"/>
        <v>-3.6892440118809137E-3</v>
      </c>
      <c r="K23">
        <f t="shared" si="0"/>
        <v>478.50546264648438</v>
      </c>
      <c r="L23" s="5">
        <f t="shared" si="1"/>
        <v>-0.60672382264240698</v>
      </c>
    </row>
    <row r="24" spans="1:12" x14ac:dyDescent="0.3">
      <c r="A24" s="2">
        <v>45036</v>
      </c>
      <c r="B24">
        <v>187.49053955078119</v>
      </c>
      <c r="C24">
        <f t="shared" si="2"/>
        <v>2.1782511812937825E-3</v>
      </c>
      <c r="K24">
        <f t="shared" si="0"/>
        <v>478.50546264648438</v>
      </c>
      <c r="L24" s="5">
        <f t="shared" si="1"/>
        <v>-0.60817471442473892</v>
      </c>
    </row>
    <row r="25" spans="1:12" x14ac:dyDescent="0.3">
      <c r="A25" s="2">
        <v>45037</v>
      </c>
      <c r="B25">
        <v>187.89894104003909</v>
      </c>
      <c r="C25">
        <f t="shared" si="2"/>
        <v>6.5203065255442522E-3</v>
      </c>
      <c r="K25">
        <f t="shared" si="0"/>
        <v>478.50546264648438</v>
      </c>
      <c r="L25" s="5">
        <f t="shared" si="1"/>
        <v>-0.60732122053357385</v>
      </c>
    </row>
    <row r="26" spans="1:12" x14ac:dyDescent="0.3">
      <c r="A26" s="2">
        <v>45040</v>
      </c>
      <c r="B26">
        <v>189.12409973144531</v>
      </c>
      <c r="C26">
        <f t="shared" si="2"/>
        <v>-5.6142929283516472E-3</v>
      </c>
      <c r="K26">
        <f t="shared" si="0"/>
        <v>478.50546264648438</v>
      </c>
      <c r="L26" s="5">
        <f t="shared" si="1"/>
        <v>-0.6047608345253761</v>
      </c>
    </row>
    <row r="27" spans="1:12" x14ac:dyDescent="0.3">
      <c r="A27" s="2">
        <v>45041</v>
      </c>
      <c r="B27">
        <v>188.06230163574219</v>
      </c>
      <c r="C27">
        <f t="shared" si="2"/>
        <v>-2.1717098243216083E-3</v>
      </c>
      <c r="K27">
        <f t="shared" si="0"/>
        <v>478.50546264648438</v>
      </c>
      <c r="L27" s="5">
        <f t="shared" si="1"/>
        <v>-0.60697982297710784</v>
      </c>
    </row>
    <row r="28" spans="1:12" x14ac:dyDescent="0.3">
      <c r="A28" s="2">
        <v>45042</v>
      </c>
      <c r="B28">
        <v>187.65388488769531</v>
      </c>
      <c r="C28">
        <f t="shared" si="2"/>
        <v>8.7051764563346127E-3</v>
      </c>
      <c r="K28">
        <f t="shared" si="0"/>
        <v>478.50546264648438</v>
      </c>
      <c r="L28" s="5">
        <f t="shared" si="1"/>
        <v>-0.60783334875670514</v>
      </c>
    </row>
    <row r="29" spans="1:12" x14ac:dyDescent="0.3">
      <c r="A29" s="2">
        <v>45043</v>
      </c>
      <c r="B29">
        <v>189.2874450683594</v>
      </c>
      <c r="C29">
        <f t="shared" si="2"/>
        <v>5.8252456924715677E-3</v>
      </c>
      <c r="K29">
        <f t="shared" si="0"/>
        <v>478.50546264648438</v>
      </c>
      <c r="L29" s="5">
        <f t="shared" si="1"/>
        <v>-0.60441946885734232</v>
      </c>
    </row>
    <row r="30" spans="1:12" x14ac:dyDescent="0.3">
      <c r="A30" s="2">
        <v>45044</v>
      </c>
      <c r="B30">
        <v>190.39009094238281</v>
      </c>
      <c r="C30">
        <f t="shared" si="2"/>
        <v>1.2869983782685583E-2</v>
      </c>
      <c r="K30">
        <f t="shared" si="0"/>
        <v>478.50546264648438</v>
      </c>
      <c r="L30" s="5">
        <f t="shared" si="1"/>
        <v>-0.602115115072278</v>
      </c>
    </row>
    <row r="31" spans="1:12" x14ac:dyDescent="0.3">
      <c r="A31" s="2">
        <v>45048</v>
      </c>
      <c r="B31">
        <v>192.84040832519531</v>
      </c>
      <c r="C31">
        <f t="shared" si="2"/>
        <v>3.3883555366284938E-3</v>
      </c>
      <c r="K31">
        <f t="shared" si="0"/>
        <v>478.50546264648438</v>
      </c>
      <c r="L31" s="5">
        <f t="shared" si="1"/>
        <v>-0.5969943430558825</v>
      </c>
    </row>
    <row r="32" spans="1:12" x14ac:dyDescent="0.3">
      <c r="A32" s="2">
        <v>45049</v>
      </c>
      <c r="B32">
        <v>193.49382019042969</v>
      </c>
      <c r="C32">
        <f t="shared" si="2"/>
        <v>2.3216180731658251E-3</v>
      </c>
      <c r="K32">
        <f t="shared" si="0"/>
        <v>478.50546264648438</v>
      </c>
      <c r="L32" s="5">
        <f t="shared" si="1"/>
        <v>-0.59562881660688327</v>
      </c>
    </row>
    <row r="33" spans="1:12" x14ac:dyDescent="0.3">
      <c r="A33" s="2">
        <v>45050</v>
      </c>
      <c r="B33">
        <v>193.94303894042969</v>
      </c>
      <c r="C33">
        <f t="shared" si="2"/>
        <v>-2.1046004520288388E-4</v>
      </c>
      <c r="K33">
        <f t="shared" si="0"/>
        <v>478.50546264648438</v>
      </c>
      <c r="L33" s="5">
        <f t="shared" si="1"/>
        <v>-0.5946900211592504</v>
      </c>
    </row>
    <row r="34" spans="1:12" x14ac:dyDescent="0.3">
      <c r="A34" s="2">
        <v>45051</v>
      </c>
      <c r="B34">
        <v>193.9022216796875</v>
      </c>
      <c r="C34">
        <f t="shared" si="2"/>
        <v>-1.9165889702331899E-2</v>
      </c>
      <c r="K34">
        <f t="shared" si="0"/>
        <v>478.50546264648438</v>
      </c>
      <c r="L34" s="5">
        <f t="shared" si="1"/>
        <v>-0.59477532271571842</v>
      </c>
    </row>
    <row r="35" spans="1:12" x14ac:dyDescent="0.3">
      <c r="A35" s="2">
        <v>45054</v>
      </c>
      <c r="B35">
        <v>190.1859130859375</v>
      </c>
      <c r="C35">
        <f t="shared" si="2"/>
        <v>1.5031100710332692E-2</v>
      </c>
      <c r="K35">
        <f t="shared" si="0"/>
        <v>478.50546264648438</v>
      </c>
      <c r="L35" s="5">
        <f t="shared" si="1"/>
        <v>-0.60254181418521191</v>
      </c>
    </row>
    <row r="36" spans="1:12" x14ac:dyDescent="0.3">
      <c r="A36" s="2">
        <v>45055</v>
      </c>
      <c r="B36">
        <v>193.04461669921881</v>
      </c>
      <c r="C36">
        <f t="shared" si="2"/>
        <v>8.4631137239458368E-4</v>
      </c>
      <c r="K36">
        <f t="shared" si="0"/>
        <v>478.50546264648438</v>
      </c>
      <c r="L36" s="5">
        <f t="shared" si="1"/>
        <v>-0.59656758016608369</v>
      </c>
    </row>
    <row r="37" spans="1:12" x14ac:dyDescent="0.3">
      <c r="A37" s="2">
        <v>45056</v>
      </c>
      <c r="B37">
        <v>193.20799255371091</v>
      </c>
      <c r="C37">
        <f t="shared" si="2"/>
        <v>-1.6912704461880344E-3</v>
      </c>
      <c r="K37">
        <f t="shared" si="0"/>
        <v>478.50546264648438</v>
      </c>
      <c r="L37" s="5">
        <f t="shared" si="1"/>
        <v>-0.59622615072118568</v>
      </c>
    </row>
    <row r="38" spans="1:12" x14ac:dyDescent="0.3">
      <c r="A38" s="2">
        <v>45057</v>
      </c>
      <c r="B38">
        <v>192.8812255859375</v>
      </c>
      <c r="C38">
        <f t="shared" si="2"/>
        <v>-4.6579831565810147E-3</v>
      </c>
      <c r="K38">
        <f t="shared" si="0"/>
        <v>478.50546264648438</v>
      </c>
      <c r="L38" s="5">
        <f t="shared" si="1"/>
        <v>-0.59690904149941448</v>
      </c>
    </row>
    <row r="39" spans="1:12" x14ac:dyDescent="0.3">
      <c r="A39" s="2">
        <v>45058</v>
      </c>
      <c r="B39">
        <v>191.9827880859375</v>
      </c>
      <c r="C39">
        <f t="shared" si="2"/>
        <v>1.1274235831738817E-2</v>
      </c>
      <c r="K39">
        <f t="shared" si="0"/>
        <v>478.50546264648438</v>
      </c>
      <c r="L39" s="5">
        <f t="shared" si="1"/>
        <v>-0.59878663239468033</v>
      </c>
    </row>
    <row r="40" spans="1:12" x14ac:dyDescent="0.3">
      <c r="A40" s="2">
        <v>45061</v>
      </c>
      <c r="B40">
        <v>194.1472473144531</v>
      </c>
      <c r="C40">
        <f t="shared" si="2"/>
        <v>1.3672587564213181E-2</v>
      </c>
      <c r="K40">
        <f t="shared" si="0"/>
        <v>478.50546264648438</v>
      </c>
      <c r="L40" s="5">
        <f t="shared" si="1"/>
        <v>-0.59426325826945181</v>
      </c>
    </row>
    <row r="41" spans="1:12" x14ac:dyDescent="0.3">
      <c r="A41" s="2">
        <v>45062</v>
      </c>
      <c r="B41">
        <v>196.80174255371091</v>
      </c>
      <c r="C41">
        <f t="shared" si="2"/>
        <v>2.6978664788695839E-3</v>
      </c>
      <c r="K41">
        <f t="shared" si="0"/>
        <v>478.50546264648438</v>
      </c>
      <c r="L41" s="5">
        <f t="shared" si="1"/>
        <v>-0.58871578714012229</v>
      </c>
    </row>
    <row r="42" spans="1:12" x14ac:dyDescent="0.3">
      <c r="A42" s="2">
        <v>45063</v>
      </c>
      <c r="B42">
        <v>197.33268737792969</v>
      </c>
      <c r="C42">
        <f t="shared" si="2"/>
        <v>-8.2782810144600549E-3</v>
      </c>
      <c r="K42">
        <f t="shared" si="0"/>
        <v>478.50546264648438</v>
      </c>
      <c r="L42" s="5">
        <f t="shared" si="1"/>
        <v>-0.58760619724895946</v>
      </c>
    </row>
    <row r="43" spans="1:12" x14ac:dyDescent="0.3">
      <c r="A43" s="2">
        <v>45064</v>
      </c>
      <c r="B43">
        <v>195.69911193847659</v>
      </c>
      <c r="C43">
        <f t="shared" si="2"/>
        <v>1.252052870033601E-3</v>
      </c>
      <c r="K43">
        <f t="shared" si="0"/>
        <v>478.50546264648438</v>
      </c>
      <c r="L43" s="5">
        <f t="shared" si="1"/>
        <v>-0.59102010903675439</v>
      </c>
    </row>
    <row r="44" spans="1:12" x14ac:dyDescent="0.3">
      <c r="A44" s="2">
        <v>45065</v>
      </c>
      <c r="B44">
        <v>195.94413757324219</v>
      </c>
      <c r="C44">
        <f t="shared" si="2"/>
        <v>-5.002104522133159E-3</v>
      </c>
      <c r="K44">
        <f t="shared" si="0"/>
        <v>478.50546264648438</v>
      </c>
      <c r="L44" s="5">
        <f t="shared" si="1"/>
        <v>-0.59050804459048778</v>
      </c>
    </row>
    <row r="45" spans="1:12" x14ac:dyDescent="0.3">
      <c r="A45" s="2">
        <v>45068</v>
      </c>
      <c r="B45">
        <v>194.96400451660159</v>
      </c>
      <c r="C45">
        <f t="shared" si="2"/>
        <v>2.5137039440918268E-3</v>
      </c>
      <c r="K45">
        <f t="shared" si="0"/>
        <v>478.50546264648438</v>
      </c>
      <c r="L45" s="5">
        <f t="shared" si="1"/>
        <v>-0.59255636615241891</v>
      </c>
    </row>
    <row r="46" spans="1:12" x14ac:dyDescent="0.3">
      <c r="A46" s="2">
        <v>45069</v>
      </c>
      <c r="B46">
        <v>195.45408630371091</v>
      </c>
      <c r="C46">
        <f t="shared" si="2"/>
        <v>7.104068855085589E-3</v>
      </c>
      <c r="K46">
        <f t="shared" si="0"/>
        <v>478.50546264648438</v>
      </c>
      <c r="L46" s="5">
        <f t="shared" si="1"/>
        <v>-0.59153217348302112</v>
      </c>
    </row>
    <row r="47" spans="1:12" x14ac:dyDescent="0.3">
      <c r="A47" s="2">
        <v>45070</v>
      </c>
      <c r="B47">
        <v>196.84260559082031</v>
      </c>
      <c r="C47">
        <f t="shared" si="2"/>
        <v>-3.9418533415989335E-3</v>
      </c>
      <c r="K47">
        <f t="shared" si="0"/>
        <v>478.50546264648438</v>
      </c>
      <c r="L47" s="5">
        <f t="shared" si="1"/>
        <v>-0.58863038991835737</v>
      </c>
    </row>
    <row r="48" spans="1:12" x14ac:dyDescent="0.3">
      <c r="A48" s="2">
        <v>45071</v>
      </c>
      <c r="B48">
        <v>196.0666809082031</v>
      </c>
      <c r="C48">
        <f t="shared" si="2"/>
        <v>6.0403476388753655E-3</v>
      </c>
      <c r="K48">
        <f t="shared" si="0"/>
        <v>478.50546264648438</v>
      </c>
      <c r="L48" s="5">
        <f t="shared" si="1"/>
        <v>-0.59025194859048991</v>
      </c>
    </row>
    <row r="49" spans="1:12" x14ac:dyDescent="0.3">
      <c r="A49" s="2">
        <v>45072</v>
      </c>
      <c r="B49">
        <v>197.25099182128909</v>
      </c>
      <c r="C49">
        <f t="shared" si="2"/>
        <v>1.904759178840695E-2</v>
      </c>
      <c r="K49">
        <f t="shared" si="0"/>
        <v>478.50546264648438</v>
      </c>
      <c r="L49" s="5">
        <f t="shared" si="1"/>
        <v>-0.58777692791562464</v>
      </c>
    </row>
    <row r="50" spans="1:12" x14ac:dyDescent="0.3">
      <c r="A50" s="2">
        <v>45075</v>
      </c>
      <c r="B50">
        <v>201.0081481933594</v>
      </c>
      <c r="C50">
        <f t="shared" si="2"/>
        <v>-7.3140533823418067E-3</v>
      </c>
      <c r="K50">
        <f t="shared" si="0"/>
        <v>478.50546264648438</v>
      </c>
      <c r="L50" s="5">
        <f t="shared" si="1"/>
        <v>-0.57992507111279845</v>
      </c>
    </row>
    <row r="51" spans="1:12" x14ac:dyDescent="0.3">
      <c r="A51" s="2">
        <v>45076</v>
      </c>
      <c r="B51">
        <v>199.5379638671875</v>
      </c>
      <c r="C51">
        <f t="shared" si="2"/>
        <v>-1.2484744114057582E-2</v>
      </c>
      <c r="K51">
        <f t="shared" si="0"/>
        <v>478.50546264648438</v>
      </c>
      <c r="L51" s="5">
        <f t="shared" si="1"/>
        <v>-0.58299752156726292</v>
      </c>
    </row>
    <row r="52" spans="1:12" x14ac:dyDescent="0.3">
      <c r="A52" s="2">
        <v>45077</v>
      </c>
      <c r="B52">
        <v>197.0467834472656</v>
      </c>
      <c r="C52">
        <f t="shared" si="2"/>
        <v>-4.518138857324519E-2</v>
      </c>
      <c r="K52">
        <f t="shared" si="0"/>
        <v>478.50546264648438</v>
      </c>
      <c r="L52" s="5">
        <f t="shared" si="1"/>
        <v>-0.58820369080542334</v>
      </c>
    </row>
    <row r="53" spans="1:12" x14ac:dyDescent="0.3">
      <c r="A53" s="2">
        <v>45078</v>
      </c>
      <c r="B53">
        <v>188.14393615722659</v>
      </c>
      <c r="C53">
        <f t="shared" si="2"/>
        <v>2.3877145230638388E-3</v>
      </c>
      <c r="K53">
        <f t="shared" si="0"/>
        <v>478.50546264648438</v>
      </c>
      <c r="L53" s="5">
        <f t="shared" si="1"/>
        <v>-0.6068092198641718</v>
      </c>
    </row>
    <row r="54" spans="1:12" x14ac:dyDescent="0.3">
      <c r="A54" s="2">
        <v>45079</v>
      </c>
      <c r="B54">
        <v>188.5931701660156</v>
      </c>
      <c r="C54">
        <f t="shared" si="2"/>
        <v>-5.1970760965405101E-3</v>
      </c>
      <c r="K54">
        <f t="shared" si="0"/>
        <v>478.50546264648438</v>
      </c>
      <c r="L54" s="5">
        <f t="shared" si="1"/>
        <v>-0.6058703925281067</v>
      </c>
    </row>
    <row r="55" spans="1:12" x14ac:dyDescent="0.3">
      <c r="A55" s="2">
        <v>45082</v>
      </c>
      <c r="B55">
        <v>187.613037109375</v>
      </c>
      <c r="C55">
        <f t="shared" si="2"/>
        <v>-8.2716246585715688E-3</v>
      </c>
      <c r="K55">
        <f t="shared" si="0"/>
        <v>478.50546264648438</v>
      </c>
      <c r="L55" s="5">
        <f t="shared" si="1"/>
        <v>-0.60791871409003773</v>
      </c>
    </row>
    <row r="56" spans="1:12" x14ac:dyDescent="0.3">
      <c r="A56" s="2">
        <v>45083</v>
      </c>
      <c r="B56">
        <v>186.06117248535159</v>
      </c>
      <c r="C56">
        <f t="shared" si="2"/>
        <v>1.2730503157161829E-2</v>
      </c>
      <c r="K56">
        <f t="shared" si="0"/>
        <v>478.50546264648438</v>
      </c>
      <c r="L56" s="5">
        <f t="shared" si="1"/>
        <v>-0.61116186332273503</v>
      </c>
    </row>
    <row r="57" spans="1:12" x14ac:dyDescent="0.3">
      <c r="A57" s="2">
        <v>45084</v>
      </c>
      <c r="B57">
        <v>188.42982482910159</v>
      </c>
      <c r="C57">
        <f t="shared" si="2"/>
        <v>-1.1270038870552628E-2</v>
      </c>
      <c r="K57">
        <f t="shared" si="0"/>
        <v>478.50546264648438</v>
      </c>
      <c r="L57" s="5">
        <f t="shared" si="1"/>
        <v>-0.60621175819614015</v>
      </c>
    </row>
    <row r="58" spans="1:12" x14ac:dyDescent="0.3">
      <c r="A58" s="2">
        <v>45085</v>
      </c>
      <c r="B58">
        <v>186.30621337890619</v>
      </c>
      <c r="C58">
        <f t="shared" si="2"/>
        <v>-1.972847304828542E-3</v>
      </c>
      <c r="K58">
        <f t="shared" si="0"/>
        <v>478.50546264648438</v>
      </c>
      <c r="L58" s="5">
        <f t="shared" si="1"/>
        <v>-0.6106497669880363</v>
      </c>
    </row>
    <row r="59" spans="1:12" x14ac:dyDescent="0.3">
      <c r="A59" s="2">
        <v>45086</v>
      </c>
      <c r="B59">
        <v>185.93865966796881</v>
      </c>
      <c r="C59">
        <f t="shared" si="2"/>
        <v>5.9301593116373895E-3</v>
      </c>
      <c r="K59">
        <f t="shared" si="0"/>
        <v>478.50546264648438</v>
      </c>
      <c r="L59" s="5">
        <f t="shared" si="1"/>
        <v>-0.61141789554586823</v>
      </c>
    </row>
    <row r="60" spans="1:12" x14ac:dyDescent="0.3">
      <c r="A60" s="2">
        <v>45089</v>
      </c>
      <c r="B60">
        <v>187.04130554199219</v>
      </c>
      <c r="C60">
        <f t="shared" si="2"/>
        <v>-2.1822591872907836E-4</v>
      </c>
      <c r="K60">
        <f t="shared" si="0"/>
        <v>478.50546264648438</v>
      </c>
      <c r="L60" s="5">
        <f t="shared" si="1"/>
        <v>-0.60911354176080401</v>
      </c>
    </row>
    <row r="61" spans="1:12" x14ac:dyDescent="0.3">
      <c r="A61" s="2">
        <v>45090</v>
      </c>
      <c r="B61">
        <v>187.00048828125</v>
      </c>
      <c r="C61">
        <f t="shared" si="2"/>
        <v>0</v>
      </c>
      <c r="K61">
        <f t="shared" si="0"/>
        <v>478.50546264648438</v>
      </c>
      <c r="L61" s="5">
        <f t="shared" si="1"/>
        <v>-0.60919884331727192</v>
      </c>
    </row>
    <row r="62" spans="1:12" x14ac:dyDescent="0.3">
      <c r="A62" s="2">
        <v>45091</v>
      </c>
      <c r="B62">
        <v>187.00048828125</v>
      </c>
      <c r="C62">
        <f t="shared" si="2"/>
        <v>-1.5289756303901848E-3</v>
      </c>
      <c r="K62">
        <f t="shared" si="0"/>
        <v>478.50546264648438</v>
      </c>
      <c r="L62" s="5">
        <f t="shared" si="1"/>
        <v>-0.60919884331727192</v>
      </c>
    </row>
    <row r="63" spans="1:12" x14ac:dyDescent="0.3">
      <c r="A63" s="2">
        <v>45092</v>
      </c>
      <c r="B63">
        <v>186.7145690917969</v>
      </c>
      <c r="C63">
        <f t="shared" si="2"/>
        <v>-2.1860779767083095E-4</v>
      </c>
      <c r="K63">
        <f t="shared" si="0"/>
        <v>478.50546264648438</v>
      </c>
      <c r="L63" s="5">
        <f t="shared" si="1"/>
        <v>-0.60979636876216814</v>
      </c>
    </row>
    <row r="64" spans="1:12" x14ac:dyDescent="0.3">
      <c r="A64" s="2">
        <v>45093</v>
      </c>
      <c r="B64">
        <v>186.67375183105469</v>
      </c>
      <c r="C64">
        <f t="shared" si="2"/>
        <v>-6.1256263461114463E-3</v>
      </c>
      <c r="K64">
        <f t="shared" si="0"/>
        <v>478.50546264648438</v>
      </c>
      <c r="L64" s="5">
        <f t="shared" si="1"/>
        <v>-0.60988167031863627</v>
      </c>
    </row>
    <row r="65" spans="1:12" x14ac:dyDescent="0.3">
      <c r="A65" s="2">
        <v>45096</v>
      </c>
      <c r="B65">
        <v>185.53025817871091</v>
      </c>
      <c r="C65">
        <f t="shared" si="2"/>
        <v>4.404999756969899E-4</v>
      </c>
      <c r="K65">
        <f t="shared" si="0"/>
        <v>478.50546264648438</v>
      </c>
      <c r="L65" s="5">
        <f t="shared" si="1"/>
        <v>-0.61227138943703341</v>
      </c>
    </row>
    <row r="66" spans="1:12" x14ac:dyDescent="0.3">
      <c r="A66" s="2">
        <v>45097</v>
      </c>
      <c r="B66">
        <v>185.61198425292969</v>
      </c>
      <c r="C66">
        <f t="shared" si="2"/>
        <v>5.2803017230712004E-3</v>
      </c>
      <c r="K66">
        <f t="shared" ref="K66:K129" si="3">MAX(B66:B805)</f>
        <v>478.50546264648438</v>
      </c>
      <c r="L66" s="5">
        <f t="shared" ref="L66:L129" si="4">B66/K66-1</f>
        <v>-0.61210059499350344</v>
      </c>
    </row>
    <row r="67" spans="1:12" x14ac:dyDescent="0.3">
      <c r="A67" s="2">
        <v>45098</v>
      </c>
      <c r="B67">
        <v>186.5920715332031</v>
      </c>
      <c r="C67">
        <f t="shared" ref="C67:C130" si="5">(B68-B67)/B67</f>
        <v>-6.5659740059651056E-3</v>
      </c>
      <c r="K67">
        <f t="shared" si="3"/>
        <v>478.50546264648438</v>
      </c>
      <c r="L67" s="5">
        <f t="shared" si="4"/>
        <v>-0.61005236909686933</v>
      </c>
    </row>
    <row r="68" spans="1:12" x14ac:dyDescent="0.3">
      <c r="A68" s="2">
        <v>45099</v>
      </c>
      <c r="B68">
        <v>185.3669128417969</v>
      </c>
      <c r="C68">
        <f t="shared" si="5"/>
        <v>-4.6266090647458557E-3</v>
      </c>
      <c r="K68">
        <f t="shared" si="3"/>
        <v>478.50546264648438</v>
      </c>
      <c r="L68" s="5">
        <f t="shared" si="4"/>
        <v>-0.61261275510506685</v>
      </c>
    </row>
    <row r="69" spans="1:12" x14ac:dyDescent="0.3">
      <c r="A69" s="2">
        <v>45100</v>
      </c>
      <c r="B69">
        <v>184.50929260253909</v>
      </c>
      <c r="C69">
        <f t="shared" si="5"/>
        <v>-7.082616020293084E-3</v>
      </c>
      <c r="K69">
        <f t="shared" si="3"/>
        <v>478.50546264648438</v>
      </c>
      <c r="L69" s="5">
        <f t="shared" si="4"/>
        <v>-0.61440504444386468</v>
      </c>
    </row>
    <row r="70" spans="1:12" x14ac:dyDescent="0.3">
      <c r="A70" s="2">
        <v>45103</v>
      </c>
      <c r="B70">
        <v>183.2024841308594</v>
      </c>
      <c r="C70">
        <f t="shared" si="5"/>
        <v>3.7894922007154982E-3</v>
      </c>
      <c r="K70">
        <f t="shared" si="3"/>
        <v>478.50546264648438</v>
      </c>
      <c r="L70" s="5">
        <f t="shared" si="4"/>
        <v>-0.6171360654534308</v>
      </c>
    </row>
    <row r="71" spans="1:12" x14ac:dyDescent="0.3">
      <c r="A71" s="2">
        <v>45104</v>
      </c>
      <c r="B71">
        <v>183.896728515625</v>
      </c>
      <c r="C71">
        <f t="shared" si="5"/>
        <v>9.3272770600644414E-3</v>
      </c>
      <c r="K71">
        <f t="shared" si="3"/>
        <v>478.50546264648438</v>
      </c>
      <c r="L71" s="5">
        <f t="shared" si="4"/>
        <v>-0.61568520555953132</v>
      </c>
    </row>
    <row r="72" spans="1:12" x14ac:dyDescent="0.3">
      <c r="A72" s="2">
        <v>45105</v>
      </c>
      <c r="B72">
        <v>185.61198425292969</v>
      </c>
      <c r="C72">
        <f t="shared" si="5"/>
        <v>1.65013642005719E-2</v>
      </c>
      <c r="K72">
        <f t="shared" si="3"/>
        <v>478.50546264648438</v>
      </c>
      <c r="L72" s="5">
        <f t="shared" si="4"/>
        <v>-0.61210059499350344</v>
      </c>
    </row>
    <row r="73" spans="1:12" x14ac:dyDescent="0.3">
      <c r="A73" s="2">
        <v>45107</v>
      </c>
      <c r="B73">
        <v>188.6748352050781</v>
      </c>
      <c r="C73">
        <f t="shared" si="5"/>
        <v>2.8139924693859025E-3</v>
      </c>
      <c r="K73">
        <f t="shared" si="3"/>
        <v>478.50546264648438</v>
      </c>
      <c r="L73" s="5">
        <f t="shared" si="4"/>
        <v>-0.6056997256383061</v>
      </c>
    </row>
    <row r="74" spans="1:12" x14ac:dyDescent="0.3">
      <c r="A74" s="2">
        <v>45110</v>
      </c>
      <c r="B74">
        <v>189.20576477050781</v>
      </c>
      <c r="C74">
        <f t="shared" si="5"/>
        <v>6.4759166466461652E-4</v>
      </c>
      <c r="K74">
        <f t="shared" si="3"/>
        <v>478.50546264648438</v>
      </c>
      <c r="L74" s="5">
        <f t="shared" si="4"/>
        <v>-0.60459016763557538</v>
      </c>
    </row>
    <row r="75" spans="1:12" x14ac:dyDescent="0.3">
      <c r="A75" s="2">
        <v>45111</v>
      </c>
      <c r="B75">
        <v>189.32829284667969</v>
      </c>
      <c r="C75">
        <f t="shared" si="5"/>
        <v>-1.7257666315085784E-3</v>
      </c>
      <c r="K75">
        <f t="shared" si="3"/>
        <v>478.50546264648438</v>
      </c>
      <c r="L75" s="5">
        <f t="shared" si="4"/>
        <v>-0.60433410352400974</v>
      </c>
    </row>
    <row r="76" spans="1:12" x14ac:dyDescent="0.3">
      <c r="A76" s="2">
        <v>45112</v>
      </c>
      <c r="B76">
        <v>189.0015563964844</v>
      </c>
      <c r="C76">
        <f t="shared" si="5"/>
        <v>1.3828950867588223E-2</v>
      </c>
      <c r="K76">
        <f t="shared" si="3"/>
        <v>478.50546264648438</v>
      </c>
      <c r="L76" s="5">
        <f t="shared" si="4"/>
        <v>-0.60501693052537397</v>
      </c>
    </row>
    <row r="77" spans="1:12" x14ac:dyDescent="0.3">
      <c r="A77" s="2">
        <v>45113</v>
      </c>
      <c r="B77">
        <v>191.61524963378909</v>
      </c>
      <c r="C77">
        <f t="shared" si="5"/>
        <v>-2.5575549402090314E-3</v>
      </c>
      <c r="K77">
        <f t="shared" si="3"/>
        <v>478.50546264648438</v>
      </c>
      <c r="L77" s="5">
        <f t="shared" si="4"/>
        <v>-0.59955472906408014</v>
      </c>
    </row>
    <row r="78" spans="1:12" x14ac:dyDescent="0.3">
      <c r="A78" s="2">
        <v>45114</v>
      </c>
      <c r="B78">
        <v>191.12518310546881</v>
      </c>
      <c r="C78">
        <f t="shared" si="5"/>
        <v>-1.0684535167236743E-3</v>
      </c>
      <c r="K78">
        <f t="shared" si="3"/>
        <v>478.50546264648438</v>
      </c>
      <c r="L78" s="5">
        <f t="shared" si="4"/>
        <v>-0.6005788898450457</v>
      </c>
    </row>
    <row r="79" spans="1:12" x14ac:dyDescent="0.3">
      <c r="A79" s="2">
        <v>45117</v>
      </c>
      <c r="B79">
        <v>190.92097473144531</v>
      </c>
      <c r="C79">
        <f t="shared" si="5"/>
        <v>1.0695963306846692E-3</v>
      </c>
      <c r="K79">
        <f t="shared" si="3"/>
        <v>478.50546264648438</v>
      </c>
      <c r="L79" s="5">
        <f t="shared" si="4"/>
        <v>-0.60100565273484441</v>
      </c>
    </row>
    <row r="80" spans="1:12" x14ac:dyDescent="0.3">
      <c r="A80" s="2">
        <v>45118</v>
      </c>
      <c r="B80">
        <v>191.12518310546881</v>
      </c>
      <c r="C80">
        <f t="shared" si="5"/>
        <v>1.7093819208367522E-3</v>
      </c>
      <c r="K80">
        <f t="shared" si="3"/>
        <v>478.50546264648438</v>
      </c>
      <c r="L80" s="5">
        <f t="shared" si="4"/>
        <v>-0.6005788898450457</v>
      </c>
    </row>
    <row r="81" spans="1:12" x14ac:dyDescent="0.3">
      <c r="A81" s="2">
        <v>45119</v>
      </c>
      <c r="B81">
        <v>191.45188903808591</v>
      </c>
      <c r="C81">
        <f t="shared" si="5"/>
        <v>-1.9197909682090165E-2</v>
      </c>
      <c r="K81">
        <f t="shared" si="3"/>
        <v>478.50546264648438</v>
      </c>
      <c r="L81" s="5">
        <f t="shared" si="4"/>
        <v>-0.59989612662054626</v>
      </c>
    </row>
    <row r="82" spans="1:12" x14ac:dyDescent="0.3">
      <c r="A82" s="2">
        <v>45120</v>
      </c>
      <c r="B82">
        <v>187.77641296386719</v>
      </c>
      <c r="C82">
        <f t="shared" si="5"/>
        <v>5.0022285668549224E-3</v>
      </c>
      <c r="K82">
        <f t="shared" si="3"/>
        <v>478.50546264648438</v>
      </c>
      <c r="L82" s="5">
        <f t="shared" si="4"/>
        <v>-0.60757728464513949</v>
      </c>
    </row>
    <row r="83" spans="1:12" x14ac:dyDescent="0.3">
      <c r="A83" s="2">
        <v>45121</v>
      </c>
      <c r="B83">
        <v>188.71571350097659</v>
      </c>
      <c r="C83">
        <f t="shared" si="5"/>
        <v>-3.6790267659888914E-3</v>
      </c>
      <c r="K83">
        <f t="shared" si="3"/>
        <v>478.50546264648438</v>
      </c>
      <c r="L83" s="5">
        <f t="shared" si="4"/>
        <v>-0.60561429652810861</v>
      </c>
    </row>
    <row r="84" spans="1:12" x14ac:dyDescent="0.3">
      <c r="A84" s="2">
        <v>45124</v>
      </c>
      <c r="B84">
        <v>188.02142333984381</v>
      </c>
      <c r="C84">
        <f t="shared" si="5"/>
        <v>-8.4708280325905064E-3</v>
      </c>
      <c r="K84">
        <f t="shared" si="3"/>
        <v>478.50546264648438</v>
      </c>
      <c r="L84" s="5">
        <f t="shared" si="4"/>
        <v>-0.607065252087305</v>
      </c>
    </row>
    <row r="85" spans="1:12" x14ac:dyDescent="0.3">
      <c r="A85" s="2">
        <v>45125</v>
      </c>
      <c r="B85">
        <v>186.42872619628909</v>
      </c>
      <c r="C85">
        <f t="shared" si="5"/>
        <v>1.5332556379044886E-3</v>
      </c>
      <c r="K85">
        <f t="shared" si="3"/>
        <v>478.50546264648438</v>
      </c>
      <c r="L85" s="5">
        <f t="shared" si="4"/>
        <v>-0.61039373476490277</v>
      </c>
    </row>
    <row r="86" spans="1:12" x14ac:dyDescent="0.3">
      <c r="A86" s="2">
        <v>45126</v>
      </c>
      <c r="B86">
        <v>186.7145690917969</v>
      </c>
      <c r="C86">
        <f t="shared" si="5"/>
        <v>5.0307579128257588E-3</v>
      </c>
      <c r="K86">
        <f t="shared" si="3"/>
        <v>478.50546264648438</v>
      </c>
      <c r="L86" s="5">
        <f t="shared" si="4"/>
        <v>-0.60979636876216814</v>
      </c>
    </row>
    <row r="87" spans="1:12" x14ac:dyDescent="0.3">
      <c r="A87" s="2">
        <v>45127</v>
      </c>
      <c r="B87">
        <v>187.65388488769531</v>
      </c>
      <c r="C87">
        <f t="shared" si="5"/>
        <v>-3.2644106785731275E-3</v>
      </c>
      <c r="K87">
        <f t="shared" si="3"/>
        <v>478.50546264648438</v>
      </c>
      <c r="L87" s="5">
        <f t="shared" si="4"/>
        <v>-0.60783334875670514</v>
      </c>
    </row>
    <row r="88" spans="1:12" x14ac:dyDescent="0.3">
      <c r="A88" s="2">
        <v>45128</v>
      </c>
      <c r="B88">
        <v>187.04130554199219</v>
      </c>
      <c r="C88">
        <f t="shared" si="5"/>
        <v>8.5152977184825389E-3</v>
      </c>
      <c r="K88">
        <f t="shared" si="3"/>
        <v>478.50546264648438</v>
      </c>
      <c r="L88" s="5">
        <f t="shared" si="4"/>
        <v>-0.60911354176080401</v>
      </c>
    </row>
    <row r="89" spans="1:12" x14ac:dyDescent="0.3">
      <c r="A89" s="2">
        <v>45131</v>
      </c>
      <c r="B89">
        <v>188.63401794433591</v>
      </c>
      <c r="C89">
        <f t="shared" si="5"/>
        <v>-4.3299319488519922E-3</v>
      </c>
      <c r="K89">
        <f t="shared" si="3"/>
        <v>478.50546264648438</v>
      </c>
      <c r="L89" s="5">
        <f t="shared" si="4"/>
        <v>-0.60578502719477401</v>
      </c>
    </row>
    <row r="90" spans="1:12" x14ac:dyDescent="0.3">
      <c r="A90" s="2">
        <v>45132</v>
      </c>
      <c r="B90">
        <v>187.81724548339841</v>
      </c>
      <c r="C90">
        <f t="shared" si="5"/>
        <v>2.3917864882099312E-3</v>
      </c>
      <c r="K90">
        <f t="shared" si="3"/>
        <v>478.50546264648438</v>
      </c>
      <c r="L90" s="5">
        <f t="shared" si="4"/>
        <v>-0.60749195120023924</v>
      </c>
    </row>
    <row r="91" spans="1:12" x14ac:dyDescent="0.3">
      <c r="A91" s="2">
        <v>45133</v>
      </c>
      <c r="B91">
        <v>188.26646423339841</v>
      </c>
      <c r="C91">
        <f t="shared" si="5"/>
        <v>-6.2906100558498337E-3</v>
      </c>
      <c r="K91">
        <f t="shared" si="3"/>
        <v>478.50546264648438</v>
      </c>
      <c r="L91" s="5">
        <f t="shared" si="4"/>
        <v>-0.60655315575260627</v>
      </c>
    </row>
    <row r="92" spans="1:12" x14ac:dyDescent="0.3">
      <c r="A92" s="2">
        <v>45134</v>
      </c>
      <c r="B92">
        <v>187.0821533203125</v>
      </c>
      <c r="C92">
        <f t="shared" si="5"/>
        <v>-8.5133569145302325E-3</v>
      </c>
      <c r="K92">
        <f t="shared" si="3"/>
        <v>478.50546264648438</v>
      </c>
      <c r="L92" s="5">
        <f t="shared" si="4"/>
        <v>-0.60902817642747131</v>
      </c>
    </row>
    <row r="93" spans="1:12" x14ac:dyDescent="0.3">
      <c r="A93" s="2">
        <v>45135</v>
      </c>
      <c r="B93">
        <v>185.48945617675781</v>
      </c>
      <c r="C93">
        <f t="shared" si="5"/>
        <v>9.4670743915244385E-3</v>
      </c>
      <c r="K93">
        <f t="shared" si="3"/>
        <v>478.50546264648438</v>
      </c>
      <c r="L93" s="5">
        <f t="shared" si="4"/>
        <v>-0.61235665910506898</v>
      </c>
    </row>
    <row r="94" spans="1:12" x14ac:dyDescent="0.3">
      <c r="A94" s="2">
        <v>45138</v>
      </c>
      <c r="B94">
        <v>187.24549865722659</v>
      </c>
      <c r="C94">
        <f t="shared" si="5"/>
        <v>4.8418911052852259E-2</v>
      </c>
      <c r="K94">
        <f t="shared" si="3"/>
        <v>478.50546264648438</v>
      </c>
      <c r="L94" s="5">
        <f t="shared" si="4"/>
        <v>-0.60868681075943765</v>
      </c>
    </row>
    <row r="95" spans="1:12" x14ac:dyDescent="0.3">
      <c r="A95" s="2">
        <v>45139</v>
      </c>
      <c r="B95">
        <v>196.31172180175781</v>
      </c>
      <c r="C95">
        <f t="shared" si="5"/>
        <v>-2.4131620378088837E-2</v>
      </c>
      <c r="K95">
        <f t="shared" si="3"/>
        <v>478.50546264648438</v>
      </c>
      <c r="L95" s="5">
        <f t="shared" si="4"/>
        <v>-0.58973985225579084</v>
      </c>
    </row>
    <row r="96" spans="1:12" x14ac:dyDescent="0.3">
      <c r="A96" s="2">
        <v>45140</v>
      </c>
      <c r="B96">
        <v>191.57440185546881</v>
      </c>
      <c r="C96">
        <f t="shared" si="5"/>
        <v>-1.9185552870485414E-2</v>
      </c>
      <c r="K96">
        <f t="shared" si="3"/>
        <v>478.50546264648438</v>
      </c>
      <c r="L96" s="5">
        <f t="shared" si="4"/>
        <v>-0.59964009439741273</v>
      </c>
    </row>
    <row r="97" spans="1:12" x14ac:dyDescent="0.3">
      <c r="A97" s="2">
        <v>45141</v>
      </c>
      <c r="B97">
        <v>187.89894104003909</v>
      </c>
      <c r="C97">
        <f t="shared" si="5"/>
        <v>1.6083292831130226E-2</v>
      </c>
      <c r="K97">
        <f t="shared" si="3"/>
        <v>478.50546264648438</v>
      </c>
      <c r="L97" s="5">
        <f t="shared" si="4"/>
        <v>-0.60732122053357385</v>
      </c>
    </row>
    <row r="98" spans="1:12" x14ac:dyDescent="0.3">
      <c r="A98" s="2">
        <v>45142</v>
      </c>
      <c r="B98">
        <v>190.92097473144531</v>
      </c>
      <c r="C98">
        <f t="shared" si="5"/>
        <v>-3.4224205389350778E-3</v>
      </c>
      <c r="K98">
        <f t="shared" si="3"/>
        <v>478.50546264648438</v>
      </c>
      <c r="L98" s="5">
        <f t="shared" si="4"/>
        <v>-0.60100565273484441</v>
      </c>
    </row>
    <row r="99" spans="1:12" x14ac:dyDescent="0.3">
      <c r="A99" s="2">
        <v>45145</v>
      </c>
      <c r="B99">
        <v>190.26756286621091</v>
      </c>
      <c r="C99">
        <f t="shared" si="5"/>
        <v>-1.1590316274873292E-2</v>
      </c>
      <c r="K99">
        <f t="shared" si="3"/>
        <v>478.50546264648438</v>
      </c>
      <c r="L99" s="5">
        <f t="shared" si="4"/>
        <v>-0.60237117918384375</v>
      </c>
    </row>
    <row r="100" spans="1:12" x14ac:dyDescent="0.3">
      <c r="A100" s="2">
        <v>45146</v>
      </c>
      <c r="B100">
        <v>188.06230163574219</v>
      </c>
      <c r="C100">
        <f t="shared" si="5"/>
        <v>1.9543846818107728E-2</v>
      </c>
      <c r="K100">
        <f t="shared" si="3"/>
        <v>478.50546264648438</v>
      </c>
      <c r="L100" s="5">
        <f t="shared" si="4"/>
        <v>-0.60697982297710784</v>
      </c>
    </row>
    <row r="101" spans="1:12" x14ac:dyDescent="0.3">
      <c r="A101" s="2">
        <v>45147</v>
      </c>
      <c r="B101">
        <v>191.7377624511719</v>
      </c>
      <c r="C101">
        <f t="shared" si="5"/>
        <v>6.3896029564850735E-4</v>
      </c>
      <c r="K101">
        <f t="shared" si="3"/>
        <v>478.50546264648438</v>
      </c>
      <c r="L101" s="5">
        <f t="shared" si="4"/>
        <v>-0.59929869684094683</v>
      </c>
    </row>
    <row r="102" spans="1:12" x14ac:dyDescent="0.3">
      <c r="A102" s="2">
        <v>45148</v>
      </c>
      <c r="B102">
        <v>191.86027526855469</v>
      </c>
      <c r="C102">
        <f t="shared" si="5"/>
        <v>0</v>
      </c>
      <c r="K102">
        <f t="shared" si="3"/>
        <v>478.50546264648438</v>
      </c>
      <c r="L102" s="5">
        <f t="shared" si="4"/>
        <v>-0.59904266461781364</v>
      </c>
    </row>
    <row r="103" spans="1:12" x14ac:dyDescent="0.3">
      <c r="A103" s="2">
        <v>45149</v>
      </c>
      <c r="B103">
        <v>191.86027526855469</v>
      </c>
      <c r="C103">
        <f t="shared" si="5"/>
        <v>-4.2572008123270945E-3</v>
      </c>
      <c r="K103">
        <f t="shared" si="3"/>
        <v>478.50546264648438</v>
      </c>
      <c r="L103" s="5">
        <f t="shared" si="4"/>
        <v>-0.59904266461781364</v>
      </c>
    </row>
    <row r="104" spans="1:12" x14ac:dyDescent="0.3">
      <c r="A104" s="2">
        <v>45152</v>
      </c>
      <c r="B104">
        <v>191.0434875488281</v>
      </c>
      <c r="C104">
        <f t="shared" si="5"/>
        <v>-3.6340398328272992E-3</v>
      </c>
      <c r="K104">
        <f t="shared" si="3"/>
        <v>478.50546264648438</v>
      </c>
      <c r="L104" s="5">
        <f t="shared" si="4"/>
        <v>-0.6007496205117111</v>
      </c>
    </row>
    <row r="105" spans="1:12" x14ac:dyDescent="0.3">
      <c r="A105" s="2">
        <v>45154</v>
      </c>
      <c r="B105">
        <v>190.34922790527341</v>
      </c>
      <c r="C105">
        <f t="shared" si="5"/>
        <v>-3.2181064964384616E-3</v>
      </c>
      <c r="K105">
        <f t="shared" si="3"/>
        <v>478.50546264648438</v>
      </c>
      <c r="L105" s="5">
        <f t="shared" si="4"/>
        <v>-0.60220051229404303</v>
      </c>
    </row>
    <row r="106" spans="1:12" x14ac:dyDescent="0.3">
      <c r="A106" s="2">
        <v>45155</v>
      </c>
      <c r="B106">
        <v>189.7366638183594</v>
      </c>
      <c r="C106">
        <f t="shared" si="5"/>
        <v>-3.7231649604305148E-3</v>
      </c>
      <c r="K106">
        <f t="shared" si="3"/>
        <v>478.50546264648438</v>
      </c>
      <c r="L106" s="5">
        <f t="shared" si="4"/>
        <v>-0.60348067340970946</v>
      </c>
    </row>
    <row r="107" spans="1:12" x14ac:dyDescent="0.3">
      <c r="A107" s="2">
        <v>45156</v>
      </c>
      <c r="B107">
        <v>189.0302429199219</v>
      </c>
      <c r="C107">
        <f t="shared" si="5"/>
        <v>1.1651006442699174E-2</v>
      </c>
      <c r="K107">
        <f t="shared" si="3"/>
        <v>478.50546264648438</v>
      </c>
      <c r="L107" s="5">
        <f t="shared" si="4"/>
        <v>-0.60495698027260392</v>
      </c>
    </row>
    <row r="108" spans="1:12" x14ac:dyDescent="0.3">
      <c r="A108" s="2">
        <v>45159</v>
      </c>
      <c r="B108">
        <v>191.2326354980469</v>
      </c>
      <c r="C108">
        <f t="shared" si="5"/>
        <v>2.8246283977925763E-3</v>
      </c>
      <c r="K108">
        <f t="shared" si="3"/>
        <v>478.50546264648438</v>
      </c>
      <c r="L108" s="5">
        <f t="shared" si="4"/>
        <v>-0.6003543315046167</v>
      </c>
    </row>
    <row r="109" spans="1:12" x14ac:dyDescent="0.3">
      <c r="A109" s="2">
        <v>45160</v>
      </c>
      <c r="B109">
        <v>191.7727966308594</v>
      </c>
      <c r="C109">
        <f t="shared" si="5"/>
        <v>6.5006251580385012E-4</v>
      </c>
      <c r="K109">
        <f t="shared" si="3"/>
        <v>478.50546264648438</v>
      </c>
      <c r="L109" s="5">
        <f t="shared" si="4"/>
        <v>-0.59922548100032991</v>
      </c>
    </row>
    <row r="110" spans="1:12" x14ac:dyDescent="0.3">
      <c r="A110" s="2">
        <v>45161</v>
      </c>
      <c r="B110">
        <v>191.8974609375</v>
      </c>
      <c r="C110">
        <f t="shared" si="5"/>
        <v>-7.1458037536322599E-3</v>
      </c>
      <c r="K110">
        <f t="shared" si="3"/>
        <v>478.50546264648438</v>
      </c>
      <c r="L110" s="5">
        <f t="shared" si="4"/>
        <v>-0.59896495250823878</v>
      </c>
    </row>
    <row r="111" spans="1:12" x14ac:dyDescent="0.3">
      <c r="A111" s="2">
        <v>45162</v>
      </c>
      <c r="B111">
        <v>190.52619934082031</v>
      </c>
      <c r="C111">
        <f t="shared" si="5"/>
        <v>-6.7610766178198946E-3</v>
      </c>
      <c r="K111">
        <f t="shared" si="3"/>
        <v>478.50546264648438</v>
      </c>
      <c r="L111" s="5">
        <f t="shared" si="4"/>
        <v>-0.6018306702559435</v>
      </c>
    </row>
    <row r="112" spans="1:12" x14ac:dyDescent="0.3">
      <c r="A112" s="2">
        <v>45163</v>
      </c>
      <c r="B112">
        <v>189.238037109375</v>
      </c>
      <c r="C112">
        <f t="shared" si="5"/>
        <v>7.685513450192809E-3</v>
      </c>
      <c r="K112">
        <f t="shared" si="3"/>
        <v>478.50546264648438</v>
      </c>
      <c r="L112" s="5">
        <f t="shared" si="4"/>
        <v>-0.60452272360120918</v>
      </c>
    </row>
    <row r="113" spans="1:12" x14ac:dyDescent="0.3">
      <c r="A113" s="2">
        <v>45166</v>
      </c>
      <c r="B113">
        <v>190.69242858886719</v>
      </c>
      <c r="C113">
        <f t="shared" si="5"/>
        <v>2.1790447938857438E-3</v>
      </c>
      <c r="K113">
        <f t="shared" si="3"/>
        <v>478.50546264648438</v>
      </c>
      <c r="L113" s="5">
        <f t="shared" si="4"/>
        <v>-0.60148327767420062</v>
      </c>
    </row>
    <row r="114" spans="1:12" x14ac:dyDescent="0.3">
      <c r="A114" s="2">
        <v>45167</v>
      </c>
      <c r="B114">
        <v>191.10795593261719</v>
      </c>
      <c r="C114">
        <f t="shared" si="5"/>
        <v>-5.2185920165283093E-3</v>
      </c>
      <c r="K114">
        <f t="shared" si="3"/>
        <v>478.50546264648438</v>
      </c>
      <c r="L114" s="5">
        <f t="shared" si="4"/>
        <v>-0.60061489188514017</v>
      </c>
    </row>
    <row r="115" spans="1:12" x14ac:dyDescent="0.3">
      <c r="A115" s="2">
        <v>45168</v>
      </c>
      <c r="B115">
        <v>190.11064147949219</v>
      </c>
      <c r="C115">
        <f t="shared" si="5"/>
        <v>5.6832396520741357E-3</v>
      </c>
      <c r="K115">
        <f t="shared" si="3"/>
        <v>478.50546264648438</v>
      </c>
      <c r="L115" s="5">
        <f t="shared" si="4"/>
        <v>-0.60269911982186875</v>
      </c>
    </row>
    <row r="116" spans="1:12" x14ac:dyDescent="0.3">
      <c r="A116" s="2">
        <v>45169</v>
      </c>
      <c r="B116">
        <v>191.19108581542969</v>
      </c>
      <c r="C116">
        <f t="shared" si="5"/>
        <v>2.977605805122626E-2</v>
      </c>
      <c r="K116">
        <f t="shared" si="3"/>
        <v>478.50546264648438</v>
      </c>
      <c r="L116" s="5">
        <f t="shared" si="4"/>
        <v>-0.60044116370583633</v>
      </c>
    </row>
    <row r="117" spans="1:12" x14ac:dyDescent="0.3">
      <c r="A117" s="2">
        <v>45170</v>
      </c>
      <c r="B117">
        <v>196.8840026855469</v>
      </c>
      <c r="C117">
        <f t="shared" si="5"/>
        <v>4.6011040851771559E-2</v>
      </c>
      <c r="K117">
        <f t="shared" si="3"/>
        <v>478.50546264648438</v>
      </c>
      <c r="L117" s="5">
        <f t="shared" si="4"/>
        <v>-0.5885438766014609</v>
      </c>
    </row>
    <row r="118" spans="1:12" x14ac:dyDescent="0.3">
      <c r="A118" s="2">
        <v>45173</v>
      </c>
      <c r="B118">
        <v>205.9428405761719</v>
      </c>
      <c r="C118">
        <f t="shared" si="5"/>
        <v>3.0468108059247066E-2</v>
      </c>
      <c r="K118">
        <f t="shared" si="3"/>
        <v>478.50546264648438</v>
      </c>
      <c r="L118" s="5">
        <f t="shared" si="4"/>
        <v>-0.56961235209905925</v>
      </c>
    </row>
    <row r="119" spans="1:12" x14ac:dyDescent="0.3">
      <c r="A119" s="2">
        <v>45174</v>
      </c>
      <c r="B119">
        <v>212.217529296875</v>
      </c>
      <c r="C119">
        <f t="shared" si="5"/>
        <v>1.7623092737015041E-3</v>
      </c>
      <c r="K119">
        <f t="shared" si="3"/>
        <v>478.50546264648438</v>
      </c>
      <c r="L119" s="5">
        <f t="shared" si="4"/>
        <v>-0.55649925473544815</v>
      </c>
    </row>
    <row r="120" spans="1:12" x14ac:dyDescent="0.3">
      <c r="A120" s="2">
        <v>45175</v>
      </c>
      <c r="B120">
        <v>212.5915222167969</v>
      </c>
      <c r="C120">
        <f t="shared" si="5"/>
        <v>7.1149345575685974E-2</v>
      </c>
      <c r="K120">
        <f t="shared" si="3"/>
        <v>478.50546264648438</v>
      </c>
      <c r="L120" s="5">
        <f t="shared" si="4"/>
        <v>-0.55571766925917487</v>
      </c>
    </row>
    <row r="121" spans="1:12" x14ac:dyDescent="0.3">
      <c r="A121" s="2">
        <v>45176</v>
      </c>
      <c r="B121">
        <v>227.71726989746091</v>
      </c>
      <c r="C121">
        <f t="shared" si="5"/>
        <v>2.9561946487859876E-2</v>
      </c>
      <c r="K121">
        <f t="shared" si="3"/>
        <v>478.50546264648438</v>
      </c>
      <c r="L121" s="5">
        <f t="shared" si="4"/>
        <v>-0.52410727217612474</v>
      </c>
    </row>
    <row r="122" spans="1:12" x14ac:dyDescent="0.3">
      <c r="A122" s="2">
        <v>45177</v>
      </c>
      <c r="B122">
        <v>234.44903564453119</v>
      </c>
      <c r="C122">
        <f t="shared" si="5"/>
        <v>-1.1166329490189447E-2</v>
      </c>
      <c r="K122">
        <f t="shared" si="3"/>
        <v>478.50546264648438</v>
      </c>
      <c r="L122" s="5">
        <f t="shared" si="4"/>
        <v>-0.51003895682223366</v>
      </c>
    </row>
    <row r="123" spans="1:12" x14ac:dyDescent="0.3">
      <c r="A123" s="2">
        <v>45180</v>
      </c>
      <c r="B123">
        <v>231.83110046386719</v>
      </c>
      <c r="C123">
        <f t="shared" si="5"/>
        <v>-2.9395885010501145E-2</v>
      </c>
      <c r="K123">
        <f t="shared" si="3"/>
        <v>478.50546264648438</v>
      </c>
      <c r="L123" s="5">
        <f t="shared" si="4"/>
        <v>-0.51551002326771356</v>
      </c>
    </row>
    <row r="124" spans="1:12" x14ac:dyDescent="0.3">
      <c r="A124" s="2">
        <v>45181</v>
      </c>
      <c r="B124">
        <v>225.01622009277341</v>
      </c>
      <c r="C124">
        <f t="shared" si="5"/>
        <v>3.2871572368610026E-2</v>
      </c>
      <c r="K124">
        <f t="shared" si="3"/>
        <v>478.50546264648438</v>
      </c>
      <c r="L124" s="5">
        <f t="shared" si="4"/>
        <v>-0.52975203491247624</v>
      </c>
    </row>
    <row r="125" spans="1:12" x14ac:dyDescent="0.3">
      <c r="A125" s="2">
        <v>45182</v>
      </c>
      <c r="B125">
        <v>232.41285705566409</v>
      </c>
      <c r="C125">
        <f t="shared" si="5"/>
        <v>-7.5092199283730079E-3</v>
      </c>
      <c r="K125">
        <f t="shared" si="3"/>
        <v>478.50546264648438</v>
      </c>
      <c r="L125" s="5">
        <f t="shared" si="4"/>
        <v>-0.51429424489691011</v>
      </c>
    </row>
    <row r="126" spans="1:12" x14ac:dyDescent="0.3">
      <c r="A126" s="2">
        <v>45183</v>
      </c>
      <c r="B126">
        <v>230.66761779785159</v>
      </c>
      <c r="C126">
        <f t="shared" si="5"/>
        <v>6.3050070738084824E-3</v>
      </c>
      <c r="K126">
        <f t="shared" si="3"/>
        <v>478.50546264648438</v>
      </c>
      <c r="L126" s="5">
        <f t="shared" si="4"/>
        <v>-0.51794151623245566</v>
      </c>
    </row>
    <row r="127" spans="1:12" x14ac:dyDescent="0.3">
      <c r="A127" s="2">
        <v>45184</v>
      </c>
      <c r="B127">
        <v>232.1219787597656</v>
      </c>
      <c r="C127">
        <f t="shared" si="5"/>
        <v>6.9817633650984456E-3</v>
      </c>
      <c r="K127">
        <f t="shared" si="3"/>
        <v>478.50546264648438</v>
      </c>
      <c r="L127" s="5">
        <f t="shared" si="4"/>
        <v>-0.51490213408231189</v>
      </c>
    </row>
    <row r="128" spans="1:12" x14ac:dyDescent="0.3">
      <c r="A128" s="2">
        <v>45187</v>
      </c>
      <c r="B128">
        <v>233.74259948730469</v>
      </c>
      <c r="C128">
        <f t="shared" si="5"/>
        <v>1.0844495450125681E-2</v>
      </c>
      <c r="K128">
        <f t="shared" si="3"/>
        <v>478.50546264648438</v>
      </c>
      <c r="L128" s="5">
        <f t="shared" si="4"/>
        <v>-0.51151529557356035</v>
      </c>
    </row>
    <row r="129" spans="1:12" x14ac:dyDescent="0.3">
      <c r="A129" s="2">
        <v>45189</v>
      </c>
      <c r="B129">
        <v>236.27742004394531</v>
      </c>
      <c r="C129">
        <f t="shared" si="5"/>
        <v>-1.3541903392624731E-2</v>
      </c>
      <c r="K129">
        <f t="shared" si="3"/>
        <v>478.50546264648438</v>
      </c>
      <c r="L129" s="5">
        <f t="shared" si="4"/>
        <v>-0.50621792541895183</v>
      </c>
    </row>
    <row r="130" spans="1:12" x14ac:dyDescent="0.3">
      <c r="A130" s="2">
        <v>45190</v>
      </c>
      <c r="B130">
        <v>233.07777404785159</v>
      </c>
      <c r="C130">
        <f t="shared" si="5"/>
        <v>1.0340370219676156E-2</v>
      </c>
      <c r="K130">
        <f t="shared" ref="K130:K193" si="6">MAX(B130:B869)</f>
        <v>478.50546264648438</v>
      </c>
      <c r="L130" s="5">
        <f t="shared" ref="L130:L193" si="7">B130/K130-1</f>
        <v>-0.51290467456993816</v>
      </c>
    </row>
    <row r="131" spans="1:12" x14ac:dyDescent="0.3">
      <c r="A131" s="2">
        <v>45191</v>
      </c>
      <c r="B131">
        <v>235.4878845214844</v>
      </c>
      <c r="C131">
        <f t="shared" ref="C131:C194" si="8">(B132-B131)/B131</f>
        <v>1.6587319041213945E-2</v>
      </c>
      <c r="K131">
        <f t="shared" si="6"/>
        <v>478.50546264648438</v>
      </c>
      <c r="L131" s="5">
        <f t="shared" si="7"/>
        <v>-0.50786792857271768</v>
      </c>
    </row>
    <row r="132" spans="1:12" x14ac:dyDescent="0.3">
      <c r="A132" s="2">
        <v>45194</v>
      </c>
      <c r="B132">
        <v>239.39399719238281</v>
      </c>
      <c r="C132">
        <f t="shared" si="8"/>
        <v>-4.5131836629978238E-3</v>
      </c>
      <c r="K132">
        <f t="shared" si="6"/>
        <v>478.50546264648438</v>
      </c>
      <c r="L132" s="5">
        <f t="shared" si="7"/>
        <v>-0.49970477689353987</v>
      </c>
    </row>
    <row r="133" spans="1:12" x14ac:dyDescent="0.3">
      <c r="A133" s="2">
        <v>45195</v>
      </c>
      <c r="B133">
        <v>238.3135681152344</v>
      </c>
      <c r="C133">
        <f t="shared" si="8"/>
        <v>1.6739148724577321E-2</v>
      </c>
      <c r="K133">
        <f t="shared" si="6"/>
        <v>478.50546264648438</v>
      </c>
      <c r="L133" s="5">
        <f t="shared" si="7"/>
        <v>-0.50196270112113983</v>
      </c>
    </row>
    <row r="134" spans="1:12" x14ac:dyDescent="0.3">
      <c r="A134" s="2">
        <v>45196</v>
      </c>
      <c r="B134">
        <v>242.302734375</v>
      </c>
      <c r="C134">
        <f t="shared" si="8"/>
        <v>-4.6299794855672333E-3</v>
      </c>
      <c r="K134">
        <f t="shared" si="6"/>
        <v>478.50546264648438</v>
      </c>
      <c r="L134" s="5">
        <f t="shared" si="7"/>
        <v>-0.49362598070481978</v>
      </c>
    </row>
    <row r="135" spans="1:12" x14ac:dyDescent="0.3">
      <c r="A135" s="2">
        <v>45197</v>
      </c>
      <c r="B135">
        <v>241.1808776855469</v>
      </c>
      <c r="C135">
        <f t="shared" si="8"/>
        <v>1.722937385289032E-2</v>
      </c>
      <c r="K135">
        <f t="shared" si="6"/>
        <v>478.50546264648438</v>
      </c>
      <c r="L135" s="5">
        <f t="shared" si="7"/>
        <v>-0.49597048202618077</v>
      </c>
    </row>
    <row r="136" spans="1:12" x14ac:dyDescent="0.3">
      <c r="A136" s="2">
        <v>45198</v>
      </c>
      <c r="B136">
        <v>245.3362731933594</v>
      </c>
      <c r="C136">
        <f t="shared" si="8"/>
        <v>-1.1179064429340357E-2</v>
      </c>
      <c r="K136">
        <f t="shared" si="6"/>
        <v>478.50546264648438</v>
      </c>
      <c r="L136" s="5">
        <f t="shared" si="7"/>
        <v>-0.48728636902811773</v>
      </c>
    </row>
    <row r="137" spans="1:12" x14ac:dyDescent="0.3">
      <c r="A137" s="2">
        <v>45202</v>
      </c>
      <c r="B137">
        <v>242.59364318847659</v>
      </c>
      <c r="C137">
        <f t="shared" si="8"/>
        <v>-1.3531994638275886E-2</v>
      </c>
      <c r="K137">
        <f t="shared" si="6"/>
        <v>478.50546264648438</v>
      </c>
      <c r="L137" s="5">
        <f t="shared" si="7"/>
        <v>-0.49301802774255343</v>
      </c>
    </row>
    <row r="138" spans="1:12" x14ac:dyDescent="0.3">
      <c r="A138" s="2">
        <v>45203</v>
      </c>
      <c r="B138">
        <v>239.31086730957031</v>
      </c>
      <c r="C138">
        <f t="shared" si="8"/>
        <v>4.8619958444162696E-3</v>
      </c>
      <c r="K138">
        <f t="shared" si="6"/>
        <v>478.50546264648438</v>
      </c>
      <c r="L138" s="5">
        <f t="shared" si="7"/>
        <v>-0.4998785050728437</v>
      </c>
    </row>
    <row r="139" spans="1:12" x14ac:dyDescent="0.3">
      <c r="A139" s="2">
        <v>45204</v>
      </c>
      <c r="B139">
        <v>240.4743957519531</v>
      </c>
      <c r="C139">
        <f t="shared" si="8"/>
        <v>-5.3567542083524369E-3</v>
      </c>
      <c r="K139">
        <f t="shared" si="6"/>
        <v>478.50546264648438</v>
      </c>
      <c r="L139" s="5">
        <f t="shared" si="7"/>
        <v>-0.49744691644280459</v>
      </c>
    </row>
    <row r="140" spans="1:12" x14ac:dyDescent="0.3">
      <c r="A140" s="2">
        <v>45205</v>
      </c>
      <c r="B140">
        <v>239.18623352050781</v>
      </c>
      <c r="C140">
        <f t="shared" si="8"/>
        <v>0</v>
      </c>
      <c r="K140">
        <f t="shared" si="6"/>
        <v>478.50546264648438</v>
      </c>
      <c r="L140" s="5">
        <f t="shared" si="7"/>
        <v>-0.50013896978807004</v>
      </c>
    </row>
    <row r="141" spans="1:12" x14ac:dyDescent="0.3">
      <c r="A141" s="2">
        <v>45208</v>
      </c>
      <c r="B141">
        <v>239.18623352050781</v>
      </c>
      <c r="C141">
        <f t="shared" si="8"/>
        <v>5.3683024685510068E-2</v>
      </c>
      <c r="K141">
        <f t="shared" si="6"/>
        <v>478.50546264648438</v>
      </c>
      <c r="L141" s="5">
        <f t="shared" si="7"/>
        <v>-0.50013896978807004</v>
      </c>
    </row>
    <row r="142" spans="1:12" x14ac:dyDescent="0.3">
      <c r="A142" s="2">
        <v>45209</v>
      </c>
      <c r="B142">
        <v>252.02647399902341</v>
      </c>
      <c r="C142">
        <f t="shared" si="8"/>
        <v>-4.616691349605284E-3</v>
      </c>
      <c r="K142">
        <f t="shared" si="6"/>
        <v>478.50546264648438</v>
      </c>
      <c r="L142" s="5">
        <f t="shared" si="7"/>
        <v>-0.47330491776387862</v>
      </c>
    </row>
    <row r="143" spans="1:12" x14ac:dyDescent="0.3">
      <c r="A143" s="2">
        <v>45210</v>
      </c>
      <c r="B143">
        <v>250.8629455566406</v>
      </c>
      <c r="C143">
        <f t="shared" si="8"/>
        <v>1.7724159417012463E-2</v>
      </c>
      <c r="K143">
        <f t="shared" si="6"/>
        <v>478.50546264648438</v>
      </c>
      <c r="L143" s="5">
        <f t="shared" si="7"/>
        <v>-0.47573650639391774</v>
      </c>
    </row>
    <row r="144" spans="1:12" x14ac:dyDescent="0.3">
      <c r="A144" s="2">
        <v>45211</v>
      </c>
      <c r="B144">
        <v>255.30928039550781</v>
      </c>
      <c r="C144">
        <f t="shared" si="8"/>
        <v>2.4411979740076905E-3</v>
      </c>
      <c r="K144">
        <f t="shared" si="6"/>
        <v>478.50546264648438</v>
      </c>
      <c r="L144" s="5">
        <f t="shared" si="7"/>
        <v>-0.46644437665672367</v>
      </c>
    </row>
    <row r="145" spans="1:12" x14ac:dyDescent="0.3">
      <c r="A145" s="2">
        <v>45212</v>
      </c>
      <c r="B145">
        <v>255.93254089355469</v>
      </c>
      <c r="C145">
        <f t="shared" si="8"/>
        <v>1.3151594591122112E-2</v>
      </c>
      <c r="K145">
        <f t="shared" si="6"/>
        <v>478.50546264648438</v>
      </c>
      <c r="L145" s="5">
        <f t="shared" si="7"/>
        <v>-0.46514186174999761</v>
      </c>
    </row>
    <row r="146" spans="1:12" x14ac:dyDescent="0.3">
      <c r="A146" s="2">
        <v>45215</v>
      </c>
      <c r="B146">
        <v>259.2984619140625</v>
      </c>
      <c r="C146">
        <f t="shared" si="8"/>
        <v>1.730767691708748E-2</v>
      </c>
      <c r="K146">
        <f t="shared" si="6"/>
        <v>478.50546264648438</v>
      </c>
      <c r="L146" s="5">
        <f t="shared" si="7"/>
        <v>-0.45810762435197128</v>
      </c>
    </row>
    <row r="147" spans="1:12" x14ac:dyDescent="0.3">
      <c r="A147" s="2">
        <v>45216</v>
      </c>
      <c r="B147">
        <v>263.78631591796881</v>
      </c>
      <c r="C147">
        <f t="shared" si="8"/>
        <v>-1.4177874186553129E-3</v>
      </c>
      <c r="K147">
        <f t="shared" si="6"/>
        <v>478.50546264648438</v>
      </c>
      <c r="L147" s="5">
        <f t="shared" si="7"/>
        <v>-0.44872872619042214</v>
      </c>
    </row>
    <row r="148" spans="1:12" x14ac:dyDescent="0.3">
      <c r="A148" s="2">
        <v>45217</v>
      </c>
      <c r="B148">
        <v>263.41232299804688</v>
      </c>
      <c r="C148">
        <f t="shared" si="8"/>
        <v>-6.7834135338084535E-3</v>
      </c>
      <c r="K148">
        <f t="shared" si="6"/>
        <v>478.50546264648438</v>
      </c>
      <c r="L148" s="5">
        <f t="shared" si="7"/>
        <v>-0.44951031166669553</v>
      </c>
    </row>
    <row r="149" spans="1:12" x14ac:dyDescent="0.3">
      <c r="A149" s="2">
        <v>45218</v>
      </c>
      <c r="B149">
        <v>261.62548828125</v>
      </c>
      <c r="C149">
        <f t="shared" si="8"/>
        <v>-7.6238687666687196E-3</v>
      </c>
      <c r="K149">
        <f t="shared" si="6"/>
        <v>478.50546264648438</v>
      </c>
      <c r="L149" s="5">
        <f t="shared" si="7"/>
        <v>-0.45324451086875761</v>
      </c>
    </row>
    <row r="150" spans="1:12" x14ac:dyDescent="0.3">
      <c r="A150" s="2">
        <v>45219</v>
      </c>
      <c r="B150">
        <v>259.63088989257813</v>
      </c>
      <c r="C150">
        <f t="shared" si="8"/>
        <v>-2.0166357432808708E-2</v>
      </c>
      <c r="K150">
        <f t="shared" si="6"/>
        <v>478.50546264648438</v>
      </c>
      <c r="L150" s="5">
        <f t="shared" si="7"/>
        <v>-0.45741290296534998</v>
      </c>
    </row>
    <row r="151" spans="1:12" x14ac:dyDescent="0.3">
      <c r="A151" s="2">
        <v>45222</v>
      </c>
      <c r="B151">
        <v>254.39508056640619</v>
      </c>
      <c r="C151">
        <f t="shared" si="8"/>
        <v>1.3720939662078692E-2</v>
      </c>
      <c r="K151">
        <f t="shared" si="6"/>
        <v>478.50546264648438</v>
      </c>
      <c r="L151" s="5">
        <f t="shared" si="7"/>
        <v>-0.46835490830258075</v>
      </c>
    </row>
    <row r="152" spans="1:12" x14ac:dyDescent="0.3">
      <c r="A152" s="2">
        <v>45224</v>
      </c>
      <c r="B152">
        <v>257.8856201171875</v>
      </c>
      <c r="C152">
        <f t="shared" si="8"/>
        <v>-1.6274385247744494E-2</v>
      </c>
      <c r="K152">
        <f t="shared" si="6"/>
        <v>478.50546264648438</v>
      </c>
      <c r="L152" s="5">
        <f t="shared" si="7"/>
        <v>-0.4610602380777602</v>
      </c>
    </row>
    <row r="153" spans="1:12" x14ac:dyDescent="0.3">
      <c r="A153" s="2">
        <v>45225</v>
      </c>
      <c r="B153">
        <v>253.6886901855469</v>
      </c>
      <c r="C153">
        <f t="shared" si="8"/>
        <v>2.8500983595198221E-2</v>
      </c>
      <c r="K153">
        <f t="shared" si="6"/>
        <v>478.50546264648438</v>
      </c>
      <c r="L153" s="5">
        <f t="shared" si="7"/>
        <v>-0.46983115138861042</v>
      </c>
    </row>
    <row r="154" spans="1:12" x14ac:dyDescent="0.3">
      <c r="A154" s="2">
        <v>45226</v>
      </c>
      <c r="B154">
        <v>260.9190673828125</v>
      </c>
      <c r="C154">
        <f t="shared" si="8"/>
        <v>1.9111567106396457E-3</v>
      </c>
      <c r="K154">
        <f t="shared" si="6"/>
        <v>478.50546264648438</v>
      </c>
      <c r="L154" s="5">
        <f t="shared" si="7"/>
        <v>-0.45472081773165207</v>
      </c>
    </row>
    <row r="155" spans="1:12" x14ac:dyDescent="0.3">
      <c r="A155" s="2">
        <v>45229</v>
      </c>
      <c r="B155">
        <v>261.417724609375</v>
      </c>
      <c r="C155">
        <f t="shared" si="8"/>
        <v>-9.5363884019585964E-4</v>
      </c>
      <c r="K155">
        <f t="shared" si="6"/>
        <v>478.50546264648438</v>
      </c>
      <c r="L155" s="5">
        <f t="shared" si="7"/>
        <v>-0.45367870376328778</v>
      </c>
    </row>
    <row r="156" spans="1:12" x14ac:dyDescent="0.3">
      <c r="A156" s="2">
        <v>45230</v>
      </c>
      <c r="B156">
        <v>261.16842651367188</v>
      </c>
      <c r="C156">
        <f t="shared" si="8"/>
        <v>-2.4184774257717985E-2</v>
      </c>
      <c r="K156">
        <f t="shared" si="6"/>
        <v>478.50546264648438</v>
      </c>
      <c r="L156" s="5">
        <f t="shared" si="7"/>
        <v>-0.45419969697060536</v>
      </c>
    </row>
    <row r="157" spans="1:12" x14ac:dyDescent="0.3">
      <c r="A157" s="2">
        <v>45231</v>
      </c>
      <c r="B157">
        <v>254.85212707519531</v>
      </c>
      <c r="C157">
        <f t="shared" si="8"/>
        <v>7.1744149753661078E-3</v>
      </c>
      <c r="K157">
        <f t="shared" si="6"/>
        <v>478.50546264648438</v>
      </c>
      <c r="L157" s="5">
        <f t="shared" si="7"/>
        <v>-0.46739975408916523</v>
      </c>
    </row>
    <row r="158" spans="1:12" x14ac:dyDescent="0.3">
      <c r="A158" s="2">
        <v>45232</v>
      </c>
      <c r="B158">
        <v>256.6805419921875</v>
      </c>
      <c r="C158">
        <f t="shared" si="8"/>
        <v>1.019913664493774E-2</v>
      </c>
      <c r="K158">
        <f t="shared" si="6"/>
        <v>478.50546264648438</v>
      </c>
      <c r="L158" s="5">
        <f t="shared" si="7"/>
        <v>-0.46357865890901895</v>
      </c>
    </row>
    <row r="159" spans="1:12" x14ac:dyDescent="0.3">
      <c r="A159" s="2">
        <v>45233</v>
      </c>
      <c r="B159">
        <v>259.2984619140625</v>
      </c>
      <c r="C159">
        <f t="shared" si="8"/>
        <v>1.4583322544820754E-2</v>
      </c>
      <c r="K159">
        <f t="shared" si="6"/>
        <v>478.50546264648438</v>
      </c>
      <c r="L159" s="5">
        <f t="shared" si="7"/>
        <v>-0.45810762435197128</v>
      </c>
    </row>
    <row r="160" spans="1:12" x14ac:dyDescent="0.3">
      <c r="A160" s="2">
        <v>45236</v>
      </c>
      <c r="B160">
        <v>263.07989501953119</v>
      </c>
      <c r="C160">
        <f t="shared" si="8"/>
        <v>-7.2657338779818564E-3</v>
      </c>
      <c r="K160">
        <f t="shared" si="6"/>
        <v>478.50546264648438</v>
      </c>
      <c r="L160" s="5">
        <f t="shared" si="7"/>
        <v>-0.45020503305331683</v>
      </c>
    </row>
    <row r="161" spans="1:12" x14ac:dyDescent="0.3">
      <c r="A161" s="2">
        <v>45237</v>
      </c>
      <c r="B161">
        <v>261.16842651367188</v>
      </c>
      <c r="C161">
        <f t="shared" si="8"/>
        <v>1.0023759147470638E-2</v>
      </c>
      <c r="K161">
        <f t="shared" si="6"/>
        <v>478.50546264648438</v>
      </c>
      <c r="L161" s="5">
        <f t="shared" si="7"/>
        <v>-0.45419969697060536</v>
      </c>
    </row>
    <row r="162" spans="1:12" x14ac:dyDescent="0.3">
      <c r="A162" s="2">
        <v>45238</v>
      </c>
      <c r="B162">
        <v>263.78631591796881</v>
      </c>
      <c r="C162">
        <f t="shared" si="8"/>
        <v>1.9376312364424726E-2</v>
      </c>
      <c r="K162">
        <f t="shared" si="6"/>
        <v>478.50546264648438</v>
      </c>
      <c r="L162" s="5">
        <f t="shared" si="7"/>
        <v>-0.44872872619042214</v>
      </c>
    </row>
    <row r="163" spans="1:12" x14ac:dyDescent="0.3">
      <c r="A163" s="2">
        <v>45239</v>
      </c>
      <c r="B163">
        <v>268.89752197265619</v>
      </c>
      <c r="C163">
        <f t="shared" si="8"/>
        <v>-4.6361270169401221E-4</v>
      </c>
      <c r="K163">
        <f t="shared" si="6"/>
        <v>478.50546264648438</v>
      </c>
      <c r="L163" s="5">
        <f t="shared" si="7"/>
        <v>-0.43804712179155347</v>
      </c>
    </row>
    <row r="164" spans="1:12" x14ac:dyDescent="0.3">
      <c r="A164" s="2">
        <v>45240</v>
      </c>
      <c r="B164">
        <v>268.77285766601563</v>
      </c>
      <c r="C164">
        <f t="shared" si="8"/>
        <v>8.0241176798530378E-2</v>
      </c>
      <c r="K164">
        <f t="shared" si="6"/>
        <v>478.50546264648438</v>
      </c>
      <c r="L164" s="5">
        <f t="shared" si="7"/>
        <v>-0.43830765028364438</v>
      </c>
    </row>
    <row r="165" spans="1:12" x14ac:dyDescent="0.3">
      <c r="A165" s="2">
        <v>45243</v>
      </c>
      <c r="B165">
        <v>290.33950805664063</v>
      </c>
      <c r="C165">
        <f t="shared" si="8"/>
        <v>3.5781537327967817E-3</v>
      </c>
      <c r="K165">
        <f t="shared" si="6"/>
        <v>478.50546264648438</v>
      </c>
      <c r="L165" s="5">
        <f t="shared" si="7"/>
        <v>-0.39323679514367238</v>
      </c>
    </row>
    <row r="166" spans="1:12" x14ac:dyDescent="0.3">
      <c r="A166" s="2">
        <v>45245</v>
      </c>
      <c r="B166">
        <v>291.37838745117188</v>
      </c>
      <c r="C166">
        <f t="shared" si="8"/>
        <v>-1.3691092070947021E-2</v>
      </c>
      <c r="K166">
        <f t="shared" si="6"/>
        <v>478.50546264648438</v>
      </c>
      <c r="L166" s="5">
        <f t="shared" si="7"/>
        <v>-0.39106570311729194</v>
      </c>
    </row>
    <row r="167" spans="1:12" x14ac:dyDescent="0.3">
      <c r="A167" s="2">
        <v>45246</v>
      </c>
      <c r="B167">
        <v>287.38909912109381</v>
      </c>
      <c r="C167">
        <f t="shared" si="8"/>
        <v>-1.5903935430257744E-3</v>
      </c>
      <c r="K167">
        <f t="shared" si="6"/>
        <v>478.50546264648438</v>
      </c>
      <c r="L167" s="5">
        <f t="shared" si="7"/>
        <v>-0.39940267864107049</v>
      </c>
    </row>
    <row r="168" spans="1:12" x14ac:dyDescent="0.3">
      <c r="A168" s="2">
        <v>45247</v>
      </c>
      <c r="B168">
        <v>286.93203735351563</v>
      </c>
      <c r="C168">
        <f t="shared" si="8"/>
        <v>7.2410797102674708E-3</v>
      </c>
      <c r="K168">
        <f t="shared" si="6"/>
        <v>478.50546264648438</v>
      </c>
      <c r="L168" s="5">
        <f t="shared" si="7"/>
        <v>-0.40035786474291835</v>
      </c>
    </row>
    <row r="169" spans="1:12" x14ac:dyDescent="0.3">
      <c r="A169" s="2">
        <v>45250</v>
      </c>
      <c r="B169">
        <v>289.00973510742188</v>
      </c>
      <c r="C169">
        <f t="shared" si="8"/>
        <v>5.1129476653835985E-3</v>
      </c>
      <c r="K169">
        <f t="shared" si="6"/>
        <v>478.50546264648438</v>
      </c>
      <c r="L169" s="5">
        <f t="shared" si="7"/>
        <v>-0.39601580824388682</v>
      </c>
    </row>
    <row r="170" spans="1:12" x14ac:dyDescent="0.3">
      <c r="A170" s="2">
        <v>45251</v>
      </c>
      <c r="B170">
        <v>290.4874267578125</v>
      </c>
      <c r="C170">
        <f t="shared" si="8"/>
        <v>-6.1341411193890924E-3</v>
      </c>
      <c r="K170">
        <f t="shared" si="6"/>
        <v>478.50546264648438</v>
      </c>
      <c r="L170" s="5">
        <f t="shared" si="7"/>
        <v>-0.39292766868071882</v>
      </c>
    </row>
    <row r="171" spans="1:12" x14ac:dyDescent="0.3">
      <c r="A171" s="2">
        <v>45252</v>
      </c>
      <c r="B171">
        <v>288.70553588867188</v>
      </c>
      <c r="C171">
        <f t="shared" si="8"/>
        <v>6.9244082351271555E-3</v>
      </c>
      <c r="K171">
        <f t="shared" si="6"/>
        <v>478.50546264648438</v>
      </c>
      <c r="L171" s="5">
        <f t="shared" si="7"/>
        <v>-0.3966515360307078</v>
      </c>
    </row>
    <row r="172" spans="1:12" x14ac:dyDescent="0.3">
      <c r="A172" s="2">
        <v>45253</v>
      </c>
      <c r="B172">
        <v>290.70465087890619</v>
      </c>
      <c r="C172">
        <f t="shared" si="8"/>
        <v>-4.9333337532449359E-3</v>
      </c>
      <c r="K172">
        <f t="shared" si="6"/>
        <v>478.50546264648438</v>
      </c>
      <c r="L172" s="5">
        <f t="shared" si="7"/>
        <v>-0.39247370495814748</v>
      </c>
    </row>
    <row r="173" spans="1:12" x14ac:dyDescent="0.3">
      <c r="A173" s="2">
        <v>45254</v>
      </c>
      <c r="B173">
        <v>289.2705078125</v>
      </c>
      <c r="C173">
        <f t="shared" si="8"/>
        <v>2.7493940171430496E-2</v>
      </c>
      <c r="K173">
        <f t="shared" si="6"/>
        <v>478.50546264648438</v>
      </c>
      <c r="L173" s="5">
        <f t="shared" si="7"/>
        <v>-0.39547083493546131</v>
      </c>
    </row>
    <row r="174" spans="1:12" x14ac:dyDescent="0.3">
      <c r="A174" s="2">
        <v>45258</v>
      </c>
      <c r="B174">
        <v>297.22369384765619</v>
      </c>
      <c r="C174">
        <f t="shared" si="8"/>
        <v>1.1698841389627956E-3</v>
      </c>
      <c r="K174">
        <f t="shared" si="6"/>
        <v>478.50546264648438</v>
      </c>
      <c r="L174" s="5">
        <f t="shared" si="7"/>
        <v>-0.37884994623929202</v>
      </c>
    </row>
    <row r="175" spans="1:12" x14ac:dyDescent="0.3">
      <c r="A175" s="2">
        <v>45259</v>
      </c>
      <c r="B175">
        <v>297.5714111328125</v>
      </c>
      <c r="C175">
        <f t="shared" si="8"/>
        <v>-5.8415599918776057E-4</v>
      </c>
      <c r="K175">
        <f t="shared" si="6"/>
        <v>478.50546264648438</v>
      </c>
      <c r="L175" s="5">
        <f t="shared" si="7"/>
        <v>-0.37812327264348156</v>
      </c>
    </row>
    <row r="176" spans="1:12" x14ac:dyDescent="0.3">
      <c r="A176" s="2">
        <v>45260</v>
      </c>
      <c r="B176">
        <v>297.3975830078125</v>
      </c>
      <c r="C176">
        <f t="shared" si="8"/>
        <v>1.3152115868407626E-2</v>
      </c>
      <c r="K176">
        <f t="shared" si="6"/>
        <v>478.50546264648438</v>
      </c>
      <c r="L176" s="5">
        <f t="shared" si="7"/>
        <v>-0.37848654566452211</v>
      </c>
    </row>
    <row r="177" spans="1:12" x14ac:dyDescent="0.3">
      <c r="A177" s="2">
        <v>45261</v>
      </c>
      <c r="B177">
        <v>301.30899047851563</v>
      </c>
      <c r="C177">
        <f t="shared" si="8"/>
        <v>2.3222140779170636E-2</v>
      </c>
      <c r="K177">
        <f t="shared" si="6"/>
        <v>478.50546264648438</v>
      </c>
      <c r="L177" s="5">
        <f t="shared" si="7"/>
        <v>-0.37031232869932762</v>
      </c>
    </row>
    <row r="178" spans="1:12" x14ac:dyDescent="0.3">
      <c r="A178" s="2">
        <v>45264</v>
      </c>
      <c r="B178">
        <v>308.3060302734375</v>
      </c>
      <c r="C178">
        <f t="shared" si="8"/>
        <v>2.3965184311480286E-3</v>
      </c>
      <c r="K178">
        <f t="shared" si="6"/>
        <v>478.50546264648438</v>
      </c>
      <c r="L178" s="5">
        <f t="shared" si="7"/>
        <v>-0.35568963294947531</v>
      </c>
    </row>
    <row r="179" spans="1:12" x14ac:dyDescent="0.3">
      <c r="A179" s="2">
        <v>45265</v>
      </c>
      <c r="B179">
        <v>309.04489135742188</v>
      </c>
      <c r="C179">
        <f t="shared" si="8"/>
        <v>-9.5627604541343482E-3</v>
      </c>
      <c r="K179">
        <f t="shared" si="6"/>
        <v>478.50546264648438</v>
      </c>
      <c r="L179" s="5">
        <f t="shared" si="7"/>
        <v>-0.35414553127945891</v>
      </c>
    </row>
    <row r="180" spans="1:12" x14ac:dyDescent="0.3">
      <c r="A180" s="2">
        <v>45266</v>
      </c>
      <c r="B180">
        <v>306.08956909179688</v>
      </c>
      <c r="C180">
        <f t="shared" si="8"/>
        <v>-5.6789953841213255E-4</v>
      </c>
      <c r="K180">
        <f t="shared" si="6"/>
        <v>478.50546264648438</v>
      </c>
      <c r="L180" s="5">
        <f t="shared" si="7"/>
        <v>-0.36032168285206567</v>
      </c>
    </row>
    <row r="181" spans="1:12" x14ac:dyDescent="0.3">
      <c r="A181" s="2">
        <v>45267</v>
      </c>
      <c r="B181">
        <v>305.91574096679688</v>
      </c>
      <c r="C181">
        <f t="shared" si="8"/>
        <v>-2.699354874236439E-3</v>
      </c>
      <c r="K181">
        <f t="shared" si="6"/>
        <v>478.50546264648438</v>
      </c>
      <c r="L181" s="5">
        <f t="shared" si="7"/>
        <v>-0.36068495587310623</v>
      </c>
    </row>
    <row r="182" spans="1:12" x14ac:dyDescent="0.3">
      <c r="A182" s="2">
        <v>45268</v>
      </c>
      <c r="B182">
        <v>305.0899658203125</v>
      </c>
      <c r="C182">
        <f t="shared" si="8"/>
        <v>7.5499230383582003E-3</v>
      </c>
      <c r="K182">
        <f t="shared" si="6"/>
        <v>478.50546264648438</v>
      </c>
      <c r="L182" s="5">
        <f t="shared" si="7"/>
        <v>-0.3624106940536429</v>
      </c>
    </row>
    <row r="183" spans="1:12" x14ac:dyDescent="0.3">
      <c r="A183" s="2">
        <v>45271</v>
      </c>
      <c r="B183">
        <v>307.39337158203119</v>
      </c>
      <c r="C183">
        <f t="shared" si="8"/>
        <v>-1.7390033581972868E-2</v>
      </c>
      <c r="K183">
        <f t="shared" si="6"/>
        <v>478.50546264648438</v>
      </c>
      <c r="L183" s="5">
        <f t="shared" si="7"/>
        <v>-0.35759694386366758</v>
      </c>
    </row>
    <row r="184" spans="1:12" x14ac:dyDescent="0.3">
      <c r="A184" s="2">
        <v>45272</v>
      </c>
      <c r="B184">
        <v>302.04779052734381</v>
      </c>
      <c r="C184">
        <f t="shared" si="8"/>
        <v>-6.6186397335412225E-3</v>
      </c>
      <c r="K184">
        <f t="shared" si="6"/>
        <v>478.50546264648438</v>
      </c>
      <c r="L184" s="5">
        <f t="shared" si="7"/>
        <v>-0.36876835458304047</v>
      </c>
    </row>
    <row r="185" spans="1:12" x14ac:dyDescent="0.3">
      <c r="A185" s="2">
        <v>45273</v>
      </c>
      <c r="B185">
        <v>300.04864501953119</v>
      </c>
      <c r="C185">
        <f t="shared" si="8"/>
        <v>6.952404568188685E-3</v>
      </c>
      <c r="K185">
        <f t="shared" si="6"/>
        <v>478.50546264648438</v>
      </c>
      <c r="L185" s="5">
        <f t="shared" si="7"/>
        <v>-0.37294624943246579</v>
      </c>
    </row>
    <row r="186" spans="1:12" x14ac:dyDescent="0.3">
      <c r="A186" s="2">
        <v>45274</v>
      </c>
      <c r="B186">
        <v>302.13470458984381</v>
      </c>
      <c r="C186">
        <f t="shared" si="8"/>
        <v>6.9045033761430778E-3</v>
      </c>
      <c r="K186">
        <f t="shared" si="6"/>
        <v>478.50546264648438</v>
      </c>
      <c r="L186" s="5">
        <f t="shared" si="7"/>
        <v>-0.36858671807252019</v>
      </c>
    </row>
    <row r="187" spans="1:12" x14ac:dyDescent="0.3">
      <c r="A187" s="2">
        <v>45275</v>
      </c>
      <c r="B187">
        <v>304.22079467773438</v>
      </c>
      <c r="C187">
        <f t="shared" si="8"/>
        <v>-6.7143110937053462E-3</v>
      </c>
      <c r="K187">
        <f t="shared" si="6"/>
        <v>478.50546264648438</v>
      </c>
      <c r="L187" s="5">
        <f t="shared" si="7"/>
        <v>-0.36422712293571036</v>
      </c>
    </row>
    <row r="188" spans="1:12" x14ac:dyDescent="0.3">
      <c r="A188" s="2">
        <v>45278</v>
      </c>
      <c r="B188">
        <v>302.17816162109381</v>
      </c>
      <c r="C188">
        <f t="shared" si="8"/>
        <v>5.5515708599287353E-2</v>
      </c>
      <c r="K188">
        <f t="shared" si="6"/>
        <v>478.50546264648438</v>
      </c>
      <c r="L188" s="5">
        <f t="shared" si="7"/>
        <v>-0.36849589981726005</v>
      </c>
    </row>
    <row r="189" spans="1:12" x14ac:dyDescent="0.3">
      <c r="A189" s="2">
        <v>45279</v>
      </c>
      <c r="B189">
        <v>318.95379638671881</v>
      </c>
      <c r="C189">
        <f t="shared" si="8"/>
        <v>-4.0332573058088225E-2</v>
      </c>
      <c r="K189">
        <f t="shared" si="6"/>
        <v>478.50546264648438</v>
      </c>
      <c r="L189" s="5">
        <f t="shared" si="7"/>
        <v>-0.33343750221225987</v>
      </c>
    </row>
    <row r="190" spans="1:12" x14ac:dyDescent="0.3">
      <c r="A190" s="2">
        <v>45280</v>
      </c>
      <c r="B190">
        <v>306.08956909179688</v>
      </c>
      <c r="C190">
        <f t="shared" si="8"/>
        <v>9.513114880114474E-3</v>
      </c>
      <c r="K190">
        <f t="shared" si="6"/>
        <v>478.50546264648438</v>
      </c>
      <c r="L190" s="5">
        <f t="shared" si="7"/>
        <v>-0.36032168285206567</v>
      </c>
    </row>
    <row r="191" spans="1:12" x14ac:dyDescent="0.3">
      <c r="A191" s="2">
        <v>45281</v>
      </c>
      <c r="B191">
        <v>309.00143432617188</v>
      </c>
      <c r="C191">
        <f t="shared" si="8"/>
        <v>2.1800115926753807E-2</v>
      </c>
      <c r="K191">
        <f t="shared" si="6"/>
        <v>478.50546264648438</v>
      </c>
      <c r="L191" s="5">
        <f t="shared" si="7"/>
        <v>-0.35423634953471905</v>
      </c>
    </row>
    <row r="192" spans="1:12" x14ac:dyDescent="0.3">
      <c r="A192" s="2">
        <v>45282</v>
      </c>
      <c r="B192">
        <v>315.73770141601563</v>
      </c>
      <c r="C192">
        <f t="shared" si="8"/>
        <v>7.7083204258844374E-3</v>
      </c>
      <c r="K192">
        <f t="shared" si="6"/>
        <v>478.50546264648438</v>
      </c>
      <c r="L192" s="5">
        <f t="shared" si="7"/>
        <v>-0.34015862709329225</v>
      </c>
    </row>
    <row r="193" spans="1:12" x14ac:dyDescent="0.3">
      <c r="A193" s="2">
        <v>45286</v>
      </c>
      <c r="B193">
        <v>318.1715087890625</v>
      </c>
      <c r="C193">
        <f t="shared" si="8"/>
        <v>-1.229348914102302E-3</v>
      </c>
      <c r="K193">
        <f t="shared" si="6"/>
        <v>478.50546264648438</v>
      </c>
      <c r="L193" s="5">
        <f t="shared" si="7"/>
        <v>-0.33507235836067184</v>
      </c>
    </row>
    <row r="194" spans="1:12" x14ac:dyDescent="0.3">
      <c r="A194" s="2">
        <v>45287</v>
      </c>
      <c r="B194">
        <v>317.78036499023438</v>
      </c>
      <c r="C194">
        <f t="shared" si="8"/>
        <v>4.1985678131824682E-2</v>
      </c>
      <c r="K194">
        <f t="shared" ref="K194:K257" si="9">MAX(B194:B933)</f>
        <v>478.50546264648438</v>
      </c>
      <c r="L194" s="5">
        <f t="shared" ref="L194:L257" si="10">B194/K194-1</f>
        <v>-0.33588978643487777</v>
      </c>
    </row>
    <row r="195" spans="1:12" x14ac:dyDescent="0.3">
      <c r="A195" s="2">
        <v>45288</v>
      </c>
      <c r="B195">
        <v>331.12258911132813</v>
      </c>
      <c r="C195">
        <f t="shared" ref="C195:C258" si="11">(B196-B195)/B195</f>
        <v>-1.2993739761157027E-2</v>
      </c>
      <c r="K195">
        <f t="shared" si="9"/>
        <v>478.50546264648438</v>
      </c>
      <c r="L195" s="5">
        <f t="shared" si="10"/>
        <v>-0.30800666876407512</v>
      </c>
    </row>
    <row r="196" spans="1:12" x14ac:dyDescent="0.3">
      <c r="A196" s="2">
        <v>45289</v>
      </c>
      <c r="B196">
        <v>326.820068359375</v>
      </c>
      <c r="C196">
        <f t="shared" si="11"/>
        <v>1.542546436535179E-2</v>
      </c>
      <c r="K196">
        <f t="shared" si="9"/>
        <v>478.50546264648438</v>
      </c>
      <c r="L196" s="5">
        <f t="shared" si="10"/>
        <v>-0.31699825002661086</v>
      </c>
    </row>
    <row r="197" spans="1:12" x14ac:dyDescent="0.3">
      <c r="A197" s="2">
        <v>45292</v>
      </c>
      <c r="B197">
        <v>331.86141967773438</v>
      </c>
      <c r="C197">
        <f t="shared" si="11"/>
        <v>2.8417936196225367E-2</v>
      </c>
      <c r="K197">
        <f t="shared" si="9"/>
        <v>478.50546264648438</v>
      </c>
      <c r="L197" s="5">
        <f t="shared" si="10"/>
        <v>-0.30646263087092351</v>
      </c>
    </row>
    <row r="198" spans="1:12" x14ac:dyDescent="0.3">
      <c r="A198" s="2">
        <v>45293</v>
      </c>
      <c r="B198">
        <v>341.292236328125</v>
      </c>
      <c r="C198">
        <f t="shared" si="11"/>
        <v>-2.0629028715968504E-2</v>
      </c>
      <c r="K198">
        <f t="shared" si="9"/>
        <v>478.50546264648438</v>
      </c>
      <c r="L198" s="5">
        <f t="shared" si="10"/>
        <v>-0.28675373016531536</v>
      </c>
    </row>
    <row r="199" spans="1:12" x14ac:dyDescent="0.3">
      <c r="A199" s="2">
        <v>45294</v>
      </c>
      <c r="B199">
        <v>334.251708984375</v>
      </c>
      <c r="C199">
        <f t="shared" si="11"/>
        <v>5.2014286809899972E-4</v>
      </c>
      <c r="K199">
        <f t="shared" si="9"/>
        <v>478.50546264648438</v>
      </c>
      <c r="L199" s="5">
        <f t="shared" si="10"/>
        <v>-0.30146730794729248</v>
      </c>
    </row>
    <row r="200" spans="1:12" x14ac:dyDescent="0.3">
      <c r="A200" s="2">
        <v>45295</v>
      </c>
      <c r="B200">
        <v>334.42556762695313</v>
      </c>
      <c r="C200">
        <f t="shared" si="11"/>
        <v>-1.299361762335871E-3</v>
      </c>
      <c r="K200">
        <f t="shared" si="9"/>
        <v>478.50546264648438</v>
      </c>
      <c r="L200" s="5">
        <f t="shared" si="10"/>
        <v>-0.30110397114938725</v>
      </c>
    </row>
    <row r="201" spans="1:12" x14ac:dyDescent="0.3">
      <c r="A201" s="2">
        <v>45296</v>
      </c>
      <c r="B201">
        <v>333.99102783203119</v>
      </c>
      <c r="C201">
        <f t="shared" si="11"/>
        <v>-1.0019811374371211E-2</v>
      </c>
      <c r="K201">
        <f t="shared" si="9"/>
        <v>478.50546264648438</v>
      </c>
      <c r="L201" s="5">
        <f t="shared" si="10"/>
        <v>-0.30201208992512418</v>
      </c>
    </row>
    <row r="202" spans="1:12" x14ac:dyDescent="0.3">
      <c r="A202" s="2">
        <v>45299</v>
      </c>
      <c r="B202">
        <v>330.64450073242188</v>
      </c>
      <c r="C202">
        <f t="shared" si="11"/>
        <v>1.3012620079875886E-2</v>
      </c>
      <c r="K202">
        <f t="shared" si="9"/>
        <v>478.50546264648438</v>
      </c>
      <c r="L202" s="5">
        <f t="shared" si="10"/>
        <v>-0.309005797125666</v>
      </c>
    </row>
    <row r="203" spans="1:12" x14ac:dyDescent="0.3">
      <c r="A203" s="2">
        <v>45300</v>
      </c>
      <c r="B203">
        <v>334.94705200195313</v>
      </c>
      <c r="C203">
        <f t="shared" si="11"/>
        <v>-8.563583858478099E-3</v>
      </c>
      <c r="K203">
        <f t="shared" si="9"/>
        <v>478.50546264648438</v>
      </c>
      <c r="L203" s="5">
        <f t="shared" si="10"/>
        <v>-0.30001415208626558</v>
      </c>
    </row>
    <row r="204" spans="1:12" x14ac:dyDescent="0.3">
      <c r="A204" s="2">
        <v>45301</v>
      </c>
      <c r="B204">
        <v>332.07870483398438</v>
      </c>
      <c r="C204">
        <f t="shared" si="11"/>
        <v>6.0202792707476091E-3</v>
      </c>
      <c r="K204">
        <f t="shared" si="9"/>
        <v>478.50546264648438</v>
      </c>
      <c r="L204" s="5">
        <f t="shared" si="10"/>
        <v>-0.30600853959462282</v>
      </c>
    </row>
    <row r="205" spans="1:12" x14ac:dyDescent="0.3">
      <c r="A205" s="2">
        <v>45302</v>
      </c>
      <c r="B205">
        <v>334.07791137695313</v>
      </c>
      <c r="C205">
        <f t="shared" si="11"/>
        <v>-8.4558737890020625E-3</v>
      </c>
      <c r="K205">
        <f t="shared" si="9"/>
        <v>478.50546264648438</v>
      </c>
      <c r="L205" s="5">
        <f t="shared" si="10"/>
        <v>-0.30183051719146836</v>
      </c>
    </row>
    <row r="206" spans="1:12" x14ac:dyDescent="0.3">
      <c r="A206" s="2">
        <v>45303</v>
      </c>
      <c r="B206">
        <v>331.25299072265619</v>
      </c>
      <c r="C206">
        <f t="shared" si="11"/>
        <v>9.3151244765075168E-3</v>
      </c>
      <c r="K206">
        <f t="shared" si="9"/>
        <v>478.50546264648438</v>
      </c>
      <c r="L206" s="5">
        <f t="shared" si="10"/>
        <v>-0.30773415022143025</v>
      </c>
    </row>
    <row r="207" spans="1:12" x14ac:dyDescent="0.3">
      <c r="A207" s="2">
        <v>45306</v>
      </c>
      <c r="B207">
        <v>334.33865356445313</v>
      </c>
      <c r="C207">
        <f t="shared" si="11"/>
        <v>-7.1493971718048716E-3</v>
      </c>
      <c r="K207">
        <f t="shared" si="9"/>
        <v>478.50546264648438</v>
      </c>
      <c r="L207" s="5">
        <f t="shared" si="10"/>
        <v>-0.30128560765990753</v>
      </c>
    </row>
    <row r="208" spans="1:12" x14ac:dyDescent="0.3">
      <c r="A208" s="2">
        <v>45307</v>
      </c>
      <c r="B208">
        <v>331.94833374023438</v>
      </c>
      <c r="C208">
        <f t="shared" si="11"/>
        <v>-5.8916367258255702E-3</v>
      </c>
      <c r="K208">
        <f t="shared" si="9"/>
        <v>478.50546264648438</v>
      </c>
      <c r="L208" s="5">
        <f t="shared" si="10"/>
        <v>-0.30628099436040324</v>
      </c>
    </row>
    <row r="209" spans="1:12" x14ac:dyDescent="0.3">
      <c r="A209" s="2">
        <v>45308</v>
      </c>
      <c r="B209">
        <v>329.99261474609381</v>
      </c>
      <c r="C209">
        <f t="shared" si="11"/>
        <v>-1.0535921010602214E-2</v>
      </c>
      <c r="K209">
        <f t="shared" si="9"/>
        <v>478.50546264648438</v>
      </c>
      <c r="L209" s="5">
        <f t="shared" si="10"/>
        <v>-0.31036813473143265</v>
      </c>
    </row>
    <row r="210" spans="1:12" x14ac:dyDescent="0.3">
      <c r="A210" s="2">
        <v>45309</v>
      </c>
      <c r="B210">
        <v>326.51583862304688</v>
      </c>
      <c r="C210">
        <f t="shared" si="11"/>
        <v>2.023147184513786E-2</v>
      </c>
      <c r="K210">
        <f t="shared" si="9"/>
        <v>478.50546264648438</v>
      </c>
      <c r="L210" s="5">
        <f t="shared" si="10"/>
        <v>-0.31763404159029651</v>
      </c>
    </row>
    <row r="211" spans="1:12" x14ac:dyDescent="0.3">
      <c r="A211" s="2">
        <v>45310</v>
      </c>
      <c r="B211">
        <v>333.12173461914063</v>
      </c>
      <c r="C211">
        <f t="shared" si="11"/>
        <v>-2.0743636730579613E-2</v>
      </c>
      <c r="K211">
        <f t="shared" si="9"/>
        <v>478.50546264648438</v>
      </c>
      <c r="L211" s="5">
        <f t="shared" si="10"/>
        <v>-0.30382877391465013</v>
      </c>
    </row>
    <row r="212" spans="1:12" x14ac:dyDescent="0.3">
      <c r="A212" s="2">
        <v>45314</v>
      </c>
      <c r="B212">
        <v>326.21157836914063</v>
      </c>
      <c r="C212">
        <f t="shared" si="11"/>
        <v>1.9451131556684577E-2</v>
      </c>
      <c r="K212">
        <f t="shared" si="9"/>
        <v>478.50546264648438</v>
      </c>
      <c r="L212" s="5">
        <f t="shared" si="10"/>
        <v>-0.31826989693084684</v>
      </c>
    </row>
    <row r="213" spans="1:12" x14ac:dyDescent="0.3">
      <c r="A213" s="2">
        <v>45315</v>
      </c>
      <c r="B213">
        <v>332.5567626953125</v>
      </c>
      <c r="C213">
        <f t="shared" si="11"/>
        <v>1.7773248590007361E-2</v>
      </c>
      <c r="K213">
        <f t="shared" si="9"/>
        <v>478.50546264648438</v>
      </c>
      <c r="L213" s="5">
        <f t="shared" si="10"/>
        <v>-0.30500947500989661</v>
      </c>
    </row>
    <row r="214" spans="1:12" x14ac:dyDescent="0.3">
      <c r="A214" s="2">
        <v>45316</v>
      </c>
      <c r="B214">
        <v>338.46737670898438</v>
      </c>
      <c r="C214">
        <f t="shared" si="11"/>
        <v>6.0092513690729668E-2</v>
      </c>
      <c r="K214">
        <f t="shared" si="9"/>
        <v>478.50546264648438</v>
      </c>
      <c r="L214" s="5">
        <f t="shared" si="10"/>
        <v>-0.29265723564154777</v>
      </c>
    </row>
    <row r="215" spans="1:12" x14ac:dyDescent="0.3">
      <c r="A215" s="2">
        <v>45320</v>
      </c>
      <c r="B215">
        <v>358.80673217773438</v>
      </c>
      <c r="C215">
        <f t="shared" si="11"/>
        <v>-2.483053408416961E-2</v>
      </c>
      <c r="K215">
        <f t="shared" si="9"/>
        <v>478.50546264648438</v>
      </c>
      <c r="L215" s="5">
        <f t="shared" si="10"/>
        <v>-0.25015123089029889</v>
      </c>
    </row>
    <row r="216" spans="1:12" x14ac:dyDescent="0.3">
      <c r="A216" s="2">
        <v>45321</v>
      </c>
      <c r="B216">
        <v>349.89736938476563</v>
      </c>
      <c r="C216">
        <f t="shared" si="11"/>
        <v>8.9429648429449303E-3</v>
      </c>
      <c r="K216">
        <f t="shared" si="9"/>
        <v>478.50546264648438</v>
      </c>
      <c r="L216" s="5">
        <f t="shared" si="10"/>
        <v>-0.26877037630964995</v>
      </c>
    </row>
    <row r="217" spans="1:12" x14ac:dyDescent="0.3">
      <c r="A217" s="2">
        <v>45322</v>
      </c>
      <c r="B217">
        <v>353.0264892578125</v>
      </c>
      <c r="C217">
        <f t="shared" si="11"/>
        <v>1.3543428355462825E-3</v>
      </c>
      <c r="K217">
        <f t="shared" si="9"/>
        <v>478.50546264648438</v>
      </c>
      <c r="L217" s="5">
        <f t="shared" si="10"/>
        <v>-0.26223101549286731</v>
      </c>
    </row>
    <row r="218" spans="1:12" x14ac:dyDescent="0.3">
      <c r="A218" s="2">
        <v>45323</v>
      </c>
      <c r="B218">
        <v>353.50460815429688</v>
      </c>
      <c r="C218">
        <f t="shared" si="11"/>
        <v>3.2210257933625176E-2</v>
      </c>
      <c r="K218">
        <f t="shared" si="9"/>
        <v>478.50546264648438</v>
      </c>
      <c r="L218" s="5">
        <f t="shared" si="10"/>
        <v>-0.26123182335441175</v>
      </c>
    </row>
    <row r="219" spans="1:12" x14ac:dyDescent="0.3">
      <c r="A219" s="2">
        <v>45324</v>
      </c>
      <c r="B219">
        <v>364.89108276367188</v>
      </c>
      <c r="C219">
        <f t="shared" si="11"/>
        <v>4.8713818661942375E-2</v>
      </c>
      <c r="K219">
        <f t="shared" si="9"/>
        <v>478.50546264648438</v>
      </c>
      <c r="L219" s="5">
        <f t="shared" si="10"/>
        <v>-0.23743590983150342</v>
      </c>
    </row>
    <row r="220" spans="1:12" x14ac:dyDescent="0.3">
      <c r="A220" s="2">
        <v>45327</v>
      </c>
      <c r="B220">
        <v>382.66632080078119</v>
      </c>
      <c r="C220">
        <f t="shared" si="11"/>
        <v>1.9079910137879651E-2</v>
      </c>
      <c r="K220">
        <f t="shared" si="9"/>
        <v>478.50546264648438</v>
      </c>
      <c r="L220" s="5">
        <f t="shared" si="10"/>
        <v>-0.20028850102492624</v>
      </c>
    </row>
    <row r="221" spans="1:12" x14ac:dyDescent="0.3">
      <c r="A221" s="2">
        <v>45328</v>
      </c>
      <c r="B221">
        <v>389.96755981445313</v>
      </c>
      <c r="C221">
        <f t="shared" si="11"/>
        <v>8.9157086806332039E-3</v>
      </c>
      <c r="K221">
        <f t="shared" si="9"/>
        <v>478.50546264648438</v>
      </c>
      <c r="L221" s="5">
        <f t="shared" si="10"/>
        <v>-0.18503007748825273</v>
      </c>
    </row>
    <row r="222" spans="1:12" x14ac:dyDescent="0.3">
      <c r="A222" s="2">
        <v>45329</v>
      </c>
      <c r="B222">
        <v>393.44439697265619</v>
      </c>
      <c r="C222">
        <f t="shared" si="11"/>
        <v>1.4470323801971326E-2</v>
      </c>
      <c r="K222">
        <f t="shared" si="9"/>
        <v>478.50546264648438</v>
      </c>
      <c r="L222" s="5">
        <f t="shared" si="10"/>
        <v>-0.17776404307565985</v>
      </c>
    </row>
    <row r="223" spans="1:12" x14ac:dyDescent="0.3">
      <c r="A223" s="2">
        <v>45330</v>
      </c>
      <c r="B223">
        <v>399.13766479492188</v>
      </c>
      <c r="C223">
        <f t="shared" si="11"/>
        <v>-6.5329438319289262E-3</v>
      </c>
      <c r="K223">
        <f t="shared" si="9"/>
        <v>478.50546264648438</v>
      </c>
      <c r="L223" s="5">
        <f t="shared" si="10"/>
        <v>-0.16586602253734084</v>
      </c>
    </row>
    <row r="224" spans="1:12" x14ac:dyDescent="0.3">
      <c r="A224" s="2">
        <v>45331</v>
      </c>
      <c r="B224">
        <v>396.53012084960938</v>
      </c>
      <c r="C224">
        <f t="shared" si="11"/>
        <v>-5.1293496847923718E-2</v>
      </c>
      <c r="K224">
        <f t="shared" si="9"/>
        <v>478.50546264648438</v>
      </c>
      <c r="L224" s="5">
        <f t="shared" si="10"/>
        <v>-0.17131537296040789</v>
      </c>
    </row>
    <row r="225" spans="1:12" x14ac:dyDescent="0.3">
      <c r="A225" s="2">
        <v>45334</v>
      </c>
      <c r="B225">
        <v>376.19070434570313</v>
      </c>
      <c r="C225">
        <f t="shared" si="11"/>
        <v>4.5171106683798534E-2</v>
      </c>
      <c r="K225">
        <f t="shared" si="9"/>
        <v>478.50546264648438</v>
      </c>
      <c r="L225" s="5">
        <f t="shared" si="10"/>
        <v>-0.21382150526538601</v>
      </c>
    </row>
    <row r="226" spans="1:12" x14ac:dyDescent="0.3">
      <c r="A226" s="2">
        <v>45335</v>
      </c>
      <c r="B226">
        <v>393.18365478515619</v>
      </c>
      <c r="C226">
        <f t="shared" si="11"/>
        <v>3.0949463677061841E-2</v>
      </c>
      <c r="K226">
        <f t="shared" si="9"/>
        <v>478.50546264648438</v>
      </c>
      <c r="L226" s="5">
        <f t="shared" si="10"/>
        <v>-0.17830895260722068</v>
      </c>
    </row>
    <row r="227" spans="1:12" x14ac:dyDescent="0.3">
      <c r="A227" s="2">
        <v>45336</v>
      </c>
      <c r="B227">
        <v>405.35247802734381</v>
      </c>
      <c r="C227">
        <f t="shared" si="11"/>
        <v>2.2515262460107412E-2</v>
      </c>
      <c r="K227">
        <f t="shared" si="9"/>
        <v>478.50546264648438</v>
      </c>
      <c r="L227" s="5">
        <f t="shared" si="10"/>
        <v>-0.15287805538217092</v>
      </c>
    </row>
    <row r="228" spans="1:12" x14ac:dyDescent="0.3">
      <c r="A228" s="2">
        <v>45337</v>
      </c>
      <c r="B228">
        <v>414.47909545898438</v>
      </c>
      <c r="C228">
        <f t="shared" si="11"/>
        <v>6.6058242845439038E-3</v>
      </c>
      <c r="K228">
        <f t="shared" si="9"/>
        <v>478.50546264648438</v>
      </c>
      <c r="L228" s="5">
        <f t="shared" si="10"/>
        <v>-0.13380488246338396</v>
      </c>
    </row>
    <row r="229" spans="1:12" x14ac:dyDescent="0.3">
      <c r="A229" s="2">
        <v>45338</v>
      </c>
      <c r="B229">
        <v>417.21707153320313</v>
      </c>
      <c r="C229">
        <f t="shared" si="11"/>
        <v>-3.9583234129661776E-2</v>
      </c>
      <c r="K229">
        <f t="shared" si="9"/>
        <v>478.50546264648438</v>
      </c>
      <c r="L229" s="5">
        <f t="shared" si="10"/>
        <v>-0.12808294972080725</v>
      </c>
    </row>
    <row r="230" spans="1:12" x14ac:dyDescent="0.3">
      <c r="A230" s="2">
        <v>45341</v>
      </c>
      <c r="B230">
        <v>400.7022705078125</v>
      </c>
      <c r="C230">
        <f t="shared" si="11"/>
        <v>-2.0296168866123409E-2</v>
      </c>
      <c r="K230">
        <f t="shared" si="9"/>
        <v>478.50546264648438</v>
      </c>
      <c r="L230" s="5">
        <f t="shared" si="10"/>
        <v>-0.16259624646365256</v>
      </c>
    </row>
    <row r="231" spans="1:12" x14ac:dyDescent="0.3">
      <c r="A231" s="2">
        <v>45342</v>
      </c>
      <c r="B231">
        <v>392.56954956054688</v>
      </c>
      <c r="C231">
        <f t="shared" si="11"/>
        <v>-3.0347133671063412E-2</v>
      </c>
      <c r="K231">
        <f t="shared" si="9"/>
        <v>478.50546264648438</v>
      </c>
      <c r="L231" s="5">
        <f t="shared" si="10"/>
        <v>-0.17959233445455192</v>
      </c>
    </row>
    <row r="232" spans="1:12" x14ac:dyDescent="0.3">
      <c r="A232" s="2">
        <v>45343</v>
      </c>
      <c r="B232">
        <v>380.65618896484381</v>
      </c>
      <c r="C232">
        <f t="shared" si="11"/>
        <v>2.8178574755666774E-2</v>
      </c>
      <c r="K232">
        <f t="shared" si="9"/>
        <v>478.50546264648438</v>
      </c>
      <c r="L232" s="5">
        <f t="shared" si="10"/>
        <v>-0.20448935554562464</v>
      </c>
    </row>
    <row r="233" spans="1:12" x14ac:dyDescent="0.3">
      <c r="A233" s="2">
        <v>45344</v>
      </c>
      <c r="B233">
        <v>391.38253784179688</v>
      </c>
      <c r="C233">
        <f t="shared" si="11"/>
        <v>-2.8079139961619745E-3</v>
      </c>
      <c r="K233">
        <f t="shared" si="9"/>
        <v>478.50546264648438</v>
      </c>
      <c r="L233" s="5">
        <f t="shared" si="10"/>
        <v>-0.18207299938193844</v>
      </c>
    </row>
    <row r="234" spans="1:12" x14ac:dyDescent="0.3">
      <c r="A234" s="2">
        <v>45345</v>
      </c>
      <c r="B234">
        <v>390.2835693359375</v>
      </c>
      <c r="C234">
        <f t="shared" si="11"/>
        <v>-3.6044004712869342E-3</v>
      </c>
      <c r="K234">
        <f t="shared" si="9"/>
        <v>478.50546264648438</v>
      </c>
      <c r="L234" s="5">
        <f t="shared" si="10"/>
        <v>-0.1843696680548127</v>
      </c>
    </row>
    <row r="235" spans="1:12" x14ac:dyDescent="0.3">
      <c r="A235" s="2">
        <v>45348</v>
      </c>
      <c r="B235">
        <v>388.8768310546875</v>
      </c>
      <c r="C235">
        <f t="shared" si="11"/>
        <v>-2.0349664859516605E-3</v>
      </c>
      <c r="K235">
        <f t="shared" si="9"/>
        <v>478.50546264648438</v>
      </c>
      <c r="L235" s="5">
        <f t="shared" si="10"/>
        <v>-0.18730952640767184</v>
      </c>
    </row>
    <row r="236" spans="1:12" x14ac:dyDescent="0.3">
      <c r="A236" s="2">
        <v>45349</v>
      </c>
      <c r="B236">
        <v>388.08547973632813</v>
      </c>
      <c r="C236">
        <f t="shared" si="11"/>
        <v>-1.6311591333816045E-2</v>
      </c>
      <c r="K236">
        <f t="shared" si="9"/>
        <v>478.50546264648438</v>
      </c>
      <c r="L236" s="5">
        <f t="shared" si="10"/>
        <v>-0.18896332428488438</v>
      </c>
    </row>
    <row r="237" spans="1:12" x14ac:dyDescent="0.3">
      <c r="A237" s="2">
        <v>45350</v>
      </c>
      <c r="B237">
        <v>381.75518798828119</v>
      </c>
      <c r="C237">
        <f t="shared" si="11"/>
        <v>5.7576114641891187E-3</v>
      </c>
      <c r="K237">
        <f t="shared" si="9"/>
        <v>478.50546264648438</v>
      </c>
      <c r="L237" s="5">
        <f t="shared" si="10"/>
        <v>-0.20219262309588604</v>
      </c>
    </row>
    <row r="238" spans="1:12" x14ac:dyDescent="0.3">
      <c r="A238" s="2">
        <v>45351</v>
      </c>
      <c r="B238">
        <v>383.95318603515619</v>
      </c>
      <c r="C238">
        <f t="shared" si="11"/>
        <v>2.2097579454333372E-2</v>
      </c>
      <c r="K238">
        <f t="shared" si="9"/>
        <v>478.50546264648438</v>
      </c>
      <c r="L238" s="5">
        <f t="shared" si="10"/>
        <v>-0.19759915819640828</v>
      </c>
    </row>
    <row r="239" spans="1:12" x14ac:dyDescent="0.3">
      <c r="A239" s="2">
        <v>45352</v>
      </c>
      <c r="B239">
        <v>392.4376220703125</v>
      </c>
      <c r="C239">
        <f t="shared" si="11"/>
        <v>2.0275602368882643E-2</v>
      </c>
      <c r="K239">
        <f t="shared" si="9"/>
        <v>478.50546264648438</v>
      </c>
      <c r="L239" s="5">
        <f t="shared" si="10"/>
        <v>-0.17986804184042937</v>
      </c>
    </row>
    <row r="240" spans="1:12" x14ac:dyDescent="0.3">
      <c r="A240" s="2">
        <v>45355</v>
      </c>
      <c r="B240">
        <v>400.39453125</v>
      </c>
      <c r="C240">
        <f t="shared" si="11"/>
        <v>1.1528317406659447E-2</v>
      </c>
      <c r="K240">
        <f t="shared" si="9"/>
        <v>478.50546264648438</v>
      </c>
      <c r="L240" s="5">
        <f t="shared" si="10"/>
        <v>-0.16323937236677288</v>
      </c>
    </row>
    <row r="241" spans="1:12" x14ac:dyDescent="0.3">
      <c r="A241" s="2">
        <v>45356</v>
      </c>
      <c r="B241">
        <v>405.01040649414063</v>
      </c>
      <c r="C241">
        <f t="shared" si="11"/>
        <v>2.062257123053122E-3</v>
      </c>
      <c r="K241">
        <f t="shared" si="9"/>
        <v>478.50546264648438</v>
      </c>
      <c r="L241" s="5">
        <f t="shared" si="10"/>
        <v>-0.15359293025802145</v>
      </c>
    </row>
    <row r="242" spans="1:12" x14ac:dyDescent="0.3">
      <c r="A242" s="2">
        <v>45357</v>
      </c>
      <c r="B242">
        <v>405.84564208984381</v>
      </c>
      <c r="C242">
        <f t="shared" si="11"/>
        <v>-6.499031863897122E-3</v>
      </c>
      <c r="K242">
        <f t="shared" si="9"/>
        <v>478.50546264648438</v>
      </c>
      <c r="L242" s="5">
        <f t="shared" si="10"/>
        <v>-0.1518474212494435</v>
      </c>
    </row>
    <row r="243" spans="1:12" x14ac:dyDescent="0.3">
      <c r="A243" s="2">
        <v>45358</v>
      </c>
      <c r="B243">
        <v>403.20803833007813</v>
      </c>
      <c r="C243">
        <f t="shared" si="11"/>
        <v>-1.0248615667148868E-2</v>
      </c>
      <c r="K243">
        <f t="shared" si="9"/>
        <v>478.50546264648438</v>
      </c>
      <c r="L243" s="5">
        <f t="shared" si="10"/>
        <v>-0.15735959188418991</v>
      </c>
    </row>
    <row r="244" spans="1:12" x14ac:dyDescent="0.3">
      <c r="A244" s="2">
        <v>45362</v>
      </c>
      <c r="B244">
        <v>399.07571411132813</v>
      </c>
      <c r="C244">
        <f t="shared" si="11"/>
        <v>-1.0134425456527995E-2</v>
      </c>
      <c r="K244">
        <f t="shared" si="9"/>
        <v>478.50546264648438</v>
      </c>
      <c r="L244" s="5">
        <f t="shared" si="10"/>
        <v>-0.16599548957257826</v>
      </c>
    </row>
    <row r="245" spans="1:12" x14ac:dyDescent="0.3">
      <c r="A245" s="2">
        <v>45363</v>
      </c>
      <c r="B245">
        <v>395.03131103515619</v>
      </c>
      <c r="C245">
        <f t="shared" si="11"/>
        <v>-7.1778375583051848E-2</v>
      </c>
      <c r="K245">
        <f t="shared" si="9"/>
        <v>478.50546264648438</v>
      </c>
      <c r="L245" s="5">
        <f t="shared" si="10"/>
        <v>-0.17444764611391317</v>
      </c>
    </row>
    <row r="246" spans="1:12" x14ac:dyDescent="0.3">
      <c r="A246" s="2">
        <v>45364</v>
      </c>
      <c r="B246">
        <v>366.67660522460938</v>
      </c>
      <c r="C246">
        <f t="shared" si="11"/>
        <v>2.5536694631384974E-2</v>
      </c>
      <c r="K246">
        <f t="shared" si="9"/>
        <v>478.50546264648438</v>
      </c>
      <c r="L246" s="5">
        <f t="shared" si="10"/>
        <v>-0.23370445303462117</v>
      </c>
    </row>
    <row r="247" spans="1:12" x14ac:dyDescent="0.3">
      <c r="A247" s="2">
        <v>45365</v>
      </c>
      <c r="B247">
        <v>376.04031372070313</v>
      </c>
      <c r="C247">
        <f t="shared" si="11"/>
        <v>-2.9109349883773766E-2</v>
      </c>
      <c r="K247">
        <f t="shared" si="9"/>
        <v>478.50546264648438</v>
      </c>
      <c r="L247" s="5">
        <f t="shared" si="10"/>
        <v>-0.21413579765437618</v>
      </c>
    </row>
    <row r="248" spans="1:12" x14ac:dyDescent="0.3">
      <c r="A248" s="2">
        <v>45366</v>
      </c>
      <c r="B248">
        <v>365.09402465820313</v>
      </c>
      <c r="C248">
        <f t="shared" si="11"/>
        <v>1.5894142476708756E-2</v>
      </c>
      <c r="K248">
        <f t="shared" si="9"/>
        <v>478.50546264648438</v>
      </c>
      <c r="L248" s="5">
        <f t="shared" si="10"/>
        <v>-0.23701179368158776</v>
      </c>
    </row>
    <row r="249" spans="1:12" x14ac:dyDescent="0.3">
      <c r="A249" s="2">
        <v>45369</v>
      </c>
      <c r="B249">
        <v>370.89688110351563</v>
      </c>
      <c r="C249">
        <f t="shared" si="11"/>
        <v>-6.6374850671190779E-3</v>
      </c>
      <c r="K249">
        <f t="shared" si="9"/>
        <v>478.50546264648438</v>
      </c>
      <c r="L249" s="5">
        <f t="shared" si="10"/>
        <v>-0.22488475042231448</v>
      </c>
    </row>
    <row r="250" spans="1:12" x14ac:dyDescent="0.3">
      <c r="A250" s="2">
        <v>45370</v>
      </c>
      <c r="B250">
        <v>368.43505859375</v>
      </c>
      <c r="C250">
        <f t="shared" si="11"/>
        <v>1.0738117168397267E-3</v>
      </c>
      <c r="K250">
        <f t="shared" si="9"/>
        <v>478.50546264648438</v>
      </c>
      <c r="L250" s="5">
        <f t="shared" si="10"/>
        <v>-0.23002956631668259</v>
      </c>
    </row>
    <row r="251" spans="1:12" x14ac:dyDescent="0.3">
      <c r="A251" s="2">
        <v>45371</v>
      </c>
      <c r="B251">
        <v>368.8306884765625</v>
      </c>
      <c r="C251">
        <f t="shared" si="11"/>
        <v>2.9916570162580289E-2</v>
      </c>
      <c r="K251">
        <f t="shared" si="9"/>
        <v>478.50546264648438</v>
      </c>
      <c r="L251" s="5">
        <f t="shared" si="10"/>
        <v>-0.22920276304337328</v>
      </c>
    </row>
    <row r="252" spans="1:12" x14ac:dyDescent="0.3">
      <c r="A252" s="2">
        <v>45372</v>
      </c>
      <c r="B252">
        <v>379.86483764648438</v>
      </c>
      <c r="C252">
        <f t="shared" si="11"/>
        <v>-2.3137341572476396E-4</v>
      </c>
      <c r="K252">
        <f t="shared" si="9"/>
        <v>478.50546264648438</v>
      </c>
      <c r="L252" s="5">
        <f t="shared" si="10"/>
        <v>-0.2061431534228374</v>
      </c>
    </row>
    <row r="253" spans="1:12" x14ac:dyDescent="0.3">
      <c r="A253" s="2">
        <v>45373</v>
      </c>
      <c r="B253">
        <v>379.77694702148438</v>
      </c>
      <c r="C253">
        <f t="shared" si="11"/>
        <v>9.2602123776298305E-3</v>
      </c>
      <c r="K253">
        <f t="shared" si="9"/>
        <v>478.50546264648438</v>
      </c>
      <c r="L253" s="5">
        <f t="shared" si="10"/>
        <v>-0.20632683079302638</v>
      </c>
    </row>
    <row r="254" spans="1:12" x14ac:dyDescent="0.3">
      <c r="A254" s="2">
        <v>45377</v>
      </c>
      <c r="B254">
        <v>383.29376220703119</v>
      </c>
      <c r="C254">
        <f t="shared" si="11"/>
        <v>-1.4909827170402007E-2</v>
      </c>
      <c r="K254">
        <f t="shared" si="9"/>
        <v>478.50546264648438</v>
      </c>
      <c r="L254" s="5">
        <f t="shared" si="10"/>
        <v>-0.19897724868774325</v>
      </c>
    </row>
    <row r="255" spans="1:12" x14ac:dyDescent="0.3">
      <c r="A255" s="2">
        <v>45378</v>
      </c>
      <c r="B255">
        <v>377.57891845703119</v>
      </c>
      <c r="C255">
        <f t="shared" si="11"/>
        <v>1.0827717521414164E-2</v>
      </c>
      <c r="K255">
        <f t="shared" si="9"/>
        <v>478.50546264648438</v>
      </c>
      <c r="L255" s="5">
        <f t="shared" si="10"/>
        <v>-0.21092035946936893</v>
      </c>
    </row>
    <row r="256" spans="1:12" x14ac:dyDescent="0.3">
      <c r="A256" s="2">
        <v>45379</v>
      </c>
      <c r="B256">
        <v>381.667236328125</v>
      </c>
      <c r="C256">
        <f t="shared" si="11"/>
        <v>1.8313797848026205E-2</v>
      </c>
      <c r="K256">
        <f t="shared" si="9"/>
        <v>478.50546264648438</v>
      </c>
      <c r="L256" s="5">
        <f t="shared" si="10"/>
        <v>-0.20237642801980427</v>
      </c>
    </row>
    <row r="257" spans="1:12" x14ac:dyDescent="0.3">
      <c r="A257" s="2">
        <v>45383</v>
      </c>
      <c r="B257">
        <v>388.65701293945313</v>
      </c>
      <c r="C257">
        <f t="shared" si="11"/>
        <v>2.6015442016352227E-3</v>
      </c>
      <c r="K257">
        <f t="shared" si="9"/>
        <v>478.50546264648438</v>
      </c>
      <c r="L257" s="5">
        <f t="shared" si="10"/>
        <v>-0.18776891116373839</v>
      </c>
    </row>
    <row r="258" spans="1:12" x14ac:dyDescent="0.3">
      <c r="A258" s="2">
        <v>45384</v>
      </c>
      <c r="B258">
        <v>389.66812133789063</v>
      </c>
      <c r="C258">
        <f t="shared" si="11"/>
        <v>5.189509145253862E-3</v>
      </c>
      <c r="K258">
        <f t="shared" ref="K258:K321" si="12">MAX(B258:B997)</f>
        <v>478.50546264648438</v>
      </c>
      <c r="L258" s="5">
        <f t="shared" ref="L258:L321" si="13">B258/K258-1</f>
        <v>-0.18565585608418855</v>
      </c>
    </row>
    <row r="259" spans="1:12" x14ac:dyDescent="0.3">
      <c r="A259" s="2">
        <v>45385</v>
      </c>
      <c r="B259">
        <v>391.6903076171875</v>
      </c>
      <c r="C259">
        <f t="shared" ref="C259:C322" si="14">(B260-B259)/B259</f>
        <v>7.5194929328671464E-3</v>
      </c>
      <c r="K259">
        <f t="shared" si="12"/>
        <v>478.50546264648438</v>
      </c>
      <c r="L259" s="5">
        <f t="shared" si="13"/>
        <v>-0.18142980970195344</v>
      </c>
    </row>
    <row r="260" spans="1:12" x14ac:dyDescent="0.3">
      <c r="A260" s="2">
        <v>45386</v>
      </c>
      <c r="B260">
        <v>394.6356201171875</v>
      </c>
      <c r="C260">
        <f t="shared" si="14"/>
        <v>-4.2329458017759738E-3</v>
      </c>
      <c r="K260">
        <f t="shared" si="12"/>
        <v>478.50546264648438</v>
      </c>
      <c r="L260" s="5">
        <f t="shared" si="13"/>
        <v>-0.17527457694095161</v>
      </c>
    </row>
    <row r="261" spans="1:12" x14ac:dyDescent="0.3">
      <c r="A261" s="2">
        <v>45387</v>
      </c>
      <c r="B261">
        <v>392.96514892578119</v>
      </c>
      <c r="C261">
        <f t="shared" si="14"/>
        <v>1.006781094695336E-3</v>
      </c>
      <c r="K261">
        <f t="shared" si="12"/>
        <v>478.50546264648438</v>
      </c>
      <c r="L261" s="5">
        <f t="shared" si="13"/>
        <v>-0.17876559495810729</v>
      </c>
    </row>
    <row r="262" spans="1:12" x14ac:dyDescent="0.3">
      <c r="A262" s="2">
        <v>45390</v>
      </c>
      <c r="B262">
        <v>393.36077880859381</v>
      </c>
      <c r="C262">
        <f t="shared" si="14"/>
        <v>-1.6875172522193536E-2</v>
      </c>
      <c r="K262">
        <f t="shared" si="12"/>
        <v>478.50546264648438</v>
      </c>
      <c r="L262" s="5">
        <f t="shared" si="13"/>
        <v>-0.17793879168479776</v>
      </c>
    </row>
    <row r="263" spans="1:12" x14ac:dyDescent="0.3">
      <c r="A263" s="2">
        <v>45391</v>
      </c>
      <c r="B263">
        <v>386.72274780273438</v>
      </c>
      <c r="C263">
        <f t="shared" si="14"/>
        <v>3.7512711950342052E-2</v>
      </c>
      <c r="K263">
        <f t="shared" si="12"/>
        <v>478.50546264648438</v>
      </c>
      <c r="L263" s="5">
        <f t="shared" si="13"/>
        <v>-0.19181121639891974</v>
      </c>
    </row>
    <row r="264" spans="1:12" x14ac:dyDescent="0.3">
      <c r="A264" s="2">
        <v>45392</v>
      </c>
      <c r="B264">
        <v>401.22976684570313</v>
      </c>
      <c r="C264">
        <f t="shared" si="14"/>
        <v>-1.6433546248384768E-3</v>
      </c>
      <c r="K264">
        <f t="shared" si="12"/>
        <v>478.50546264648438</v>
      </c>
      <c r="L264" s="5">
        <f t="shared" si="13"/>
        <v>-0.16149386335819504</v>
      </c>
    </row>
    <row r="265" spans="1:12" x14ac:dyDescent="0.3">
      <c r="A265" s="2">
        <v>45394</v>
      </c>
      <c r="B265">
        <v>400.57040405273438</v>
      </c>
      <c r="C265">
        <f t="shared" si="14"/>
        <v>-1.0096609822525571E-2</v>
      </c>
      <c r="K265">
        <f t="shared" si="12"/>
        <v>478.50546264648438</v>
      </c>
      <c r="L265" s="5">
        <f t="shared" si="13"/>
        <v>-0.16287182629580077</v>
      </c>
    </row>
    <row r="266" spans="1:12" x14ac:dyDescent="0.3">
      <c r="A266" s="2">
        <v>45397</v>
      </c>
      <c r="B266">
        <v>396.5260009765625</v>
      </c>
      <c r="C266">
        <f t="shared" si="14"/>
        <v>4.8780285074749028E-3</v>
      </c>
      <c r="K266">
        <f t="shared" si="12"/>
        <v>478.50546264648438</v>
      </c>
      <c r="L266" s="5">
        <f t="shared" si="13"/>
        <v>-0.17132398283713546</v>
      </c>
    </row>
    <row r="267" spans="1:12" x14ac:dyDescent="0.3">
      <c r="A267" s="2">
        <v>45398</v>
      </c>
      <c r="B267">
        <v>398.46026611328119</v>
      </c>
      <c r="C267">
        <f t="shared" si="14"/>
        <v>-3.2215300810783803E-2</v>
      </c>
      <c r="K267">
        <f t="shared" si="12"/>
        <v>478.50546264648438</v>
      </c>
      <c r="L267" s="5">
        <f t="shared" si="13"/>
        <v>-0.16728167760195434</v>
      </c>
    </row>
    <row r="268" spans="1:12" x14ac:dyDescent="0.3">
      <c r="A268" s="2">
        <v>45400</v>
      </c>
      <c r="B268">
        <v>385.62374877929688</v>
      </c>
      <c r="C268">
        <f t="shared" si="14"/>
        <v>-7.5241456652948586E-3</v>
      </c>
      <c r="K268">
        <f t="shared" si="12"/>
        <v>478.50546264648438</v>
      </c>
      <c r="L268" s="5">
        <f t="shared" si="13"/>
        <v>-0.19410794884865856</v>
      </c>
    </row>
    <row r="269" spans="1:12" x14ac:dyDescent="0.3">
      <c r="A269" s="2">
        <v>45401</v>
      </c>
      <c r="B269">
        <v>382.72225952148438</v>
      </c>
      <c r="C269">
        <f t="shared" si="14"/>
        <v>1.7574295854021073E-2</v>
      </c>
      <c r="K269">
        <f t="shared" si="12"/>
        <v>478.50546264648438</v>
      </c>
      <c r="L269" s="5">
        <f t="shared" si="13"/>
        <v>-0.20017159803202456</v>
      </c>
    </row>
    <row r="270" spans="1:12" x14ac:dyDescent="0.3">
      <c r="A270" s="2">
        <v>45404</v>
      </c>
      <c r="B270">
        <v>389.44833374023438</v>
      </c>
      <c r="C270">
        <f t="shared" si="14"/>
        <v>-4.5152417324591061E-3</v>
      </c>
      <c r="K270">
        <f t="shared" si="12"/>
        <v>478.50546264648438</v>
      </c>
      <c r="L270" s="5">
        <f t="shared" si="13"/>
        <v>-0.18611517706339042</v>
      </c>
    </row>
    <row r="271" spans="1:12" x14ac:dyDescent="0.3">
      <c r="A271" s="2">
        <v>45405</v>
      </c>
      <c r="B271">
        <v>387.68988037109381</v>
      </c>
      <c r="C271">
        <f t="shared" si="14"/>
        <v>6.5766821984752401E-3</v>
      </c>
      <c r="K271">
        <f t="shared" si="12"/>
        <v>478.50546264648438</v>
      </c>
      <c r="L271" s="5">
        <f t="shared" si="13"/>
        <v>-0.1897900637813289</v>
      </c>
    </row>
    <row r="272" spans="1:12" x14ac:dyDescent="0.3">
      <c r="A272" s="2">
        <v>45406</v>
      </c>
      <c r="B272">
        <v>390.23959350585938</v>
      </c>
      <c r="C272">
        <f t="shared" si="14"/>
        <v>1.9375913938838415E-2</v>
      </c>
      <c r="K272">
        <f t="shared" si="12"/>
        <v>478.50546264648438</v>
      </c>
      <c r="L272" s="5">
        <f t="shared" si="13"/>
        <v>-0.18446157051677181</v>
      </c>
    </row>
    <row r="273" spans="1:12" x14ac:dyDescent="0.3">
      <c r="A273" s="2">
        <v>45407</v>
      </c>
      <c r="B273">
        <v>397.80084228515619</v>
      </c>
      <c r="C273">
        <f t="shared" si="14"/>
        <v>7.4040643067991973E-3</v>
      </c>
      <c r="K273">
        <f t="shared" si="12"/>
        <v>478.50546264648438</v>
      </c>
      <c r="L273" s="5">
        <f t="shared" si="13"/>
        <v>-0.16865976809328931</v>
      </c>
    </row>
    <row r="274" spans="1:12" x14ac:dyDescent="0.3">
      <c r="A274" s="2">
        <v>45408</v>
      </c>
      <c r="B274">
        <v>400.74618530273438</v>
      </c>
      <c r="C274">
        <f t="shared" si="14"/>
        <v>-5.5944983612496143E-3</v>
      </c>
      <c r="K274">
        <f t="shared" si="12"/>
        <v>478.50546264648438</v>
      </c>
      <c r="L274" s="5">
        <f t="shared" si="13"/>
        <v>-0.16250447155542269</v>
      </c>
    </row>
    <row r="275" spans="1:12" x14ac:dyDescent="0.3">
      <c r="A275" s="2">
        <v>45411</v>
      </c>
      <c r="B275">
        <v>398.50421142578119</v>
      </c>
      <c r="C275">
        <f t="shared" si="14"/>
        <v>2.3164779549013827E-3</v>
      </c>
      <c r="K275">
        <f t="shared" si="12"/>
        <v>478.50546264648438</v>
      </c>
      <c r="L275" s="5">
        <f t="shared" si="13"/>
        <v>-0.16718983891685979</v>
      </c>
    </row>
    <row r="276" spans="1:12" x14ac:dyDescent="0.3">
      <c r="A276" s="2">
        <v>45412</v>
      </c>
      <c r="B276">
        <v>399.42733764648438</v>
      </c>
      <c r="C276">
        <f t="shared" si="14"/>
        <v>-8.8031915198417531E-4</v>
      </c>
      <c r="K276">
        <f t="shared" si="12"/>
        <v>478.50546264648438</v>
      </c>
      <c r="L276" s="5">
        <f t="shared" si="13"/>
        <v>-0.16526065253809286</v>
      </c>
    </row>
    <row r="277" spans="1:12" x14ac:dyDescent="0.3">
      <c r="A277" s="2">
        <v>45414</v>
      </c>
      <c r="B277">
        <v>399.07571411132813</v>
      </c>
      <c r="C277">
        <f t="shared" si="14"/>
        <v>4.5604723377757284E-2</v>
      </c>
      <c r="K277">
        <f t="shared" si="12"/>
        <v>478.50546264648438</v>
      </c>
      <c r="L277" s="5">
        <f t="shared" si="13"/>
        <v>-0.16599548957257826</v>
      </c>
    </row>
    <row r="278" spans="1:12" x14ac:dyDescent="0.3">
      <c r="A278" s="2">
        <v>45415</v>
      </c>
      <c r="B278">
        <v>417.27545166015619</v>
      </c>
      <c r="C278">
        <f t="shared" si="14"/>
        <v>-2.9498404260220504E-2</v>
      </c>
      <c r="K278">
        <f t="shared" si="12"/>
        <v>478.50546264648438</v>
      </c>
      <c r="L278" s="5">
        <f t="shared" si="13"/>
        <v>-0.12796094457873386</v>
      </c>
    </row>
    <row r="279" spans="1:12" x14ac:dyDescent="0.3">
      <c r="A279" s="2">
        <v>45418</v>
      </c>
      <c r="B279">
        <v>404.96649169921881</v>
      </c>
      <c r="C279">
        <f t="shared" si="14"/>
        <v>-9.987006725425164E-3</v>
      </c>
      <c r="K279">
        <f t="shared" si="12"/>
        <v>478.50546264648438</v>
      </c>
      <c r="L279" s="5">
        <f t="shared" si="13"/>
        <v>-0.15368470516625121</v>
      </c>
    </row>
    <row r="280" spans="1:12" x14ac:dyDescent="0.3">
      <c r="A280" s="2">
        <v>45419</v>
      </c>
      <c r="B280">
        <v>400.92208862304688</v>
      </c>
      <c r="C280">
        <f t="shared" si="14"/>
        <v>1.8530586116066214E-2</v>
      </c>
      <c r="K280">
        <f t="shared" si="12"/>
        <v>478.50546264648438</v>
      </c>
      <c r="L280" s="5">
        <f t="shared" si="13"/>
        <v>-0.16213686170758601</v>
      </c>
    </row>
    <row r="281" spans="1:12" x14ac:dyDescent="0.3">
      <c r="A281" s="2">
        <v>45420</v>
      </c>
      <c r="B281">
        <v>408.35140991210938</v>
      </c>
      <c r="C281">
        <f t="shared" si="14"/>
        <v>-4.5107044323537078E-2</v>
      </c>
      <c r="K281">
        <f t="shared" si="12"/>
        <v>478.50546264648438</v>
      </c>
      <c r="L281" s="5">
        <f t="shared" si="13"/>
        <v>-0.14661076666998096</v>
      </c>
    </row>
    <row r="282" spans="1:12" x14ac:dyDescent="0.3">
      <c r="A282" s="2">
        <v>45421</v>
      </c>
      <c r="B282">
        <v>389.931884765625</v>
      </c>
      <c r="C282">
        <f t="shared" si="14"/>
        <v>1.3303136001943303E-2</v>
      </c>
      <c r="K282">
        <f t="shared" si="12"/>
        <v>478.50546264648438</v>
      </c>
      <c r="L282" s="5">
        <f t="shared" si="13"/>
        <v>-0.18510463264302746</v>
      </c>
    </row>
    <row r="283" spans="1:12" x14ac:dyDescent="0.3">
      <c r="A283" s="2">
        <v>45422</v>
      </c>
      <c r="B283">
        <v>395.11920166015619</v>
      </c>
      <c r="C283">
        <f t="shared" si="14"/>
        <v>-1.2015895865582599E-2</v>
      </c>
      <c r="K283">
        <f t="shared" si="12"/>
        <v>478.50546264648438</v>
      </c>
      <c r="L283" s="5">
        <f t="shared" si="13"/>
        <v>-0.17426396874372407</v>
      </c>
    </row>
    <row r="284" spans="1:12" x14ac:dyDescent="0.3">
      <c r="A284" s="2">
        <v>45425</v>
      </c>
      <c r="B284">
        <v>390.37149047851563</v>
      </c>
      <c r="C284">
        <f t="shared" si="14"/>
        <v>1.0585463550446372E-2</v>
      </c>
      <c r="K284">
        <f t="shared" si="12"/>
        <v>478.50546264648438</v>
      </c>
      <c r="L284" s="5">
        <f t="shared" si="13"/>
        <v>-0.18418592690775892</v>
      </c>
    </row>
    <row r="285" spans="1:12" x14ac:dyDescent="0.3">
      <c r="A285" s="2">
        <v>45426</v>
      </c>
      <c r="B285">
        <v>394.50375366210938</v>
      </c>
      <c r="C285">
        <f t="shared" si="14"/>
        <v>4.267894908207958E-2</v>
      </c>
      <c r="K285">
        <f t="shared" si="12"/>
        <v>478.50546264648438</v>
      </c>
      <c r="L285" s="5">
        <f t="shared" si="13"/>
        <v>-0.17555015677309982</v>
      </c>
    </row>
    <row r="286" spans="1:12" x14ac:dyDescent="0.3">
      <c r="A286" s="2">
        <v>45427</v>
      </c>
      <c r="B286">
        <v>411.34075927734381</v>
      </c>
      <c r="C286">
        <f t="shared" si="14"/>
        <v>9.61805690025567E-4</v>
      </c>
      <c r="K286">
        <f t="shared" si="12"/>
        <v>478.50546264648438</v>
      </c>
      <c r="L286" s="5">
        <f t="shared" si="13"/>
        <v>-0.14036350389329044</v>
      </c>
    </row>
    <row r="287" spans="1:12" x14ac:dyDescent="0.3">
      <c r="A287" s="2">
        <v>45428</v>
      </c>
      <c r="B287">
        <v>411.73638916015619</v>
      </c>
      <c r="C287">
        <f t="shared" si="14"/>
        <v>4.1640916415910398E-3</v>
      </c>
      <c r="K287">
        <f t="shared" si="12"/>
        <v>478.50546264648438</v>
      </c>
      <c r="L287" s="5">
        <f t="shared" si="13"/>
        <v>-0.13953670061998136</v>
      </c>
    </row>
    <row r="288" spans="1:12" x14ac:dyDescent="0.3">
      <c r="A288" s="2">
        <v>45429</v>
      </c>
      <c r="B288">
        <v>413.45089721679688</v>
      </c>
      <c r="C288">
        <f t="shared" si="14"/>
        <v>4.3381146931430775E-2</v>
      </c>
      <c r="K288">
        <f t="shared" si="12"/>
        <v>478.50546264648438</v>
      </c>
      <c r="L288" s="5">
        <f t="shared" si="13"/>
        <v>-0.13595365258713721</v>
      </c>
    </row>
    <row r="289" spans="1:12" x14ac:dyDescent="0.3">
      <c r="A289" s="2">
        <v>45433</v>
      </c>
      <c r="B289">
        <v>431.38687133789063</v>
      </c>
      <c r="C289">
        <f t="shared" si="14"/>
        <v>2.2521229073794575E-2</v>
      </c>
      <c r="K289">
        <f t="shared" si="12"/>
        <v>478.50546264648438</v>
      </c>
      <c r="L289" s="5">
        <f t="shared" si="13"/>
        <v>-9.8470331034453684E-2</v>
      </c>
    </row>
    <row r="290" spans="1:12" x14ac:dyDescent="0.3">
      <c r="A290" s="2">
        <v>45434</v>
      </c>
      <c r="B290">
        <v>441.10223388671881</v>
      </c>
      <c r="C290">
        <f t="shared" si="14"/>
        <v>-8.7703519251853251E-3</v>
      </c>
      <c r="K290">
        <f t="shared" si="12"/>
        <v>478.50546264648438</v>
      </c>
      <c r="L290" s="5">
        <f t="shared" si="13"/>
        <v>-7.81667748428585E-2</v>
      </c>
    </row>
    <row r="291" spans="1:12" x14ac:dyDescent="0.3">
      <c r="A291" s="2">
        <v>45435</v>
      </c>
      <c r="B291">
        <v>437.23361206054688</v>
      </c>
      <c r="C291">
        <f t="shared" si="14"/>
        <v>7.4402864299839E-3</v>
      </c>
      <c r="K291">
        <f t="shared" si="12"/>
        <v>478.50546264648438</v>
      </c>
      <c r="L291" s="5">
        <f t="shared" si="13"/>
        <v>-8.625157664381522E-2</v>
      </c>
    </row>
    <row r="292" spans="1:12" x14ac:dyDescent="0.3">
      <c r="A292" s="2">
        <v>45436</v>
      </c>
      <c r="B292">
        <v>440.48675537109381</v>
      </c>
      <c r="C292">
        <f t="shared" si="14"/>
        <v>-1.307390187108529E-2</v>
      </c>
      <c r="K292">
        <f t="shared" si="12"/>
        <v>478.50546264648438</v>
      </c>
      <c r="L292" s="5">
        <f t="shared" si="13"/>
        <v>-7.9453026649099034E-2</v>
      </c>
    </row>
    <row r="293" spans="1:12" x14ac:dyDescent="0.3">
      <c r="A293" s="2">
        <v>45439</v>
      </c>
      <c r="B293">
        <v>434.72787475585938</v>
      </c>
      <c r="C293">
        <f t="shared" si="14"/>
        <v>-1.3752668186387066E-2</v>
      </c>
      <c r="K293">
        <f t="shared" si="12"/>
        <v>478.50546264648438</v>
      </c>
      <c r="L293" s="5">
        <f t="shared" si="13"/>
        <v>-9.1488167446413193E-2</v>
      </c>
    </row>
    <row r="294" spans="1:12" x14ac:dyDescent="0.3">
      <c r="A294" s="2">
        <v>45440</v>
      </c>
      <c r="B294">
        <v>428.74920654296881</v>
      </c>
      <c r="C294">
        <f t="shared" si="14"/>
        <v>-2.4607000485578705E-3</v>
      </c>
      <c r="K294">
        <f t="shared" si="12"/>
        <v>478.50546264648438</v>
      </c>
      <c r="L294" s="5">
        <f t="shared" si="13"/>
        <v>-0.10398262922292922</v>
      </c>
    </row>
    <row r="295" spans="1:12" x14ac:dyDescent="0.3">
      <c r="A295" s="2">
        <v>45441</v>
      </c>
      <c r="B295">
        <v>427.69418334960938</v>
      </c>
      <c r="C295">
        <f t="shared" si="14"/>
        <v>-8.8396576647504724E-3</v>
      </c>
      <c r="K295">
        <f t="shared" si="12"/>
        <v>478.50546264648438</v>
      </c>
      <c r="L295" s="5">
        <f t="shared" si="13"/>
        <v>-0.10618745921070905</v>
      </c>
    </row>
    <row r="296" spans="1:12" x14ac:dyDescent="0.3">
      <c r="A296" s="2">
        <v>45442</v>
      </c>
      <c r="B296">
        <v>423.91351318359381</v>
      </c>
      <c r="C296">
        <f t="shared" si="14"/>
        <v>1.8770195923948942E-2</v>
      </c>
      <c r="K296">
        <f t="shared" si="12"/>
        <v>478.50546264648438</v>
      </c>
      <c r="L296" s="5">
        <f t="shared" si="13"/>
        <v>-0.1140884560877472</v>
      </c>
    </row>
    <row r="297" spans="1:12" x14ac:dyDescent="0.3">
      <c r="A297" s="2">
        <v>45443</v>
      </c>
      <c r="B297">
        <v>431.87045288085938</v>
      </c>
      <c r="C297">
        <f t="shared" si="14"/>
        <v>4.3057602742770505E-2</v>
      </c>
      <c r="K297">
        <f t="shared" si="12"/>
        <v>478.50546264648438</v>
      </c>
      <c r="L297" s="5">
        <f t="shared" si="13"/>
        <v>-9.7459722837226037E-2</v>
      </c>
    </row>
    <row r="298" spans="1:12" x14ac:dyDescent="0.3">
      <c r="A298" s="2">
        <v>45446</v>
      </c>
      <c r="B298">
        <v>450.46575927734381</v>
      </c>
      <c r="C298">
        <f t="shared" si="14"/>
        <v>-0.13750348726246486</v>
      </c>
      <c r="K298">
        <f t="shared" si="12"/>
        <v>478.50546264648438</v>
      </c>
      <c r="L298" s="5">
        <f t="shared" si="13"/>
        <v>-5.8598502123801355E-2</v>
      </c>
    </row>
    <row r="299" spans="1:12" x14ac:dyDescent="0.3">
      <c r="A299" s="2">
        <v>45447</v>
      </c>
      <c r="B299">
        <v>388.525146484375</v>
      </c>
      <c r="C299">
        <f t="shared" si="14"/>
        <v>4.2203982156580465E-2</v>
      </c>
      <c r="K299">
        <f t="shared" si="12"/>
        <v>478.50546264648438</v>
      </c>
      <c r="L299" s="5">
        <f t="shared" si="13"/>
        <v>-0.1880444909958866</v>
      </c>
    </row>
    <row r="300" spans="1:12" x14ac:dyDescent="0.3">
      <c r="A300" s="2">
        <v>45448</v>
      </c>
      <c r="B300">
        <v>404.92245483398438</v>
      </c>
      <c r="C300">
        <f t="shared" si="14"/>
        <v>2.6924371777094003E-2</v>
      </c>
      <c r="K300">
        <f t="shared" si="12"/>
        <v>478.50546264648438</v>
      </c>
      <c r="L300" s="5">
        <f t="shared" si="13"/>
        <v>-0.15377673518193979</v>
      </c>
    </row>
    <row r="301" spans="1:12" x14ac:dyDescent="0.3">
      <c r="A301" s="2">
        <v>45449</v>
      </c>
      <c r="B301">
        <v>415.82473754882813</v>
      </c>
      <c r="C301">
        <f t="shared" si="14"/>
        <v>1.3109081375000182E-2</v>
      </c>
      <c r="K301">
        <f t="shared" si="12"/>
        <v>478.50546264648438</v>
      </c>
      <c r="L301" s="5">
        <f t="shared" si="13"/>
        <v>-0.13099270539355201</v>
      </c>
    </row>
    <row r="302" spans="1:12" x14ac:dyDescent="0.3">
      <c r="A302" s="2">
        <v>45450</v>
      </c>
      <c r="B302">
        <v>421.27581787109381</v>
      </c>
      <c r="C302">
        <f t="shared" si="14"/>
        <v>-3.0260716066208226E-3</v>
      </c>
      <c r="K302">
        <f t="shared" si="12"/>
        <v>478.50546264648438</v>
      </c>
      <c r="L302" s="5">
        <f t="shared" si="13"/>
        <v>-0.11960081805308731</v>
      </c>
    </row>
    <row r="303" spans="1:12" x14ac:dyDescent="0.3">
      <c r="A303" s="2">
        <v>45453</v>
      </c>
      <c r="B303">
        <v>420.00100708007813</v>
      </c>
      <c r="C303">
        <f t="shared" si="14"/>
        <v>-2.8259936190803579E-3</v>
      </c>
      <c r="K303">
        <f t="shared" si="12"/>
        <v>478.50546264648438</v>
      </c>
      <c r="L303" s="5">
        <f t="shared" si="13"/>
        <v>-0.12226496902006911</v>
      </c>
    </row>
    <row r="304" spans="1:12" x14ac:dyDescent="0.3">
      <c r="A304" s="2">
        <v>45454</v>
      </c>
      <c r="B304">
        <v>418.8140869140625</v>
      </c>
      <c r="C304">
        <f t="shared" si="14"/>
        <v>2.5926317246806618E-2</v>
      </c>
      <c r="K304">
        <f t="shared" si="12"/>
        <v>478.50546264648438</v>
      </c>
      <c r="L304" s="5">
        <f t="shared" si="13"/>
        <v>-0.12474544261686171</v>
      </c>
    </row>
    <row r="305" spans="1:12" x14ac:dyDescent="0.3">
      <c r="A305" s="2">
        <v>45455</v>
      </c>
      <c r="B305">
        <v>429.67239379882813</v>
      </c>
      <c r="C305">
        <f t="shared" si="14"/>
        <v>-1.6370603938135608E-3</v>
      </c>
      <c r="K305">
        <f t="shared" si="12"/>
        <v>478.50546264648438</v>
      </c>
      <c r="L305" s="5">
        <f t="shared" si="13"/>
        <v>-0.10205331529043316</v>
      </c>
    </row>
    <row r="306" spans="1:12" x14ac:dyDescent="0.3">
      <c r="A306" s="2">
        <v>45456</v>
      </c>
      <c r="B306">
        <v>428.968994140625</v>
      </c>
      <c r="C306">
        <f t="shared" si="14"/>
        <v>-1.9470057032868028E-3</v>
      </c>
      <c r="K306">
        <f t="shared" si="12"/>
        <v>478.50546264648438</v>
      </c>
      <c r="L306" s="5">
        <f t="shared" si="13"/>
        <v>-0.10352330824372735</v>
      </c>
    </row>
    <row r="307" spans="1:12" x14ac:dyDescent="0.3">
      <c r="A307" s="2">
        <v>45457</v>
      </c>
      <c r="B307">
        <v>428.1337890625</v>
      </c>
      <c r="C307">
        <f t="shared" si="14"/>
        <v>4.3125397745028046E-3</v>
      </c>
      <c r="K307">
        <f t="shared" si="12"/>
        <v>478.50546264648438</v>
      </c>
      <c r="L307" s="5">
        <f t="shared" si="13"/>
        <v>-0.10526875347544051</v>
      </c>
    </row>
    <row r="308" spans="1:12" x14ac:dyDescent="0.3">
      <c r="A308" s="2">
        <v>45461</v>
      </c>
      <c r="B308">
        <v>429.98013305664063</v>
      </c>
      <c r="C308">
        <f t="shared" si="14"/>
        <v>-2.2697042475830913E-2</v>
      </c>
      <c r="K308">
        <f t="shared" si="12"/>
        <v>478.50546264648438</v>
      </c>
      <c r="L308" s="5">
        <f t="shared" si="13"/>
        <v>-0.10141018938731283</v>
      </c>
    </row>
    <row r="309" spans="1:12" x14ac:dyDescent="0.3">
      <c r="A309" s="2">
        <v>45462</v>
      </c>
      <c r="B309">
        <v>420.22085571289063</v>
      </c>
      <c r="C309">
        <f t="shared" si="14"/>
        <v>1.0879681087528015E-2</v>
      </c>
      <c r="K309">
        <f t="shared" si="12"/>
        <v>478.50546264648438</v>
      </c>
      <c r="L309" s="5">
        <f t="shared" si="13"/>
        <v>-0.12180552048713789</v>
      </c>
    </row>
    <row r="310" spans="1:12" x14ac:dyDescent="0.3">
      <c r="A310" s="2">
        <v>45463</v>
      </c>
      <c r="B310">
        <v>424.792724609375</v>
      </c>
      <c r="C310">
        <f t="shared" si="14"/>
        <v>-6.1057035514218505E-3</v>
      </c>
      <c r="K310">
        <f t="shared" si="12"/>
        <v>478.50546264648438</v>
      </c>
      <c r="L310" s="5">
        <f t="shared" si="13"/>
        <v>-0.11225104461721025</v>
      </c>
    </row>
    <row r="311" spans="1:12" x14ac:dyDescent="0.3">
      <c r="A311" s="2">
        <v>45464</v>
      </c>
      <c r="B311">
        <v>422.19906616210938</v>
      </c>
      <c r="C311">
        <f t="shared" si="14"/>
        <v>-1.353604316822892E-2</v>
      </c>
      <c r="K311">
        <f t="shared" si="12"/>
        <v>478.50546264648438</v>
      </c>
      <c r="L311" s="5">
        <f t="shared" si="13"/>
        <v>-0.117671376566862</v>
      </c>
    </row>
    <row r="312" spans="1:12" x14ac:dyDescent="0.3">
      <c r="A312" s="2">
        <v>45467</v>
      </c>
      <c r="B312">
        <v>416.48416137695313</v>
      </c>
      <c r="C312">
        <f t="shared" si="14"/>
        <v>-9.3942026706570862E-3</v>
      </c>
      <c r="K312">
        <f t="shared" si="12"/>
        <v>478.50546264648438</v>
      </c>
      <c r="L312" s="5">
        <f t="shared" si="13"/>
        <v>-0.12961461490221704</v>
      </c>
    </row>
    <row r="313" spans="1:12" x14ac:dyDescent="0.3">
      <c r="A313" s="2">
        <v>45468</v>
      </c>
      <c r="B313">
        <v>412.57162475585938</v>
      </c>
      <c r="C313">
        <f t="shared" si="14"/>
        <v>-1.0653778674053918E-3</v>
      </c>
      <c r="K313">
        <f t="shared" si="12"/>
        <v>478.50546264648438</v>
      </c>
      <c r="L313" s="5">
        <f t="shared" si="13"/>
        <v>-0.13779119161140352</v>
      </c>
    </row>
    <row r="314" spans="1:12" x14ac:dyDescent="0.3">
      <c r="A314" s="2">
        <v>45469</v>
      </c>
      <c r="B314">
        <v>412.132080078125</v>
      </c>
      <c r="C314">
        <f t="shared" si="14"/>
        <v>-3.626725541779847E-3</v>
      </c>
      <c r="K314">
        <f t="shared" si="12"/>
        <v>478.50546264648438</v>
      </c>
      <c r="L314" s="5">
        <f t="shared" si="13"/>
        <v>-0.13870976979294269</v>
      </c>
    </row>
    <row r="315" spans="1:12" x14ac:dyDescent="0.3">
      <c r="A315" s="2">
        <v>45470</v>
      </c>
      <c r="B315">
        <v>410.63739013671881</v>
      </c>
      <c r="C315">
        <f t="shared" si="14"/>
        <v>1.3060646268670109E-2</v>
      </c>
      <c r="K315">
        <f t="shared" si="12"/>
        <v>478.50546264648438</v>
      </c>
      <c r="L315" s="5">
        <f t="shared" si="13"/>
        <v>-0.14183343306972007</v>
      </c>
    </row>
    <row r="316" spans="1:12" x14ac:dyDescent="0.3">
      <c r="A316" s="2">
        <v>45471</v>
      </c>
      <c r="B316">
        <v>416.00057983398438</v>
      </c>
      <c r="C316">
        <f t="shared" si="14"/>
        <v>3.4872153166924246E-3</v>
      </c>
      <c r="K316">
        <f t="shared" si="12"/>
        <v>478.50546264648438</v>
      </c>
      <c r="L316" s="5">
        <f t="shared" si="13"/>
        <v>-0.13062522309944469</v>
      </c>
    </row>
    <row r="317" spans="1:12" x14ac:dyDescent="0.3">
      <c r="A317" s="2">
        <v>45474</v>
      </c>
      <c r="B317">
        <v>417.45126342773438</v>
      </c>
      <c r="C317">
        <f t="shared" si="14"/>
        <v>9.0565546142372683E-3</v>
      </c>
      <c r="K317">
        <f t="shared" si="12"/>
        <v>478.50546264648438</v>
      </c>
      <c r="L317" s="5">
        <f t="shared" si="13"/>
        <v>-0.12759352606149099</v>
      </c>
    </row>
    <row r="318" spans="1:12" x14ac:dyDescent="0.3">
      <c r="A318" s="2">
        <v>45475</v>
      </c>
      <c r="B318">
        <v>421.23193359375</v>
      </c>
      <c r="C318">
        <f t="shared" si="14"/>
        <v>1.2210380290326806E-2</v>
      </c>
      <c r="K318">
        <f t="shared" si="12"/>
        <v>478.50546264648438</v>
      </c>
      <c r="L318" s="5">
        <f t="shared" si="13"/>
        <v>-0.11969252918445272</v>
      </c>
    </row>
    <row r="319" spans="1:12" x14ac:dyDescent="0.3">
      <c r="A319" s="2">
        <v>45476</v>
      </c>
      <c r="B319">
        <v>426.37533569335938</v>
      </c>
      <c r="C319">
        <f t="shared" si="14"/>
        <v>9.4854749325893987E-3</v>
      </c>
      <c r="K319">
        <f t="shared" si="12"/>
        <v>478.50546264648438</v>
      </c>
      <c r="L319" s="5">
        <f t="shared" si="13"/>
        <v>-0.1089436401933791</v>
      </c>
    </row>
    <row r="320" spans="1:12" x14ac:dyDescent="0.3">
      <c r="A320" s="2">
        <v>45477</v>
      </c>
      <c r="B320">
        <v>430.41970825195313</v>
      </c>
      <c r="C320">
        <f t="shared" si="14"/>
        <v>3.9833400371087719E-3</v>
      </c>
      <c r="K320">
        <f t="shared" si="12"/>
        <v>478.50546264648438</v>
      </c>
      <c r="L320" s="5">
        <f t="shared" si="13"/>
        <v>-0.10049154742890909</v>
      </c>
    </row>
    <row r="321" spans="1:12" x14ac:dyDescent="0.3">
      <c r="A321" s="2">
        <v>45478</v>
      </c>
      <c r="B321">
        <v>432.13421630859381</v>
      </c>
      <c r="C321">
        <f t="shared" si="14"/>
        <v>3.6622431334528893E-3</v>
      </c>
      <c r="K321">
        <f t="shared" si="12"/>
        <v>478.50546264648438</v>
      </c>
      <c r="L321" s="5">
        <f t="shared" si="13"/>
        <v>-9.6908499396064829E-2</v>
      </c>
    </row>
    <row r="322" spans="1:12" x14ac:dyDescent="0.3">
      <c r="A322" s="2">
        <v>45481</v>
      </c>
      <c r="B322">
        <v>433.716796875</v>
      </c>
      <c r="C322">
        <f t="shared" si="14"/>
        <v>1.0135777909872424E-3</v>
      </c>
      <c r="K322">
        <f t="shared" ref="K322:K385" si="15">MAX(B322:B1061)</f>
        <v>478.50546264648438</v>
      </c>
      <c r="L322" s="5">
        <f t="shared" ref="L322:L385" si="16">B322/K322-1</f>
        <v>-9.3601158749098468E-2</v>
      </c>
    </row>
    <row r="323" spans="1:12" x14ac:dyDescent="0.3">
      <c r="A323" s="2">
        <v>45482</v>
      </c>
      <c r="B323">
        <v>434.15640258789063</v>
      </c>
      <c r="C323">
        <f t="shared" ref="C323:C386" si="17">(B324-B323)/B323</f>
        <v>-6.1765992426633691E-3</v>
      </c>
      <c r="K323">
        <f t="shared" si="15"/>
        <v>478.50546264648438</v>
      </c>
      <c r="L323" s="5">
        <f t="shared" si="16"/>
        <v>-9.2682453013829935E-2</v>
      </c>
    </row>
    <row r="324" spans="1:12" x14ac:dyDescent="0.3">
      <c r="A324" s="2">
        <v>45483</v>
      </c>
      <c r="B324">
        <v>431.47479248046881</v>
      </c>
      <c r="C324">
        <f t="shared" si="17"/>
        <v>1.895050742769798E-2</v>
      </c>
      <c r="K324">
        <f t="shared" si="15"/>
        <v>478.50546264648438</v>
      </c>
      <c r="L324" s="5">
        <f t="shared" si="16"/>
        <v>-9.8286589887399911E-2</v>
      </c>
    </row>
    <row r="325" spans="1:12" x14ac:dyDescent="0.3">
      <c r="A325" s="2">
        <v>45484</v>
      </c>
      <c r="B325">
        <v>439.65145874023438</v>
      </c>
      <c r="C325">
        <f t="shared" si="17"/>
        <v>-7.6990946933046074E-3</v>
      </c>
      <c r="K325">
        <f t="shared" si="15"/>
        <v>478.50546264648438</v>
      </c>
      <c r="L325" s="5">
        <f t="shared" si="16"/>
        <v>-8.119866321140623E-2</v>
      </c>
    </row>
    <row r="326" spans="1:12" x14ac:dyDescent="0.3">
      <c r="A326" s="2">
        <v>45485</v>
      </c>
      <c r="B326">
        <v>436.26654052734381</v>
      </c>
      <c r="C326">
        <f t="shared" si="17"/>
        <v>3.1236223890708423E-3</v>
      </c>
      <c r="K326">
        <f t="shared" si="15"/>
        <v>478.50546264648438</v>
      </c>
      <c r="L326" s="5">
        <f t="shared" si="16"/>
        <v>-8.8272601707676479E-2</v>
      </c>
    </row>
    <row r="327" spans="1:12" x14ac:dyDescent="0.3">
      <c r="A327" s="2">
        <v>45488</v>
      </c>
      <c r="B327">
        <v>437.6292724609375</v>
      </c>
      <c r="C327">
        <f t="shared" si="17"/>
        <v>2.9532986765350176E-2</v>
      </c>
      <c r="K327">
        <f t="shared" si="15"/>
        <v>478.50546264648438</v>
      </c>
      <c r="L327" s="5">
        <f t="shared" si="16"/>
        <v>-8.5424709593641235E-2</v>
      </c>
    </row>
    <row r="328" spans="1:12" x14ac:dyDescent="0.3">
      <c r="A328" s="2">
        <v>45489</v>
      </c>
      <c r="B328">
        <v>450.55377197265619</v>
      </c>
      <c r="C328">
        <f t="shared" si="17"/>
        <v>-1.4050295907285194E-2</v>
      </c>
      <c r="K328">
        <f t="shared" si="15"/>
        <v>478.50546264648438</v>
      </c>
      <c r="L328" s="5">
        <f t="shared" si="16"/>
        <v>-5.8414569646153991E-2</v>
      </c>
    </row>
    <row r="329" spans="1:12" x14ac:dyDescent="0.3">
      <c r="A329" s="2">
        <v>45491</v>
      </c>
      <c r="B329">
        <v>444.22335815429688</v>
      </c>
      <c r="C329">
        <f t="shared" si="17"/>
        <v>-3.4141411240801452E-2</v>
      </c>
      <c r="K329">
        <f t="shared" si="15"/>
        <v>478.50546264648438</v>
      </c>
      <c r="L329" s="5">
        <f t="shared" si="16"/>
        <v>-7.1644123564613915E-2</v>
      </c>
    </row>
    <row r="330" spans="1:12" x14ac:dyDescent="0.3">
      <c r="A330" s="2">
        <v>45492</v>
      </c>
      <c r="B330">
        <v>429.05694580078119</v>
      </c>
      <c r="C330">
        <f t="shared" si="17"/>
        <v>6.5574211246647515E-3</v>
      </c>
      <c r="K330">
        <f t="shared" si="15"/>
        <v>478.50546264648438</v>
      </c>
      <c r="L330" s="5">
        <f t="shared" si="16"/>
        <v>-0.10333950331980912</v>
      </c>
    </row>
    <row r="331" spans="1:12" x14ac:dyDescent="0.3">
      <c r="A331" s="2">
        <v>45495</v>
      </c>
      <c r="B331">
        <v>431.87045288085938</v>
      </c>
      <c r="C331">
        <f t="shared" si="17"/>
        <v>-8.5505942784565147E-3</v>
      </c>
      <c r="K331">
        <f t="shared" si="15"/>
        <v>478.50546264648438</v>
      </c>
      <c r="L331" s="5">
        <f t="shared" si="16"/>
        <v>-9.7459722837226037E-2</v>
      </c>
    </row>
    <row r="332" spans="1:12" x14ac:dyDescent="0.3">
      <c r="A332" s="2">
        <v>45496</v>
      </c>
      <c r="B332">
        <v>428.17770385742188</v>
      </c>
      <c r="C332">
        <f t="shared" si="17"/>
        <v>1.3963124834868997E-2</v>
      </c>
      <c r="K332">
        <f t="shared" si="15"/>
        <v>478.50546264648438</v>
      </c>
      <c r="L332" s="5">
        <f t="shared" si="16"/>
        <v>-0.10517697856721064</v>
      </c>
    </row>
    <row r="333" spans="1:12" x14ac:dyDescent="0.3">
      <c r="A333" s="2">
        <v>45497</v>
      </c>
      <c r="B333">
        <v>434.15640258789063</v>
      </c>
      <c r="C333">
        <f t="shared" si="17"/>
        <v>4.0495030484455542E-4</v>
      </c>
      <c r="K333">
        <f t="shared" si="15"/>
        <v>478.50546264648438</v>
      </c>
      <c r="L333" s="5">
        <f t="shared" si="16"/>
        <v>-9.2682453013829935E-2</v>
      </c>
    </row>
    <row r="334" spans="1:12" x14ac:dyDescent="0.3">
      <c r="A334" s="2">
        <v>45498</v>
      </c>
      <c r="B334">
        <v>434.33221435546881</v>
      </c>
      <c r="C334">
        <f t="shared" si="17"/>
        <v>3.208492461951401E-2</v>
      </c>
      <c r="K334">
        <f t="shared" si="15"/>
        <v>478.50546264648438</v>
      </c>
      <c r="L334" s="5">
        <f t="shared" si="16"/>
        <v>-9.2315034496587067E-2</v>
      </c>
    </row>
    <row r="335" spans="1:12" x14ac:dyDescent="0.3">
      <c r="A335" s="2">
        <v>45499</v>
      </c>
      <c r="B335">
        <v>448.26773071289063</v>
      </c>
      <c r="C335">
        <f t="shared" si="17"/>
        <v>4.5112489164391882E-3</v>
      </c>
      <c r="K335">
        <f t="shared" si="15"/>
        <v>478.50546264648438</v>
      </c>
      <c r="L335" s="5">
        <f t="shared" si="16"/>
        <v>-6.3192030800143906E-2</v>
      </c>
    </row>
    <row r="336" spans="1:12" x14ac:dyDescent="0.3">
      <c r="A336" s="2">
        <v>45502</v>
      </c>
      <c r="B336">
        <v>450.28997802734381</v>
      </c>
      <c r="C336">
        <f t="shared" si="17"/>
        <v>1.4058391463508561E-2</v>
      </c>
      <c r="K336">
        <f t="shared" si="15"/>
        <v>478.50546264648438</v>
      </c>
      <c r="L336" s="5">
        <f t="shared" si="16"/>
        <v>-5.8965856864179433E-2</v>
      </c>
    </row>
    <row r="337" spans="1:12" x14ac:dyDescent="0.3">
      <c r="A337" s="2">
        <v>45503</v>
      </c>
      <c r="B337">
        <v>456.62033081054688</v>
      </c>
      <c r="C337">
        <f t="shared" si="17"/>
        <v>5.4877064615053532E-3</v>
      </c>
      <c r="K337">
        <f t="shared" si="15"/>
        <v>478.50546264648438</v>
      </c>
      <c r="L337" s="5">
        <f t="shared" si="16"/>
        <v>-4.5736430499448755E-2</v>
      </c>
    </row>
    <row r="338" spans="1:12" x14ac:dyDescent="0.3">
      <c r="A338" s="2">
        <v>45504</v>
      </c>
      <c r="B338">
        <v>459.12612915039063</v>
      </c>
      <c r="C338">
        <f t="shared" si="17"/>
        <v>3.4852467439411165E-2</v>
      </c>
      <c r="K338">
        <f t="shared" si="15"/>
        <v>478.50546264648438</v>
      </c>
      <c r="L338" s="5">
        <f t="shared" si="16"/>
        <v>-4.0499712143121425E-2</v>
      </c>
    </row>
    <row r="339" spans="1:12" x14ac:dyDescent="0.3">
      <c r="A339" s="2">
        <v>45505</v>
      </c>
      <c r="B339">
        <v>475.1278076171875</v>
      </c>
      <c r="C339">
        <f t="shared" si="17"/>
        <v>-2.9422657400725083E-2</v>
      </c>
      <c r="K339">
        <f t="shared" si="15"/>
        <v>478.50546264648438</v>
      </c>
      <c r="L339" s="5">
        <f t="shared" si="16"/>
        <v>-7.0587596024839216E-3</v>
      </c>
    </row>
    <row r="340" spans="1:12" x14ac:dyDescent="0.3">
      <c r="A340" s="2">
        <v>45506</v>
      </c>
      <c r="B340">
        <v>461.14828491210938</v>
      </c>
      <c r="C340">
        <f t="shared" si="17"/>
        <v>-3.3746485237451329E-2</v>
      </c>
      <c r="K340">
        <f t="shared" si="15"/>
        <v>478.50546264648438</v>
      </c>
      <c r="L340" s="5">
        <f t="shared" si="16"/>
        <v>-3.6273729537750987E-2</v>
      </c>
    </row>
    <row r="341" spans="1:12" x14ac:dyDescent="0.3">
      <c r="A341" s="2">
        <v>45509</v>
      </c>
      <c r="B341">
        <v>445.58615112304688</v>
      </c>
      <c r="C341">
        <f t="shared" si="17"/>
        <v>-1.4206730280261575E-2</v>
      </c>
      <c r="K341">
        <f t="shared" si="15"/>
        <v>478.50546264648438</v>
      </c>
      <c r="L341" s="5">
        <f t="shared" si="16"/>
        <v>-6.8796103896849314E-2</v>
      </c>
    </row>
    <row r="342" spans="1:12" x14ac:dyDescent="0.3">
      <c r="A342" s="2">
        <v>45510</v>
      </c>
      <c r="B342">
        <v>439.25582885742188</v>
      </c>
      <c r="C342">
        <f t="shared" si="17"/>
        <v>6.3851097037662966E-2</v>
      </c>
      <c r="K342">
        <f t="shared" si="15"/>
        <v>478.50546264648438</v>
      </c>
      <c r="L342" s="5">
        <f t="shared" si="16"/>
        <v>-8.2025466484715537E-2</v>
      </c>
    </row>
    <row r="343" spans="1:12" x14ac:dyDescent="0.3">
      <c r="A343" s="2">
        <v>45511</v>
      </c>
      <c r="B343">
        <v>467.30279541015619</v>
      </c>
      <c r="C343">
        <f t="shared" si="17"/>
        <v>-1.514584937950998E-2</v>
      </c>
      <c r="K343">
        <f t="shared" si="15"/>
        <v>478.50546264648438</v>
      </c>
      <c r="L343" s="5">
        <f t="shared" si="16"/>
        <v>-2.3411785467127744E-2</v>
      </c>
    </row>
    <row r="344" spans="1:12" x14ac:dyDescent="0.3">
      <c r="A344" s="2">
        <v>45512</v>
      </c>
      <c r="B344">
        <v>460.22509765625</v>
      </c>
      <c r="C344">
        <f t="shared" si="17"/>
        <v>1.2131103580639993E-2</v>
      </c>
      <c r="K344">
        <f t="shared" si="15"/>
        <v>478.50546264648438</v>
      </c>
      <c r="L344" s="5">
        <f t="shared" si="16"/>
        <v>-3.8203043470247167E-2</v>
      </c>
    </row>
    <row r="345" spans="1:12" x14ac:dyDescent="0.3">
      <c r="A345" s="2">
        <v>45513</v>
      </c>
      <c r="B345">
        <v>465.80813598632813</v>
      </c>
      <c r="C345">
        <f t="shared" si="17"/>
        <v>-1.1041889787344293E-2</v>
      </c>
      <c r="K345">
        <f t="shared" si="15"/>
        <v>478.50546264648438</v>
      </c>
      <c r="L345" s="5">
        <f t="shared" si="16"/>
        <v>-2.6535384967040443E-2</v>
      </c>
    </row>
    <row r="346" spans="1:12" x14ac:dyDescent="0.3">
      <c r="A346" s="2">
        <v>45516</v>
      </c>
      <c r="B346">
        <v>460.66473388671881</v>
      </c>
      <c r="C346">
        <f t="shared" si="17"/>
        <v>-4.1987903063930351E-3</v>
      </c>
      <c r="K346">
        <f t="shared" si="15"/>
        <v>478.50546264648438</v>
      </c>
      <c r="L346" s="5">
        <f t="shared" si="16"/>
        <v>-3.7284273958113956E-2</v>
      </c>
    </row>
    <row r="347" spans="1:12" x14ac:dyDescent="0.3">
      <c r="A347" s="2">
        <v>45517</v>
      </c>
      <c r="B347">
        <v>458.73049926757813</v>
      </c>
      <c r="C347">
        <f t="shared" si="17"/>
        <v>-3.2678647185235096E-2</v>
      </c>
      <c r="K347">
        <f t="shared" si="15"/>
        <v>478.50546264648438</v>
      </c>
      <c r="L347" s="5">
        <f t="shared" si="16"/>
        <v>-4.1326515416430731E-2</v>
      </c>
    </row>
    <row r="348" spans="1:12" x14ac:dyDescent="0.3">
      <c r="A348" s="2">
        <v>45518</v>
      </c>
      <c r="B348">
        <v>443.73980712890619</v>
      </c>
      <c r="C348">
        <f t="shared" si="17"/>
        <v>2.5215147850144559E-2</v>
      </c>
      <c r="K348">
        <f t="shared" si="15"/>
        <v>478.50546264648438</v>
      </c>
      <c r="L348" s="5">
        <f t="shared" si="16"/>
        <v>-7.2654667984977106E-2</v>
      </c>
    </row>
    <row r="349" spans="1:12" x14ac:dyDescent="0.3">
      <c r="A349" s="2">
        <v>45520</v>
      </c>
      <c r="B349">
        <v>454.92877197265619</v>
      </c>
      <c r="C349">
        <f t="shared" si="17"/>
        <v>1.8934191519132011E-2</v>
      </c>
      <c r="K349">
        <f t="shared" si="15"/>
        <v>478.50546264648438</v>
      </c>
      <c r="L349" s="5">
        <f t="shared" si="16"/>
        <v>-4.9271518330076924E-2</v>
      </c>
    </row>
    <row r="350" spans="1:12" x14ac:dyDescent="0.3">
      <c r="A350" s="2">
        <v>45523</v>
      </c>
      <c r="B350">
        <v>463.54248046875</v>
      </c>
      <c r="C350">
        <f t="shared" si="17"/>
        <v>4.980920855124903E-3</v>
      </c>
      <c r="K350">
        <f t="shared" si="15"/>
        <v>478.50546264648438</v>
      </c>
      <c r="L350" s="5">
        <f t="shared" si="16"/>
        <v>-3.1270243175445023E-2</v>
      </c>
    </row>
    <row r="351" spans="1:12" x14ac:dyDescent="0.3">
      <c r="A351" s="2">
        <v>45524</v>
      </c>
      <c r="B351">
        <v>465.85134887695313</v>
      </c>
      <c r="C351">
        <f t="shared" si="17"/>
        <v>1.4487242300483517E-2</v>
      </c>
      <c r="K351">
        <f t="shared" si="15"/>
        <v>478.50546264648438</v>
      </c>
      <c r="L351" s="5">
        <f t="shared" si="16"/>
        <v>-2.6445076926697508E-2</v>
      </c>
    </row>
    <row r="352" spans="1:12" x14ac:dyDescent="0.3">
      <c r="A352" s="2">
        <v>45525</v>
      </c>
      <c r="B352">
        <v>472.60025024414063</v>
      </c>
      <c r="C352">
        <f t="shared" si="17"/>
        <v>-6.2946507414844153E-3</v>
      </c>
      <c r="K352">
        <f t="shared" si="15"/>
        <v>478.50546264648438</v>
      </c>
      <c r="L352" s="5">
        <f t="shared" si="16"/>
        <v>-1.2340950863305999E-2</v>
      </c>
    </row>
    <row r="353" spans="1:12" x14ac:dyDescent="0.3">
      <c r="A353" s="2">
        <v>45526</v>
      </c>
      <c r="B353">
        <v>469.62539672851563</v>
      </c>
      <c r="C353">
        <f t="shared" si="17"/>
        <v>1.8908828142235674E-2</v>
      </c>
      <c r="K353">
        <f t="shared" si="15"/>
        <v>478.50546264648438</v>
      </c>
      <c r="L353" s="5">
        <f t="shared" si="16"/>
        <v>-1.85579196292881E-2</v>
      </c>
    </row>
    <row r="354" spans="1:12" x14ac:dyDescent="0.3">
      <c r="A354" s="2">
        <v>45527</v>
      </c>
      <c r="B354">
        <v>478.50546264648438</v>
      </c>
      <c r="C354">
        <f t="shared" si="17"/>
        <v>-1.3918025172345815E-3</v>
      </c>
      <c r="K354">
        <f t="shared" si="15"/>
        <v>478.50546264648438</v>
      </c>
      <c r="L354" s="5">
        <f t="shared" si="16"/>
        <v>0</v>
      </c>
    </row>
    <row r="355" spans="1:12" x14ac:dyDescent="0.3">
      <c r="A355" s="2">
        <v>45530</v>
      </c>
      <c r="B355">
        <v>477.8394775390625</v>
      </c>
      <c r="C355">
        <f t="shared" si="17"/>
        <v>-1.2451075639787956E-2</v>
      </c>
      <c r="K355">
        <f t="shared" si="15"/>
        <v>477.8394775390625</v>
      </c>
      <c r="L355" s="5">
        <f t="shared" si="16"/>
        <v>0</v>
      </c>
    </row>
    <row r="356" spans="1:12" x14ac:dyDescent="0.3">
      <c r="A356" s="2">
        <v>45531</v>
      </c>
      <c r="B356">
        <v>471.88986206054688</v>
      </c>
      <c r="C356">
        <f t="shared" si="17"/>
        <v>-9.5033353086006432E-3</v>
      </c>
      <c r="K356">
        <f t="shared" si="15"/>
        <v>471.88986206054688</v>
      </c>
      <c r="L356" s="5">
        <f t="shared" si="16"/>
        <v>0</v>
      </c>
    </row>
    <row r="357" spans="1:12" x14ac:dyDescent="0.3">
      <c r="A357" s="2">
        <v>45532</v>
      </c>
      <c r="B357">
        <v>467.40533447265619</v>
      </c>
      <c r="C357">
        <f t="shared" si="17"/>
        <v>2.2798473067729753E-3</v>
      </c>
      <c r="K357">
        <f t="shared" si="15"/>
        <v>470.10000610351563</v>
      </c>
      <c r="L357" s="5">
        <f t="shared" si="16"/>
        <v>-5.7321242201091582E-3</v>
      </c>
    </row>
    <row r="358" spans="1:12" x14ac:dyDescent="0.3">
      <c r="A358" s="2">
        <v>45533</v>
      </c>
      <c r="B358">
        <v>468.470947265625</v>
      </c>
      <c r="C358">
        <f t="shared" si="17"/>
        <v>-4.9282593752426572E-3</v>
      </c>
      <c r="K358">
        <f t="shared" si="15"/>
        <v>470.10000610351563</v>
      </c>
      <c r="L358" s="5">
        <f t="shared" si="16"/>
        <v>-3.4653452813014907E-3</v>
      </c>
    </row>
    <row r="359" spans="1:12" x14ac:dyDescent="0.3">
      <c r="A359" s="2">
        <v>45534</v>
      </c>
      <c r="B359">
        <v>466.16220092773438</v>
      </c>
      <c r="C359">
        <f t="shared" si="17"/>
        <v>-7.810436299930024E-3</v>
      </c>
      <c r="K359">
        <f t="shared" si="15"/>
        <v>470.10000610351563</v>
      </c>
      <c r="L359" s="5">
        <f t="shared" si="16"/>
        <v>-8.3765265361731567E-3</v>
      </c>
    </row>
    <row r="360" spans="1:12" x14ac:dyDescent="0.3">
      <c r="A360" s="2">
        <v>45537</v>
      </c>
      <c r="B360">
        <v>462.52127075195313</v>
      </c>
      <c r="C360">
        <f t="shared" si="17"/>
        <v>-2.3999239371975145E-3</v>
      </c>
      <c r="K360">
        <f t="shared" si="15"/>
        <v>470.10000610351563</v>
      </c>
      <c r="L360" s="5">
        <f t="shared" si="16"/>
        <v>-1.6121538509177746E-2</v>
      </c>
    </row>
    <row r="361" spans="1:12" x14ac:dyDescent="0.3">
      <c r="A361" s="2">
        <v>45538</v>
      </c>
      <c r="B361">
        <v>461.4112548828125</v>
      </c>
      <c r="C361">
        <f t="shared" si="17"/>
        <v>-3.0696667434768447E-2</v>
      </c>
      <c r="K361">
        <f t="shared" si="15"/>
        <v>470.10000610351563</v>
      </c>
      <c r="L361" s="5">
        <f t="shared" si="16"/>
        <v>-1.8482771980202539E-2</v>
      </c>
    </row>
    <row r="362" spans="1:12" x14ac:dyDescent="0.3">
      <c r="A362" s="2">
        <v>45539</v>
      </c>
      <c r="B362">
        <v>447.24746704101563</v>
      </c>
      <c r="C362">
        <f t="shared" si="17"/>
        <v>-1.3203524569945228E-2</v>
      </c>
      <c r="K362">
        <f t="shared" si="15"/>
        <v>470.10000610351563</v>
      </c>
      <c r="L362" s="5">
        <f t="shared" si="16"/>
        <v>-4.8612079910222095E-2</v>
      </c>
    </row>
    <row r="363" spans="1:12" x14ac:dyDescent="0.3">
      <c r="A363" s="2">
        <v>45540</v>
      </c>
      <c r="B363">
        <v>441.34222412109381</v>
      </c>
      <c r="C363">
        <f t="shared" si="17"/>
        <v>-1.7002051320773839E-2</v>
      </c>
      <c r="K363">
        <f t="shared" si="15"/>
        <v>470.10000610351563</v>
      </c>
      <c r="L363" s="5">
        <f t="shared" si="16"/>
        <v>-6.1173753688676613E-2</v>
      </c>
    </row>
    <row r="364" spans="1:12" x14ac:dyDescent="0.3">
      <c r="A364" s="2">
        <v>45541</v>
      </c>
      <c r="B364">
        <v>433.8385009765625</v>
      </c>
      <c r="C364">
        <f t="shared" si="17"/>
        <v>-8.3921519525155426E-3</v>
      </c>
      <c r="K364">
        <f t="shared" si="15"/>
        <v>470.10000610351563</v>
      </c>
      <c r="L364" s="5">
        <f t="shared" si="16"/>
        <v>-7.7135725709751135E-2</v>
      </c>
    </row>
    <row r="365" spans="1:12" x14ac:dyDescent="0.3">
      <c r="A365" s="2">
        <v>45544</v>
      </c>
      <c r="B365">
        <v>430.19766235351563</v>
      </c>
      <c r="C365">
        <f t="shared" si="17"/>
        <v>1.3726884068113164E-2</v>
      </c>
      <c r="K365">
        <f t="shared" si="15"/>
        <v>470.10000610351563</v>
      </c>
      <c r="L365" s="5">
        <f t="shared" si="16"/>
        <v>-8.4880542931142888E-2</v>
      </c>
    </row>
    <row r="366" spans="1:12" x14ac:dyDescent="0.3">
      <c r="A366" s="2">
        <v>45545</v>
      </c>
      <c r="B366">
        <v>436.10293579101563</v>
      </c>
      <c r="C366">
        <f t="shared" si="17"/>
        <v>-1.4559117035348859E-2</v>
      </c>
      <c r="K366">
        <f t="shared" si="15"/>
        <v>470.10000610351563</v>
      </c>
      <c r="L366" s="5">
        <f t="shared" si="16"/>
        <v>-7.2318804235484091E-2</v>
      </c>
    </row>
    <row r="367" spans="1:12" x14ac:dyDescent="0.3">
      <c r="A367" s="2">
        <v>45546</v>
      </c>
      <c r="B367">
        <v>429.753662109375</v>
      </c>
      <c r="C367">
        <f t="shared" si="17"/>
        <v>2.4175964950851187E-2</v>
      </c>
      <c r="K367">
        <f t="shared" si="15"/>
        <v>470.10000610351563</v>
      </c>
      <c r="L367" s="5">
        <f t="shared" si="16"/>
        <v>-8.5825023336111972E-2</v>
      </c>
    </row>
    <row r="368" spans="1:12" x14ac:dyDescent="0.3">
      <c r="A368" s="2">
        <v>45547</v>
      </c>
      <c r="B368">
        <v>440.14337158203119</v>
      </c>
      <c r="C368">
        <f t="shared" si="17"/>
        <v>-1.0894762656821263E-2</v>
      </c>
      <c r="K368">
        <f t="shared" si="15"/>
        <v>470.10000610351563</v>
      </c>
      <c r="L368" s="5">
        <f t="shared" si="16"/>
        <v>-6.3723961141340602E-2</v>
      </c>
    </row>
    <row r="369" spans="1:12" x14ac:dyDescent="0.3">
      <c r="A369" s="2">
        <v>45548</v>
      </c>
      <c r="B369">
        <v>435.34811401367188</v>
      </c>
      <c r="C369">
        <f t="shared" si="17"/>
        <v>6.1193844977041447E-3</v>
      </c>
      <c r="K369">
        <f t="shared" si="15"/>
        <v>470.10000610351563</v>
      </c>
      <c r="L369" s="5">
        <f t="shared" si="16"/>
        <v>-7.3924466365974495E-2</v>
      </c>
    </row>
    <row r="370" spans="1:12" x14ac:dyDescent="0.3">
      <c r="A370" s="2">
        <v>45551</v>
      </c>
      <c r="B370">
        <v>438.01217651367188</v>
      </c>
      <c r="C370">
        <f t="shared" si="17"/>
        <v>-9.6300487508241429E-3</v>
      </c>
      <c r="K370">
        <f t="shared" si="15"/>
        <v>470.10000610351563</v>
      </c>
      <c r="L370" s="5">
        <f t="shared" si="16"/>
        <v>-6.8257454101751325E-2</v>
      </c>
    </row>
    <row r="371" spans="1:12" x14ac:dyDescent="0.3">
      <c r="A371" s="2">
        <v>45552</v>
      </c>
      <c r="B371">
        <v>433.79409790039063</v>
      </c>
      <c r="C371">
        <f t="shared" si="17"/>
        <v>-2.8659336391933204E-3</v>
      </c>
      <c r="K371">
        <f t="shared" si="15"/>
        <v>470.10000610351563</v>
      </c>
      <c r="L371" s="5">
        <f t="shared" si="16"/>
        <v>-7.7230180241968482E-2</v>
      </c>
    </row>
    <row r="372" spans="1:12" x14ac:dyDescent="0.3">
      <c r="A372" s="2">
        <v>45553</v>
      </c>
      <c r="B372">
        <v>432.55087280273438</v>
      </c>
      <c r="C372">
        <f t="shared" si="17"/>
        <v>-1.8784693788064438E-2</v>
      </c>
      <c r="K372">
        <f t="shared" si="15"/>
        <v>470.10000610351563</v>
      </c>
      <c r="L372" s="5">
        <f t="shared" si="16"/>
        <v>-7.9874777309645428E-2</v>
      </c>
    </row>
    <row r="373" spans="1:12" x14ac:dyDescent="0.3">
      <c r="A373" s="2">
        <v>45554</v>
      </c>
      <c r="B373">
        <v>424.425537109375</v>
      </c>
      <c r="C373">
        <f t="shared" si="17"/>
        <v>2.719949184530791E-2</v>
      </c>
      <c r="K373">
        <f t="shared" si="15"/>
        <v>470.10000610351563</v>
      </c>
      <c r="L373" s="5">
        <f t="shared" si="16"/>
        <v>-9.7159047864558312E-2</v>
      </c>
    </row>
    <row r="374" spans="1:12" x14ac:dyDescent="0.3">
      <c r="A374" s="2">
        <v>45555</v>
      </c>
      <c r="B374">
        <v>435.96969604492188</v>
      </c>
      <c r="C374">
        <f t="shared" si="17"/>
        <v>1.9655876389617563E-2</v>
      </c>
      <c r="K374">
        <f t="shared" si="15"/>
        <v>470.10000610351563</v>
      </c>
      <c r="L374" s="5">
        <f t="shared" si="16"/>
        <v>-7.2602232749340301E-2</v>
      </c>
    </row>
    <row r="375" spans="1:12" x14ac:dyDescent="0.3">
      <c r="A375" s="2">
        <v>45558</v>
      </c>
      <c r="B375">
        <v>444.5390625</v>
      </c>
      <c r="C375">
        <f t="shared" si="17"/>
        <v>7.3910580437953639E-3</v>
      </c>
      <c r="K375">
        <f t="shared" si="15"/>
        <v>470.10000610351563</v>
      </c>
      <c r="L375" s="5">
        <f t="shared" si="16"/>
        <v>-5.4373416872254055E-2</v>
      </c>
    </row>
    <row r="376" spans="1:12" x14ac:dyDescent="0.3">
      <c r="A376" s="2">
        <v>45559</v>
      </c>
      <c r="B376">
        <v>447.82467651367188</v>
      </c>
      <c r="C376">
        <f t="shared" si="17"/>
        <v>1.9829199569669979E-3</v>
      </c>
      <c r="K376">
        <f t="shared" si="15"/>
        <v>470.10000610351563</v>
      </c>
      <c r="L376" s="5">
        <f t="shared" si="16"/>
        <v>-4.7384235908600969E-2</v>
      </c>
    </row>
    <row r="377" spans="1:12" x14ac:dyDescent="0.3">
      <c r="A377" s="2">
        <v>45560</v>
      </c>
      <c r="B377">
        <v>448.71267700195313</v>
      </c>
      <c r="C377">
        <f t="shared" si="17"/>
        <v>2.4737787141588829E-3</v>
      </c>
      <c r="K377">
        <f t="shared" si="15"/>
        <v>470.10000610351563</v>
      </c>
      <c r="L377" s="5">
        <f t="shared" si="16"/>
        <v>-4.5495275098662802E-2</v>
      </c>
    </row>
    <row r="378" spans="1:12" x14ac:dyDescent="0.3">
      <c r="A378" s="2">
        <v>45561</v>
      </c>
      <c r="B378">
        <v>449.82269287109381</v>
      </c>
      <c r="C378">
        <f t="shared" si="17"/>
        <v>1.8852982301647316E-2</v>
      </c>
      <c r="K378">
        <f t="shared" si="15"/>
        <v>470.10000610351563</v>
      </c>
      <c r="L378" s="5">
        <f t="shared" si="16"/>
        <v>-4.3134041627637787E-2</v>
      </c>
    </row>
    <row r="379" spans="1:12" x14ac:dyDescent="0.3">
      <c r="A379" s="2">
        <v>45562</v>
      </c>
      <c r="B379">
        <v>458.30319213867188</v>
      </c>
      <c r="C379">
        <f t="shared" si="17"/>
        <v>-1.1528678965637766E-2</v>
      </c>
      <c r="K379">
        <f t="shared" si="15"/>
        <v>470.10000610351563</v>
      </c>
      <c r="L379" s="5">
        <f t="shared" si="16"/>
        <v>-2.5094264649394793E-2</v>
      </c>
    </row>
    <row r="380" spans="1:12" x14ac:dyDescent="0.3">
      <c r="A380" s="2">
        <v>45565</v>
      </c>
      <c r="B380">
        <v>453.01956176757813</v>
      </c>
      <c r="C380">
        <f t="shared" si="17"/>
        <v>-3.2343194082405354E-3</v>
      </c>
      <c r="K380">
        <f t="shared" si="15"/>
        <v>470.10000610351563</v>
      </c>
      <c r="L380" s="5">
        <f t="shared" si="16"/>
        <v>-3.633363989401095E-2</v>
      </c>
    </row>
    <row r="381" spans="1:12" x14ac:dyDescent="0.3">
      <c r="A381" s="2">
        <v>45566</v>
      </c>
      <c r="B381">
        <v>451.55435180664063</v>
      </c>
      <c r="C381">
        <f t="shared" si="17"/>
        <v>-1.2094387245985385E-2</v>
      </c>
      <c r="K381">
        <f t="shared" si="15"/>
        <v>470.10000610351563</v>
      </c>
      <c r="L381" s="5">
        <f t="shared" si="16"/>
        <v>-3.9450444705570242E-2</v>
      </c>
    </row>
    <row r="382" spans="1:12" x14ac:dyDescent="0.3">
      <c r="A382" s="2">
        <v>45568</v>
      </c>
      <c r="B382">
        <v>446.09307861328119</v>
      </c>
      <c r="C382">
        <f t="shared" si="17"/>
        <v>-1.0251766742753144E-2</v>
      </c>
      <c r="K382">
        <f t="shared" si="15"/>
        <v>470.10000610351563</v>
      </c>
      <c r="L382" s="5">
        <f t="shared" si="16"/>
        <v>-5.1067702996260178E-2</v>
      </c>
    </row>
    <row r="383" spans="1:12" x14ac:dyDescent="0.3">
      <c r="A383" s="2">
        <v>45569</v>
      </c>
      <c r="B383">
        <v>441.51983642578119</v>
      </c>
      <c r="C383">
        <f t="shared" si="17"/>
        <v>-3.3688717546549361E-2</v>
      </c>
      <c r="K383">
        <f t="shared" si="15"/>
        <v>470.10000610351563</v>
      </c>
      <c r="L383" s="5">
        <f t="shared" si="16"/>
        <v>-6.0795935559807446E-2</v>
      </c>
    </row>
    <row r="384" spans="1:12" x14ac:dyDescent="0.3">
      <c r="A384" s="2">
        <v>45572</v>
      </c>
      <c r="B384">
        <v>426.64559936523438</v>
      </c>
      <c r="C384">
        <f t="shared" si="17"/>
        <v>2.3727706434250481E-2</v>
      </c>
      <c r="K384">
        <f t="shared" si="15"/>
        <v>470.10000610351563</v>
      </c>
      <c r="L384" s="5">
        <f t="shared" si="16"/>
        <v>-9.2436516005304226E-2</v>
      </c>
    </row>
    <row r="385" spans="1:12" x14ac:dyDescent="0.3">
      <c r="A385" s="2">
        <v>45573</v>
      </c>
      <c r="B385">
        <v>436.7689208984375</v>
      </c>
      <c r="C385">
        <f t="shared" si="17"/>
        <v>-9.9622387969181755E-3</v>
      </c>
      <c r="K385">
        <f t="shared" si="15"/>
        <v>470.10000610351563</v>
      </c>
      <c r="L385" s="5">
        <f t="shared" si="16"/>
        <v>-7.0902116086632549E-2</v>
      </c>
    </row>
    <row r="386" spans="1:12" x14ac:dyDescent="0.3">
      <c r="A386" s="2">
        <v>45574</v>
      </c>
      <c r="B386">
        <v>432.417724609375</v>
      </c>
      <c r="C386">
        <f t="shared" si="17"/>
        <v>2.3615572191017149E-3</v>
      </c>
      <c r="K386">
        <f t="shared" ref="K386:K449" si="18">MAX(B386:B1125)</f>
        <v>470.10000610351563</v>
      </c>
      <c r="L386" s="5">
        <f t="shared" ref="L386:L449" si="19">B386/K386-1</f>
        <v>-8.0158011071888913E-2</v>
      </c>
    </row>
    <row r="387" spans="1:12" x14ac:dyDescent="0.3">
      <c r="A387" s="2">
        <v>45575</v>
      </c>
      <c r="B387">
        <v>433.43890380859381</v>
      </c>
      <c r="C387">
        <f t="shared" ref="C387:C450" si="20">(B388-B387)/B387</f>
        <v>9.9364736533865006E-3</v>
      </c>
      <c r="K387">
        <f t="shared" si="18"/>
        <v>470.10000610351563</v>
      </c>
      <c r="L387" s="5">
        <f t="shared" si="19"/>
        <v>-7.798575158250276E-2</v>
      </c>
    </row>
    <row r="388" spans="1:12" x14ac:dyDescent="0.3">
      <c r="A388" s="2">
        <v>45576</v>
      </c>
      <c r="B388">
        <v>437.74575805664063</v>
      </c>
      <c r="C388">
        <f t="shared" si="20"/>
        <v>1.085292978211946E-2</v>
      </c>
      <c r="K388">
        <f t="shared" si="18"/>
        <v>470.10000610351563</v>
      </c>
      <c r="L388" s="5">
        <f t="shared" si="19"/>
        <v>-6.8824181295055409E-2</v>
      </c>
    </row>
    <row r="389" spans="1:12" x14ac:dyDescent="0.3">
      <c r="A389" s="2">
        <v>45579</v>
      </c>
      <c r="B389">
        <v>442.49658203125</v>
      </c>
      <c r="C389">
        <f t="shared" si="20"/>
        <v>-7.7262138986331332E-3</v>
      </c>
      <c r="K389">
        <f t="shared" si="18"/>
        <v>470.10000610351563</v>
      </c>
      <c r="L389" s="5">
        <f t="shared" si="19"/>
        <v>-5.8718195519843031E-2</v>
      </c>
    </row>
    <row r="390" spans="1:12" x14ac:dyDescent="0.3">
      <c r="A390" s="2">
        <v>45580</v>
      </c>
      <c r="B390">
        <v>439.0777587890625</v>
      </c>
      <c r="C390">
        <f t="shared" si="20"/>
        <v>2.6291902110830781E-3</v>
      </c>
      <c r="K390">
        <f t="shared" si="18"/>
        <v>470.10000610351563</v>
      </c>
      <c r="L390" s="5">
        <f t="shared" si="19"/>
        <v>-6.5990740080148047E-2</v>
      </c>
    </row>
    <row r="391" spans="1:12" x14ac:dyDescent="0.3">
      <c r="A391" s="2">
        <v>45581</v>
      </c>
      <c r="B391">
        <v>440.232177734375</v>
      </c>
      <c r="C391">
        <f t="shared" si="20"/>
        <v>-1.1800330636077801E-2</v>
      </c>
      <c r="K391">
        <f t="shared" si="18"/>
        <v>470.10000610351563</v>
      </c>
      <c r="L391" s="5">
        <f t="shared" si="19"/>
        <v>-6.3535052076905907E-2</v>
      </c>
    </row>
    <row r="392" spans="1:12" x14ac:dyDescent="0.3">
      <c r="A392" s="2">
        <v>45582</v>
      </c>
      <c r="B392">
        <v>435.03729248046881</v>
      </c>
      <c r="C392">
        <f t="shared" si="20"/>
        <v>4.6948847523537651E-3</v>
      </c>
      <c r="K392">
        <f t="shared" si="18"/>
        <v>470.10000610351563</v>
      </c>
      <c r="L392" s="5">
        <f t="shared" si="19"/>
        <v>-7.4585648091495704E-2</v>
      </c>
    </row>
    <row r="393" spans="1:12" x14ac:dyDescent="0.3">
      <c r="A393" s="2">
        <v>45583</v>
      </c>
      <c r="B393">
        <v>437.07974243164063</v>
      </c>
      <c r="C393">
        <f t="shared" si="20"/>
        <v>-1.3815586945300204E-2</v>
      </c>
      <c r="K393">
        <f t="shared" si="18"/>
        <v>470.10000610351563</v>
      </c>
      <c r="L393" s="5">
        <f t="shared" si="19"/>
        <v>-7.0240934361111118E-2</v>
      </c>
    </row>
    <row r="394" spans="1:12" x14ac:dyDescent="0.3">
      <c r="A394" s="2">
        <v>45586</v>
      </c>
      <c r="B394">
        <v>431.04122924804688</v>
      </c>
      <c r="C394">
        <f t="shared" si="20"/>
        <v>-3.5125629417943852E-2</v>
      </c>
      <c r="K394">
        <f t="shared" si="18"/>
        <v>470.10000610351563</v>
      </c>
      <c r="L394" s="5">
        <f t="shared" si="19"/>
        <v>-8.3086101570626347E-2</v>
      </c>
    </row>
    <row r="395" spans="1:12" x14ac:dyDescent="0.3">
      <c r="A395" s="2">
        <v>45587</v>
      </c>
      <c r="B395">
        <v>415.900634765625</v>
      </c>
      <c r="C395">
        <f t="shared" si="20"/>
        <v>1.227716111671712E-2</v>
      </c>
      <c r="K395">
        <f t="shared" si="18"/>
        <v>470.10000610351563</v>
      </c>
      <c r="L395" s="5">
        <f t="shared" si="19"/>
        <v>-0.11529327937501865</v>
      </c>
    </row>
    <row r="396" spans="1:12" x14ac:dyDescent="0.3">
      <c r="A396" s="2">
        <v>45588</v>
      </c>
      <c r="B396">
        <v>421.0067138671875</v>
      </c>
      <c r="C396">
        <f t="shared" si="20"/>
        <v>6.6441724533160985E-3</v>
      </c>
      <c r="K396">
        <f t="shared" si="18"/>
        <v>470.10000610351563</v>
      </c>
      <c r="L396" s="5">
        <f t="shared" si="19"/>
        <v>-0.10443159242486333</v>
      </c>
    </row>
    <row r="397" spans="1:12" x14ac:dyDescent="0.3">
      <c r="A397" s="2">
        <v>45589</v>
      </c>
      <c r="B397">
        <v>423.803955078125</v>
      </c>
      <c r="C397">
        <f t="shared" si="20"/>
        <v>-3.3839703416266249E-2</v>
      </c>
      <c r="K397">
        <f t="shared" si="18"/>
        <v>470.10000610351563</v>
      </c>
      <c r="L397" s="5">
        <f t="shared" si="19"/>
        <v>-9.8481281481192506E-2</v>
      </c>
    </row>
    <row r="398" spans="1:12" x14ac:dyDescent="0.3">
      <c r="A398" s="2">
        <v>45590</v>
      </c>
      <c r="B398">
        <v>409.46255493164063</v>
      </c>
      <c r="C398">
        <f t="shared" si="20"/>
        <v>-4.2181832979572821E-2</v>
      </c>
      <c r="K398">
        <f t="shared" si="18"/>
        <v>470.10000610351563</v>
      </c>
      <c r="L398" s="5">
        <f t="shared" si="19"/>
        <v>-0.12898840754008134</v>
      </c>
    </row>
    <row r="399" spans="1:12" x14ac:dyDescent="0.3">
      <c r="A399" s="2">
        <v>45593</v>
      </c>
      <c r="B399">
        <v>392.190673828125</v>
      </c>
      <c r="C399">
        <f t="shared" si="20"/>
        <v>8.8305435775233396E-3</v>
      </c>
      <c r="K399">
        <f t="shared" si="18"/>
        <v>470.10000610351563</v>
      </c>
      <c r="L399" s="5">
        <f t="shared" si="19"/>
        <v>-0.16572927305649743</v>
      </c>
    </row>
    <row r="400" spans="1:12" x14ac:dyDescent="0.3">
      <c r="A400" s="2">
        <v>45594</v>
      </c>
      <c r="B400">
        <v>395.6539306640625</v>
      </c>
      <c r="C400">
        <f t="shared" si="20"/>
        <v>8.0799624336317724E-3</v>
      </c>
      <c r="K400">
        <f t="shared" si="18"/>
        <v>470.10000610351563</v>
      </c>
      <c r="L400" s="5">
        <f t="shared" si="19"/>
        <v>-0.15836220904677067</v>
      </c>
    </row>
    <row r="401" spans="1:12" x14ac:dyDescent="0.3">
      <c r="A401" s="2">
        <v>45595</v>
      </c>
      <c r="B401">
        <v>398.85079956054688</v>
      </c>
      <c r="C401">
        <f t="shared" si="20"/>
        <v>6.4566144355621309E-3</v>
      </c>
      <c r="K401">
        <f t="shared" si="18"/>
        <v>470.10000610351563</v>
      </c>
      <c r="L401" s="5">
        <f t="shared" si="19"/>
        <v>-0.15156180731314373</v>
      </c>
    </row>
    <row r="402" spans="1:12" x14ac:dyDescent="0.3">
      <c r="A402" s="2">
        <v>45596</v>
      </c>
      <c r="B402">
        <v>401.426025390625</v>
      </c>
      <c r="C402">
        <f t="shared" si="20"/>
        <v>4.6454564750543059E-3</v>
      </c>
      <c r="K402">
        <f t="shared" si="18"/>
        <v>470.10000610351563</v>
      </c>
      <c r="L402" s="5">
        <f t="shared" si="19"/>
        <v>-0.14608376903055953</v>
      </c>
    </row>
    <row r="403" spans="1:12" x14ac:dyDescent="0.3">
      <c r="A403" s="2">
        <v>45597</v>
      </c>
      <c r="B403">
        <v>403.29083251953119</v>
      </c>
      <c r="C403">
        <f t="shared" si="20"/>
        <v>-2.3890820106856947E-2</v>
      </c>
      <c r="K403">
        <f t="shared" si="18"/>
        <v>470.10000610351563</v>
      </c>
      <c r="L403" s="5">
        <f t="shared" si="19"/>
        <v>-0.14211693834624861</v>
      </c>
    </row>
    <row r="404" spans="1:12" x14ac:dyDescent="0.3">
      <c r="A404" s="2">
        <v>45600</v>
      </c>
      <c r="B404">
        <v>393.6558837890625</v>
      </c>
      <c r="C404">
        <f t="shared" si="20"/>
        <v>1.7191066565079884E-2</v>
      </c>
      <c r="K404">
        <f t="shared" si="18"/>
        <v>470.10000610351563</v>
      </c>
      <c r="L404" s="5">
        <f t="shared" si="19"/>
        <v>-0.16261246824493802</v>
      </c>
    </row>
    <row r="405" spans="1:12" x14ac:dyDescent="0.3">
      <c r="A405" s="2">
        <v>45601</v>
      </c>
      <c r="B405">
        <v>400.42324829101563</v>
      </c>
      <c r="C405">
        <f t="shared" si="20"/>
        <v>2.0694198010849469E-3</v>
      </c>
      <c r="K405">
        <f t="shared" si="18"/>
        <v>470.10000610351563</v>
      </c>
      <c r="L405" s="5">
        <f t="shared" si="19"/>
        <v>-0.14821688344576889</v>
      </c>
    </row>
    <row r="406" spans="1:12" x14ac:dyDescent="0.3">
      <c r="A406" s="2">
        <v>45602</v>
      </c>
      <c r="B406">
        <v>401.25189208984381</v>
      </c>
      <c r="C406">
        <f t="shared" si="20"/>
        <v>-1.0323829336013539E-3</v>
      </c>
      <c r="K406">
        <f t="shared" si="18"/>
        <v>470.10000610351563</v>
      </c>
      <c r="L406" s="5">
        <f t="shared" si="19"/>
        <v>-0.14645418659814169</v>
      </c>
    </row>
    <row r="407" spans="1:12" x14ac:dyDescent="0.3">
      <c r="A407" s="2">
        <v>45603</v>
      </c>
      <c r="B407">
        <v>400.837646484375</v>
      </c>
      <c r="C407">
        <f t="shared" si="20"/>
        <v>-2.5956310363246887E-2</v>
      </c>
      <c r="K407">
        <f t="shared" si="18"/>
        <v>470.10000610351563</v>
      </c>
      <c r="L407" s="5">
        <f t="shared" si="19"/>
        <v>-0.14733537272894459</v>
      </c>
    </row>
    <row r="408" spans="1:12" x14ac:dyDescent="0.3">
      <c r="A408" s="2">
        <v>45604</v>
      </c>
      <c r="B408">
        <v>390.43338012695313</v>
      </c>
      <c r="C408">
        <f t="shared" si="20"/>
        <v>-5.8955482927914409E-3</v>
      </c>
      <c r="K408">
        <f t="shared" si="18"/>
        <v>470.10000610351563</v>
      </c>
      <c r="L408" s="5">
        <f t="shared" si="19"/>
        <v>-0.1694674004301544</v>
      </c>
    </row>
    <row r="409" spans="1:12" x14ac:dyDescent="0.3">
      <c r="A409" s="2">
        <v>45607</v>
      </c>
      <c r="B409">
        <v>388.13156127929688</v>
      </c>
      <c r="C409">
        <f t="shared" si="20"/>
        <v>-1.779145710962058E-2</v>
      </c>
      <c r="K409">
        <f t="shared" si="18"/>
        <v>470.10000610351563</v>
      </c>
      <c r="L409" s="5">
        <f t="shared" si="19"/>
        <v>-0.174363845479656</v>
      </c>
    </row>
    <row r="410" spans="1:12" x14ac:dyDescent="0.3">
      <c r="A410" s="2">
        <v>45608</v>
      </c>
      <c r="B410">
        <v>381.22613525390619</v>
      </c>
      <c r="C410">
        <f t="shared" si="20"/>
        <v>-1.7268386901139444E-2</v>
      </c>
      <c r="K410">
        <f t="shared" si="18"/>
        <v>470.10000610351563</v>
      </c>
      <c r="L410" s="5">
        <f t="shared" si="19"/>
        <v>-0.18905311571095684</v>
      </c>
    </row>
    <row r="411" spans="1:12" x14ac:dyDescent="0.3">
      <c r="A411" s="2">
        <v>45609</v>
      </c>
      <c r="B411">
        <v>374.64297485351563</v>
      </c>
      <c r="C411">
        <f t="shared" si="20"/>
        <v>7.0041456298604822E-3</v>
      </c>
      <c r="K411">
        <f t="shared" si="18"/>
        <v>470.10000610351563</v>
      </c>
      <c r="L411" s="5">
        <f t="shared" si="19"/>
        <v>-0.20305686026513359</v>
      </c>
    </row>
    <row r="412" spans="1:12" x14ac:dyDescent="0.3">
      <c r="A412" s="2">
        <v>45610</v>
      </c>
      <c r="B412">
        <v>377.26702880859381</v>
      </c>
      <c r="C412">
        <f t="shared" si="20"/>
        <v>8.7859154852102696E-3</v>
      </c>
      <c r="K412">
        <f t="shared" si="18"/>
        <v>470.10000610351563</v>
      </c>
      <c r="L412" s="5">
        <f t="shared" si="19"/>
        <v>-0.19747495445571228</v>
      </c>
    </row>
    <row r="413" spans="1:12" x14ac:dyDescent="0.3">
      <c r="A413" s="2">
        <v>45614</v>
      </c>
      <c r="B413">
        <v>380.5816650390625</v>
      </c>
      <c r="C413">
        <f t="shared" si="20"/>
        <v>-2.6611551692339768E-3</v>
      </c>
      <c r="K413">
        <f t="shared" si="18"/>
        <v>470.10000610351563</v>
      </c>
      <c r="L413" s="5">
        <f t="shared" si="19"/>
        <v>-0.19042403723079571</v>
      </c>
    </row>
    <row r="414" spans="1:12" x14ac:dyDescent="0.3">
      <c r="A414" s="2">
        <v>45615</v>
      </c>
      <c r="B414">
        <v>379.56887817382813</v>
      </c>
      <c r="C414">
        <f t="shared" si="20"/>
        <v>-1.516082578847092E-2</v>
      </c>
      <c r="K414">
        <f t="shared" si="18"/>
        <v>470.10000610351563</v>
      </c>
      <c r="L414" s="5">
        <f t="shared" si="19"/>
        <v>-0.19257844448900652</v>
      </c>
    </row>
    <row r="415" spans="1:12" x14ac:dyDescent="0.3">
      <c r="A415" s="2">
        <v>45617</v>
      </c>
      <c r="B415">
        <v>373.81430053710938</v>
      </c>
      <c r="C415">
        <f t="shared" si="20"/>
        <v>1.9827584728960974E-2</v>
      </c>
      <c r="K415">
        <f t="shared" si="18"/>
        <v>470.10000610351563</v>
      </c>
      <c r="L415" s="5">
        <f t="shared" si="19"/>
        <v>-0.20481962202996484</v>
      </c>
    </row>
    <row r="416" spans="1:12" x14ac:dyDescent="0.3">
      <c r="A416" s="2">
        <v>45618</v>
      </c>
      <c r="B416">
        <v>381.22613525390619</v>
      </c>
      <c r="C416">
        <f t="shared" si="20"/>
        <v>8.2116436271548552E-3</v>
      </c>
      <c r="K416">
        <f t="shared" si="18"/>
        <v>470.10000610351563</v>
      </c>
      <c r="L416" s="5">
        <f t="shared" si="19"/>
        <v>-0.18905311571095684</v>
      </c>
    </row>
    <row r="417" spans="1:12" x14ac:dyDescent="0.3">
      <c r="A417" s="2">
        <v>45621</v>
      </c>
      <c r="B417">
        <v>384.35662841796881</v>
      </c>
      <c r="C417">
        <f t="shared" si="20"/>
        <v>-1.4253333055965886E-2</v>
      </c>
      <c r="K417">
        <f t="shared" si="18"/>
        <v>470.10000610351563</v>
      </c>
      <c r="L417" s="5">
        <f t="shared" si="19"/>
        <v>-0.18239390889662355</v>
      </c>
    </row>
    <row r="418" spans="1:12" x14ac:dyDescent="0.3">
      <c r="A418" s="2">
        <v>45622</v>
      </c>
      <c r="B418">
        <v>378.87826538085938</v>
      </c>
      <c r="C418">
        <f t="shared" si="20"/>
        <v>1.3730314972521581E-2</v>
      </c>
      <c r="K418">
        <f t="shared" si="18"/>
        <v>470.10000610351563</v>
      </c>
      <c r="L418" s="5">
        <f t="shared" si="19"/>
        <v>-0.1940475208217064</v>
      </c>
    </row>
    <row r="419" spans="1:12" x14ac:dyDescent="0.3">
      <c r="A419" s="2">
        <v>45623</v>
      </c>
      <c r="B419">
        <v>384.08038330078119</v>
      </c>
      <c r="C419">
        <f t="shared" si="20"/>
        <v>-4.6744892911279451E-3</v>
      </c>
      <c r="K419">
        <f t="shared" si="18"/>
        <v>470.10000610351563</v>
      </c>
      <c r="L419" s="5">
        <f t="shared" si="19"/>
        <v>-0.18298153942970374</v>
      </c>
    </row>
    <row r="420" spans="1:12" x14ac:dyDescent="0.3">
      <c r="A420" s="2">
        <v>45624</v>
      </c>
      <c r="B420">
        <v>382.28500366210938</v>
      </c>
      <c r="C420">
        <f t="shared" si="20"/>
        <v>2.8901431859829174E-3</v>
      </c>
      <c r="K420">
        <f t="shared" si="18"/>
        <v>470.10000610351563</v>
      </c>
      <c r="L420" s="5">
        <f t="shared" si="19"/>
        <v>-0.18680068347429346</v>
      </c>
    </row>
    <row r="421" spans="1:12" x14ac:dyDescent="0.3">
      <c r="A421" s="2">
        <v>45625</v>
      </c>
      <c r="B421">
        <v>383.38986206054688</v>
      </c>
      <c r="C421">
        <f t="shared" si="20"/>
        <v>1.272817248921225E-2</v>
      </c>
      <c r="K421">
        <f t="shared" si="18"/>
        <v>470.10000610351563</v>
      </c>
      <c r="L421" s="5">
        <f t="shared" si="19"/>
        <v>-0.18445042101079068</v>
      </c>
    </row>
    <row r="422" spans="1:12" x14ac:dyDescent="0.3">
      <c r="A422" s="2">
        <v>45628</v>
      </c>
      <c r="B422">
        <v>388.26971435546881</v>
      </c>
      <c r="C422">
        <f t="shared" si="20"/>
        <v>9.4861030045049251E-4</v>
      </c>
      <c r="K422">
        <f t="shared" si="18"/>
        <v>470.10000610351563</v>
      </c>
      <c r="L422" s="5">
        <f t="shared" si="19"/>
        <v>-0.17406996529591168</v>
      </c>
    </row>
    <row r="423" spans="1:12" x14ac:dyDescent="0.3">
      <c r="A423" s="2">
        <v>45629</v>
      </c>
      <c r="B423">
        <v>388.63803100585938</v>
      </c>
      <c r="C423">
        <f t="shared" si="20"/>
        <v>-1.2911692765960709E-2</v>
      </c>
      <c r="K423">
        <f t="shared" si="18"/>
        <v>470.10000610351563</v>
      </c>
      <c r="L423" s="5">
        <f t="shared" si="19"/>
        <v>-0.17328647955753995</v>
      </c>
    </row>
    <row r="424" spans="1:12" x14ac:dyDescent="0.3">
      <c r="A424" s="2">
        <v>45630</v>
      </c>
      <c r="B424">
        <v>383.62005615234381</v>
      </c>
      <c r="C424">
        <f t="shared" si="20"/>
        <v>4.2000842928444576E-3</v>
      </c>
      <c r="K424">
        <f t="shared" si="18"/>
        <v>470.10000610351563</v>
      </c>
      <c r="L424" s="5">
        <f t="shared" si="19"/>
        <v>-0.18396075053895877</v>
      </c>
    </row>
    <row r="425" spans="1:12" x14ac:dyDescent="0.3">
      <c r="A425" s="2">
        <v>45631</v>
      </c>
      <c r="B425">
        <v>385.23129272460938</v>
      </c>
      <c r="C425">
        <f t="shared" si="20"/>
        <v>-2.9875803071141818E-3</v>
      </c>
      <c r="K425">
        <f t="shared" si="18"/>
        <v>470.10000610351563</v>
      </c>
      <c r="L425" s="5">
        <f t="shared" si="19"/>
        <v>-0.18053331690495289</v>
      </c>
    </row>
    <row r="426" spans="1:12" x14ac:dyDescent="0.3">
      <c r="A426" s="2">
        <v>45632</v>
      </c>
      <c r="B426">
        <v>384.08038330078119</v>
      </c>
      <c r="C426">
        <f t="shared" si="20"/>
        <v>-7.5511225337381591E-3</v>
      </c>
      <c r="K426">
        <f t="shared" si="18"/>
        <v>470.10000610351563</v>
      </c>
      <c r="L426" s="5">
        <f t="shared" si="19"/>
        <v>-0.18298153942970374</v>
      </c>
    </row>
    <row r="427" spans="1:12" x14ac:dyDescent="0.3">
      <c r="A427" s="2">
        <v>45635</v>
      </c>
      <c r="B427">
        <v>381.18014526367188</v>
      </c>
      <c r="C427">
        <f t="shared" si="20"/>
        <v>1.2065158903411857E-4</v>
      </c>
      <c r="K427">
        <f t="shared" si="18"/>
        <v>470.10000610351563</v>
      </c>
      <c r="L427" s="5">
        <f t="shared" si="19"/>
        <v>-0.18915094593779624</v>
      </c>
    </row>
    <row r="428" spans="1:12" x14ac:dyDescent="0.3">
      <c r="A428" s="2">
        <v>45636</v>
      </c>
      <c r="B428">
        <v>381.22613525390619</v>
      </c>
      <c r="C428">
        <f t="shared" si="20"/>
        <v>7.00399246943143E-3</v>
      </c>
      <c r="K428">
        <f t="shared" si="18"/>
        <v>470.10000610351563</v>
      </c>
      <c r="L428" s="5">
        <f t="shared" si="19"/>
        <v>-0.18905311571095684</v>
      </c>
    </row>
    <row r="429" spans="1:12" x14ac:dyDescent="0.3">
      <c r="A429" s="2">
        <v>45637</v>
      </c>
      <c r="B429">
        <v>383.896240234375</v>
      </c>
      <c r="C429">
        <f t="shared" si="20"/>
        <v>-1.8827121433645438E-2</v>
      </c>
      <c r="K429">
        <f t="shared" si="18"/>
        <v>470.10000610351563</v>
      </c>
      <c r="L429" s="5">
        <f t="shared" si="19"/>
        <v>-0.18337324984028747</v>
      </c>
    </row>
    <row r="430" spans="1:12" x14ac:dyDescent="0.3">
      <c r="A430" s="2">
        <v>45638</v>
      </c>
      <c r="B430">
        <v>376.6685791015625</v>
      </c>
      <c r="C430">
        <f t="shared" si="20"/>
        <v>2.9332374924206065E-3</v>
      </c>
      <c r="K430">
        <f t="shared" si="18"/>
        <v>470.10000610351563</v>
      </c>
      <c r="L430" s="5">
        <f t="shared" si="19"/>
        <v>-0.19874798083150758</v>
      </c>
    </row>
    <row r="431" spans="1:12" x14ac:dyDescent="0.3">
      <c r="A431" s="2">
        <v>45639</v>
      </c>
      <c r="B431">
        <v>377.7734375</v>
      </c>
      <c r="C431">
        <f t="shared" si="20"/>
        <v>3.6554195533036916E-4</v>
      </c>
      <c r="K431">
        <f t="shared" si="18"/>
        <v>470.10000610351563</v>
      </c>
      <c r="L431" s="5">
        <f t="shared" si="19"/>
        <v>-0.1963977183680049</v>
      </c>
    </row>
    <row r="432" spans="1:12" x14ac:dyDescent="0.3">
      <c r="A432" s="2">
        <v>45642</v>
      </c>
      <c r="B432">
        <v>377.91152954101563</v>
      </c>
      <c r="C432">
        <f t="shared" si="20"/>
        <v>-1.8394456128988757E-2</v>
      </c>
      <c r="K432">
        <f t="shared" si="18"/>
        <v>470.10000610351563</v>
      </c>
      <c r="L432" s="5">
        <f t="shared" si="19"/>
        <v>-0.19610396801866914</v>
      </c>
    </row>
    <row r="433" spans="1:12" x14ac:dyDescent="0.3">
      <c r="A433" s="2">
        <v>45643</v>
      </c>
      <c r="B433">
        <v>370.96005249023438</v>
      </c>
      <c r="C433">
        <f t="shared" si="20"/>
        <v>-1.7622220637221509E-2</v>
      </c>
      <c r="K433">
        <f t="shared" si="18"/>
        <v>470.10000610351563</v>
      </c>
      <c r="L433" s="5">
        <f t="shared" si="19"/>
        <v>-0.21089119831121783</v>
      </c>
    </row>
    <row r="434" spans="1:12" x14ac:dyDescent="0.3">
      <c r="A434" s="2">
        <v>45644</v>
      </c>
      <c r="B434">
        <v>364.42291259765619</v>
      </c>
      <c r="C434">
        <f t="shared" si="20"/>
        <v>-9.7269920386284497E-3</v>
      </c>
      <c r="K434">
        <f t="shared" si="18"/>
        <v>470.10000610351563</v>
      </c>
      <c r="L434" s="5">
        <f t="shared" si="19"/>
        <v>-0.22479704772135112</v>
      </c>
    </row>
    <row r="435" spans="1:12" x14ac:dyDescent="0.3">
      <c r="A435" s="2">
        <v>45645</v>
      </c>
      <c r="B435">
        <v>360.878173828125</v>
      </c>
      <c r="C435">
        <f t="shared" si="20"/>
        <v>-2.5385919763597508E-2</v>
      </c>
      <c r="K435">
        <f t="shared" si="18"/>
        <v>470.10000610351563</v>
      </c>
      <c r="L435" s="5">
        <f t="shared" si="19"/>
        <v>-0.23233744066648676</v>
      </c>
    </row>
    <row r="436" spans="1:12" x14ac:dyDescent="0.3">
      <c r="A436" s="2">
        <v>45646</v>
      </c>
      <c r="B436">
        <v>351.71694946289063</v>
      </c>
      <c r="C436">
        <f t="shared" si="20"/>
        <v>2.4868415013159701E-3</v>
      </c>
      <c r="K436">
        <f t="shared" si="18"/>
        <v>470.10000610351563</v>
      </c>
      <c r="L436" s="5">
        <f t="shared" si="19"/>
        <v>-0.25182526080324519</v>
      </c>
    </row>
    <row r="437" spans="1:12" x14ac:dyDescent="0.3">
      <c r="A437" s="2">
        <v>45649</v>
      </c>
      <c r="B437">
        <v>352.59161376953119</v>
      </c>
      <c r="C437">
        <f t="shared" si="20"/>
        <v>4.0475268489239859E-3</v>
      </c>
      <c r="K437">
        <f t="shared" si="18"/>
        <v>470.10000610351563</v>
      </c>
      <c r="L437" s="5">
        <f t="shared" si="19"/>
        <v>-0.24996466881157453</v>
      </c>
    </row>
    <row r="438" spans="1:12" x14ac:dyDescent="0.3">
      <c r="A438" s="2">
        <v>45650</v>
      </c>
      <c r="B438">
        <v>354.01873779296881</v>
      </c>
      <c r="C438">
        <f t="shared" si="20"/>
        <v>5.4616677266795654E-3</v>
      </c>
      <c r="K438">
        <f t="shared" si="18"/>
        <v>470.10000610351563</v>
      </c>
      <c r="L438" s="5">
        <f t="shared" si="19"/>
        <v>-0.24692888067094776</v>
      </c>
    </row>
    <row r="439" spans="1:12" x14ac:dyDescent="0.3">
      <c r="A439" s="2">
        <v>45652</v>
      </c>
      <c r="B439">
        <v>355.9522705078125</v>
      </c>
      <c r="C439">
        <f t="shared" si="20"/>
        <v>-1.5778588945462576E-2</v>
      </c>
      <c r="K439">
        <f t="shared" si="18"/>
        <v>470.10000610351563</v>
      </c>
      <c r="L439" s="5">
        <f t="shared" si="19"/>
        <v>-0.24281585644261383</v>
      </c>
    </row>
    <row r="440" spans="1:12" x14ac:dyDescent="0.3">
      <c r="A440" s="2">
        <v>45653</v>
      </c>
      <c r="B440">
        <v>350.33584594726563</v>
      </c>
      <c r="C440">
        <f t="shared" si="20"/>
        <v>-6.833217114750643E-3</v>
      </c>
      <c r="K440">
        <f t="shared" si="18"/>
        <v>470.10000610351563</v>
      </c>
      <c r="L440" s="5">
        <f t="shared" si="19"/>
        <v>-0.25476315379982795</v>
      </c>
    </row>
    <row r="441" spans="1:12" x14ac:dyDescent="0.3">
      <c r="A441" s="2">
        <v>45656</v>
      </c>
      <c r="B441">
        <v>347.94192504882813</v>
      </c>
      <c r="C441">
        <f t="shared" si="20"/>
        <v>1.6538727262473314E-2</v>
      </c>
      <c r="K441">
        <f t="shared" si="18"/>
        <v>470.10000610351563</v>
      </c>
      <c r="L441" s="5">
        <f t="shared" si="19"/>
        <v>-0.25985551897182579</v>
      </c>
    </row>
    <row r="442" spans="1:12" x14ac:dyDescent="0.3">
      <c r="A442" s="2">
        <v>45657</v>
      </c>
      <c r="B442">
        <v>353.69644165039063</v>
      </c>
      <c r="C442">
        <f t="shared" si="20"/>
        <v>5.8570698257322633E-3</v>
      </c>
      <c r="K442">
        <f t="shared" si="18"/>
        <v>470.10000610351563</v>
      </c>
      <c r="L442" s="5">
        <f t="shared" si="19"/>
        <v>-0.24761447126527592</v>
      </c>
    </row>
    <row r="443" spans="1:12" x14ac:dyDescent="0.3">
      <c r="A443" s="2">
        <v>45658</v>
      </c>
      <c r="B443">
        <v>355.76806640625</v>
      </c>
      <c r="C443">
        <f t="shared" si="20"/>
        <v>1.6951471494469628E-2</v>
      </c>
      <c r="K443">
        <f t="shared" si="18"/>
        <v>470.10000610351563</v>
      </c>
      <c r="L443" s="5">
        <f t="shared" si="19"/>
        <v>-0.24320769668760611</v>
      </c>
    </row>
    <row r="444" spans="1:12" x14ac:dyDescent="0.3">
      <c r="A444" s="2">
        <v>45659</v>
      </c>
      <c r="B444">
        <v>361.79885864257813</v>
      </c>
      <c r="C444">
        <f t="shared" si="20"/>
        <v>1.7813785671960305E-3</v>
      </c>
      <c r="K444">
        <f t="shared" si="18"/>
        <v>470.10000610351563</v>
      </c>
      <c r="L444" s="5">
        <f t="shared" si="19"/>
        <v>-0.23037895353077209</v>
      </c>
    </row>
    <row r="445" spans="1:12" x14ac:dyDescent="0.3">
      <c r="A445" s="2">
        <v>45660</v>
      </c>
      <c r="B445">
        <v>362.443359375</v>
      </c>
      <c r="C445">
        <f t="shared" si="20"/>
        <v>-3.7850825964186215E-2</v>
      </c>
      <c r="K445">
        <f t="shared" si="18"/>
        <v>470.10000610351563</v>
      </c>
      <c r="L445" s="5">
        <f t="shared" si="19"/>
        <v>-0.22900796709372884</v>
      </c>
    </row>
    <row r="446" spans="1:12" x14ac:dyDescent="0.3">
      <c r="A446" s="2">
        <v>45663</v>
      </c>
      <c r="B446">
        <v>348.72457885742188</v>
      </c>
      <c r="C446">
        <f t="shared" si="20"/>
        <v>2.7722044801407751E-3</v>
      </c>
      <c r="K446">
        <f t="shared" si="18"/>
        <v>470.10000610351563</v>
      </c>
      <c r="L446" s="5">
        <f t="shared" si="19"/>
        <v>-0.25819065235103822</v>
      </c>
    </row>
    <row r="447" spans="1:12" x14ac:dyDescent="0.3">
      <c r="A447" s="2">
        <v>45664</v>
      </c>
      <c r="B447">
        <v>349.69131469726563</v>
      </c>
      <c r="C447">
        <f t="shared" si="20"/>
        <v>1.448159191041555E-3</v>
      </c>
      <c r="K447">
        <f t="shared" si="18"/>
        <v>470.10000610351563</v>
      </c>
      <c r="L447" s="5">
        <f t="shared" si="19"/>
        <v>-0.25613420515407548</v>
      </c>
    </row>
    <row r="448" spans="1:12" x14ac:dyDescent="0.3">
      <c r="A448" s="2">
        <v>45665</v>
      </c>
      <c r="B448">
        <v>350.19772338867188</v>
      </c>
      <c r="C448">
        <f t="shared" si="20"/>
        <v>-2.1427714306553953E-2</v>
      </c>
      <c r="K448">
        <f t="shared" si="18"/>
        <v>470.10000610351563</v>
      </c>
      <c r="L448" s="5">
        <f t="shared" si="19"/>
        <v>-0.25505696906636788</v>
      </c>
    </row>
    <row r="449" spans="1:12" x14ac:dyDescent="0.3">
      <c r="A449" s="2">
        <v>45666</v>
      </c>
      <c r="B449">
        <v>342.69378662109381</v>
      </c>
      <c r="C449">
        <f t="shared" si="20"/>
        <v>-9.9408783558146835E-3</v>
      </c>
      <c r="K449">
        <f t="shared" si="18"/>
        <v>470.10000610351563</v>
      </c>
      <c r="L449" s="5">
        <f t="shared" si="19"/>
        <v>-0.27101939550787213</v>
      </c>
    </row>
    <row r="450" spans="1:12" x14ac:dyDescent="0.3">
      <c r="A450" s="2">
        <v>45667</v>
      </c>
      <c r="B450">
        <v>339.287109375</v>
      </c>
      <c r="C450">
        <f t="shared" si="20"/>
        <v>-1.5196766255072797E-2</v>
      </c>
      <c r="K450">
        <f t="shared" ref="K450:K513" si="21">MAX(B450:B1189)</f>
        <v>470.10000610351563</v>
      </c>
      <c r="L450" s="5">
        <f t="shared" ref="L450:L513" si="22">B450/K450-1</f>
        <v>-0.27826610302087662</v>
      </c>
    </row>
    <row r="451" spans="1:12" x14ac:dyDescent="0.3">
      <c r="A451" s="2">
        <v>45670</v>
      </c>
      <c r="B451">
        <v>334.13104248046881</v>
      </c>
      <c r="C451">
        <f t="shared" ref="C451:C514" si="23">(B452-B451)/B451</f>
        <v>1.7498072392551123E-2</v>
      </c>
      <c r="K451">
        <f t="shared" si="21"/>
        <v>470.10000610351563</v>
      </c>
      <c r="L451" s="5">
        <f t="shared" si="22"/>
        <v>-0.28923412435163121</v>
      </c>
    </row>
    <row r="452" spans="1:12" x14ac:dyDescent="0.3">
      <c r="A452" s="2">
        <v>45671</v>
      </c>
      <c r="B452">
        <v>339.97769165039063</v>
      </c>
      <c r="C452">
        <f t="shared" si="23"/>
        <v>1.4488811835924221E-2</v>
      </c>
      <c r="K452">
        <f t="shared" si="21"/>
        <v>470.10000610351563</v>
      </c>
      <c r="L452" s="5">
        <f t="shared" si="22"/>
        <v>-0.27679709160538102</v>
      </c>
    </row>
    <row r="453" spans="1:12" x14ac:dyDescent="0.3">
      <c r="A453" s="2">
        <v>45672</v>
      </c>
      <c r="B453">
        <v>344.903564453125</v>
      </c>
      <c r="C453">
        <f t="shared" si="23"/>
        <v>1.1345360915960289E-2</v>
      </c>
      <c r="K453">
        <f t="shared" si="21"/>
        <v>470.10000610351563</v>
      </c>
      <c r="L453" s="5">
        <f t="shared" si="22"/>
        <v>-0.26631874074645823</v>
      </c>
    </row>
    <row r="454" spans="1:12" x14ac:dyDescent="0.3">
      <c r="A454" s="2">
        <v>45673</v>
      </c>
      <c r="B454">
        <v>348.81661987304688</v>
      </c>
      <c r="C454">
        <f t="shared" si="23"/>
        <v>2.3228212226694394E-2</v>
      </c>
      <c r="K454">
        <f t="shared" si="21"/>
        <v>470.10000610351563</v>
      </c>
      <c r="L454" s="5">
        <f t="shared" si="22"/>
        <v>-0.25799486206295064</v>
      </c>
    </row>
    <row r="455" spans="1:12" x14ac:dyDescent="0.3">
      <c r="A455" s="2">
        <v>45674</v>
      </c>
      <c r="B455">
        <v>356.91900634765619</v>
      </c>
      <c r="C455">
        <f t="shared" si="23"/>
        <v>-1.54785737652395E-3</v>
      </c>
      <c r="K455">
        <f t="shared" si="21"/>
        <v>470.10000610351563</v>
      </c>
      <c r="L455" s="5">
        <f t="shared" si="22"/>
        <v>-0.2407594092456512</v>
      </c>
    </row>
    <row r="456" spans="1:12" x14ac:dyDescent="0.3">
      <c r="A456" s="2">
        <v>45677</v>
      </c>
      <c r="B456">
        <v>356.36654663085938</v>
      </c>
      <c r="C456">
        <f t="shared" si="23"/>
        <v>-1.4209903746709782E-2</v>
      </c>
      <c r="K456">
        <f t="shared" si="21"/>
        <v>470.10000610351563</v>
      </c>
      <c r="L456" s="5">
        <f t="shared" si="22"/>
        <v>-0.24193460539460665</v>
      </c>
    </row>
    <row r="457" spans="1:12" x14ac:dyDescent="0.3">
      <c r="A457" s="2">
        <v>45678</v>
      </c>
      <c r="B457">
        <v>351.3026123046875</v>
      </c>
      <c r="C457">
        <f t="shared" si="23"/>
        <v>-6.1590668935473476E-3</v>
      </c>
      <c r="K457">
        <f t="shared" si="21"/>
        <v>470.10000610351563</v>
      </c>
      <c r="L457" s="5">
        <f t="shared" si="22"/>
        <v>-0.25270664168566093</v>
      </c>
    </row>
    <row r="458" spans="1:12" x14ac:dyDescent="0.3">
      <c r="A458" s="2">
        <v>45679</v>
      </c>
      <c r="B458">
        <v>349.138916015625</v>
      </c>
      <c r="C458">
        <f t="shared" si="23"/>
        <v>1.7404880729864677E-2</v>
      </c>
      <c r="K458">
        <f t="shared" si="21"/>
        <v>470.10000610351563</v>
      </c>
      <c r="L458" s="5">
        <f t="shared" si="22"/>
        <v>-0.25730927146862259</v>
      </c>
    </row>
    <row r="459" spans="1:12" x14ac:dyDescent="0.3">
      <c r="A459" s="2">
        <v>45680</v>
      </c>
      <c r="B459">
        <v>355.21563720703119</v>
      </c>
      <c r="C459">
        <f t="shared" si="23"/>
        <v>-7.1279291762178657E-3</v>
      </c>
      <c r="K459">
        <f t="shared" si="21"/>
        <v>470.10000610351563</v>
      </c>
      <c r="L459" s="5">
        <f t="shared" si="22"/>
        <v>-0.24438282791935761</v>
      </c>
    </row>
    <row r="460" spans="1:12" x14ac:dyDescent="0.3">
      <c r="A460" s="2">
        <v>45681</v>
      </c>
      <c r="B460">
        <v>352.68368530273438</v>
      </c>
      <c r="C460">
        <f t="shared" si="23"/>
        <v>-1.9057538636115257E-2</v>
      </c>
      <c r="K460">
        <f t="shared" si="21"/>
        <v>470.10000610351563</v>
      </c>
      <c r="L460" s="5">
        <f t="shared" si="22"/>
        <v>-0.24976881360628245</v>
      </c>
    </row>
    <row r="461" spans="1:12" x14ac:dyDescent="0.3">
      <c r="A461" s="2">
        <v>45684</v>
      </c>
      <c r="B461">
        <v>345.96240234375</v>
      </c>
      <c r="C461">
        <f t="shared" si="23"/>
        <v>-1.357288883619771E-2</v>
      </c>
      <c r="K461">
        <f t="shared" si="21"/>
        <v>470.10000610351563</v>
      </c>
      <c r="L461" s="5">
        <f t="shared" si="22"/>
        <v>-0.26406637342699935</v>
      </c>
    </row>
    <row r="462" spans="1:12" x14ac:dyDescent="0.3">
      <c r="A462" s="2">
        <v>45685</v>
      </c>
      <c r="B462">
        <v>341.26669311523438</v>
      </c>
      <c r="C462">
        <f t="shared" si="23"/>
        <v>2.3742095663210609E-2</v>
      </c>
      <c r="K462">
        <f t="shared" si="21"/>
        <v>470.10000610351563</v>
      </c>
      <c r="L462" s="5">
        <f t="shared" si="22"/>
        <v>-0.27405511873129451</v>
      </c>
    </row>
    <row r="463" spans="1:12" x14ac:dyDescent="0.3">
      <c r="A463" s="2">
        <v>45686</v>
      </c>
      <c r="B463">
        <v>349.36907958984381</v>
      </c>
      <c r="C463">
        <f t="shared" si="23"/>
        <v>1.47582233109592E-2</v>
      </c>
      <c r="K463">
        <f t="shared" si="21"/>
        <v>470.10000610351563</v>
      </c>
      <c r="L463" s="5">
        <f t="shared" si="22"/>
        <v>-0.25681966591399485</v>
      </c>
    </row>
    <row r="464" spans="1:12" x14ac:dyDescent="0.3">
      <c r="A464" s="2">
        <v>45687</v>
      </c>
      <c r="B464">
        <v>354.525146484375</v>
      </c>
      <c r="C464">
        <f t="shared" si="23"/>
        <v>4.3352202102421446E-2</v>
      </c>
      <c r="K464">
        <f t="shared" si="21"/>
        <v>470.10000610351563</v>
      </c>
      <c r="L464" s="5">
        <f t="shared" si="22"/>
        <v>-0.24585164458324027</v>
      </c>
    </row>
    <row r="465" spans="1:12" x14ac:dyDescent="0.3">
      <c r="A465" s="2">
        <v>45688</v>
      </c>
      <c r="B465">
        <v>369.89459228515619</v>
      </c>
      <c r="C465">
        <f t="shared" si="23"/>
        <v>-2.6774430466343972E-2</v>
      </c>
      <c r="K465">
        <f t="shared" si="21"/>
        <v>470.10000610351563</v>
      </c>
      <c r="L465" s="5">
        <f t="shared" si="22"/>
        <v>-0.21315765266400422</v>
      </c>
    </row>
    <row r="466" spans="1:12" x14ac:dyDescent="0.3">
      <c r="A466" s="2">
        <v>45689</v>
      </c>
      <c r="B466">
        <v>359.99087524414063</v>
      </c>
      <c r="C466">
        <f t="shared" si="23"/>
        <v>-2.932771207901963E-2</v>
      </c>
      <c r="K466">
        <f t="shared" si="21"/>
        <v>470.10000610351563</v>
      </c>
      <c r="L466" s="5">
        <f t="shared" si="22"/>
        <v>-0.23422490838072663</v>
      </c>
    </row>
    <row r="467" spans="1:12" x14ac:dyDescent="0.3">
      <c r="A467" s="2">
        <v>45691</v>
      </c>
      <c r="B467">
        <v>349.43316650390619</v>
      </c>
      <c r="C467">
        <f t="shared" si="23"/>
        <v>6.8181186991419975E-3</v>
      </c>
      <c r="K467">
        <f t="shared" si="21"/>
        <v>470.10000610351563</v>
      </c>
      <c r="L467" s="5">
        <f t="shared" si="22"/>
        <v>-0.25668333978502156</v>
      </c>
    </row>
    <row r="468" spans="1:12" x14ac:dyDescent="0.3">
      <c r="A468" s="2">
        <v>45692</v>
      </c>
      <c r="B468">
        <v>351.81564331054688</v>
      </c>
      <c r="C468">
        <f t="shared" si="23"/>
        <v>1.6730834871939E-2</v>
      </c>
      <c r="K468">
        <f t="shared" si="21"/>
        <v>470.10000610351563</v>
      </c>
      <c r="L468" s="5">
        <f t="shared" si="22"/>
        <v>-0.25161531856462604</v>
      </c>
    </row>
    <row r="469" spans="1:12" x14ac:dyDescent="0.3">
      <c r="A469" s="2">
        <v>45693</v>
      </c>
      <c r="B469">
        <v>357.70181274414063</v>
      </c>
      <c r="C469">
        <f t="shared" si="23"/>
        <v>-8.4889114766926489E-3</v>
      </c>
      <c r="K469">
        <f t="shared" si="21"/>
        <v>470.10000610351563</v>
      </c>
      <c r="L469" s="5">
        <f t="shared" si="22"/>
        <v>-0.23909421803884212</v>
      </c>
    </row>
    <row r="470" spans="1:12" x14ac:dyDescent="0.3">
      <c r="A470" s="2">
        <v>45694</v>
      </c>
      <c r="B470">
        <v>354.66531372070313</v>
      </c>
      <c r="C470">
        <f t="shared" si="23"/>
        <v>-3.5564586957488823E-3</v>
      </c>
      <c r="K470">
        <f t="shared" si="21"/>
        <v>470.10000610351563</v>
      </c>
      <c r="L470" s="5">
        <f t="shared" si="22"/>
        <v>-0.24555347986401399</v>
      </c>
    </row>
    <row r="471" spans="1:12" x14ac:dyDescent="0.3">
      <c r="A471" s="2">
        <v>45695</v>
      </c>
      <c r="B471">
        <v>353.40396118164063</v>
      </c>
      <c r="C471">
        <f t="shared" si="23"/>
        <v>-2.0489033958499148E-2</v>
      </c>
      <c r="K471">
        <f t="shared" si="21"/>
        <v>470.10000610351563</v>
      </c>
      <c r="L471" s="5">
        <f t="shared" si="22"/>
        <v>-0.24823663775102911</v>
      </c>
    </row>
    <row r="472" spans="1:12" x14ac:dyDescent="0.3">
      <c r="A472" s="2">
        <v>45698</v>
      </c>
      <c r="B472">
        <v>346.16305541992188</v>
      </c>
      <c r="C472">
        <f t="shared" si="23"/>
        <v>-3.1039125118761928E-2</v>
      </c>
      <c r="K472">
        <f t="shared" si="21"/>
        <v>470.10000610351563</v>
      </c>
      <c r="L472" s="5">
        <f t="shared" si="22"/>
        <v>-0.26363954280890378</v>
      </c>
    </row>
    <row r="473" spans="1:12" x14ac:dyDescent="0.3">
      <c r="A473" s="2">
        <v>45699</v>
      </c>
      <c r="B473">
        <v>335.41845703125</v>
      </c>
      <c r="C473">
        <f t="shared" si="23"/>
        <v>3.760443097401945E-3</v>
      </c>
      <c r="K473">
        <f t="shared" si="21"/>
        <v>470.10000610351563</v>
      </c>
      <c r="L473" s="5">
        <f t="shared" si="22"/>
        <v>-0.28649552717216697</v>
      </c>
    </row>
    <row r="474" spans="1:12" x14ac:dyDescent="0.3">
      <c r="A474" s="2">
        <v>45700</v>
      </c>
      <c r="B474">
        <v>336.67977905273438</v>
      </c>
      <c r="C474">
        <f t="shared" si="23"/>
        <v>3.6074904623439813E-3</v>
      </c>
      <c r="K474">
        <f t="shared" si="21"/>
        <v>470.10000610351563</v>
      </c>
      <c r="L474" s="5">
        <f t="shared" si="22"/>
        <v>-0.28381243420235613</v>
      </c>
    </row>
    <row r="475" spans="1:12" x14ac:dyDescent="0.3">
      <c r="A475" s="2">
        <v>45701</v>
      </c>
      <c r="B475">
        <v>337.89434814453119</v>
      </c>
      <c r="C475">
        <f t="shared" si="23"/>
        <v>-2.0599935585969717E-2</v>
      </c>
      <c r="K475">
        <f t="shared" si="21"/>
        <v>470.10000610351563</v>
      </c>
      <c r="L475" s="5">
        <f t="shared" si="22"/>
        <v>-0.28122879438949178</v>
      </c>
    </row>
    <row r="476" spans="1:12" x14ac:dyDescent="0.3">
      <c r="A476" s="2">
        <v>45702</v>
      </c>
      <c r="B476">
        <v>330.93374633789063</v>
      </c>
      <c r="C476">
        <f t="shared" si="23"/>
        <v>1.66571729698082E-2</v>
      </c>
      <c r="K476">
        <f t="shared" si="21"/>
        <v>470.10000610351563</v>
      </c>
      <c r="L476" s="5">
        <f t="shared" si="22"/>
        <v>-0.29603543492611806</v>
      </c>
    </row>
    <row r="477" spans="1:12" x14ac:dyDescent="0.3">
      <c r="A477" s="2">
        <v>45705</v>
      </c>
      <c r="B477">
        <v>336.4461669921875</v>
      </c>
      <c r="C477">
        <f t="shared" si="23"/>
        <v>2.7770450774572079E-3</v>
      </c>
      <c r="K477">
        <f t="shared" si="21"/>
        <v>470.10000610351563</v>
      </c>
      <c r="L477" s="5">
        <f t="shared" si="22"/>
        <v>-0.2843093754010666</v>
      </c>
    </row>
    <row r="478" spans="1:12" x14ac:dyDescent="0.3">
      <c r="A478" s="2">
        <v>45706</v>
      </c>
      <c r="B478">
        <v>337.3804931640625</v>
      </c>
      <c r="C478">
        <f t="shared" si="23"/>
        <v>3.323116800979682E-3</v>
      </c>
      <c r="K478">
        <f t="shared" si="21"/>
        <v>470.10000610351563</v>
      </c>
      <c r="L478" s="5">
        <f t="shared" si="22"/>
        <v>-0.28232187027504185</v>
      </c>
    </row>
    <row r="479" spans="1:12" x14ac:dyDescent="0.3">
      <c r="A479" s="2">
        <v>45707</v>
      </c>
      <c r="B479">
        <v>338.50164794921881</v>
      </c>
      <c r="C479">
        <f t="shared" si="23"/>
        <v>1.5594812199254392E-2</v>
      </c>
      <c r="K479">
        <f t="shared" si="21"/>
        <v>470.10000610351563</v>
      </c>
      <c r="L479" s="5">
        <f t="shared" si="22"/>
        <v>-0.27993694202445718</v>
      </c>
    </row>
    <row r="480" spans="1:12" x14ac:dyDescent="0.3">
      <c r="A480" s="2">
        <v>45708</v>
      </c>
      <c r="B480">
        <v>343.780517578125</v>
      </c>
      <c r="C480">
        <f t="shared" si="23"/>
        <v>5.4355969818020416E-3</v>
      </c>
      <c r="K480">
        <f t="shared" si="21"/>
        <v>470.10000610351563</v>
      </c>
      <c r="L480" s="5">
        <f t="shared" si="22"/>
        <v>-0.26870769386370774</v>
      </c>
    </row>
    <row r="481" spans="1:12" x14ac:dyDescent="0.3">
      <c r="A481" s="2">
        <v>45709</v>
      </c>
      <c r="B481">
        <v>345.649169921875</v>
      </c>
      <c r="C481">
        <f t="shared" si="23"/>
        <v>-1.3920869712010137E-2</v>
      </c>
      <c r="K481">
        <f t="shared" si="21"/>
        <v>470.10000610351563</v>
      </c>
      <c r="L481" s="5">
        <f t="shared" si="22"/>
        <v>-0.26473268361165825</v>
      </c>
    </row>
    <row r="482" spans="1:12" x14ac:dyDescent="0.3">
      <c r="A482" s="2">
        <v>45712</v>
      </c>
      <c r="B482">
        <v>340.83743286132813</v>
      </c>
      <c r="C482">
        <f t="shared" si="23"/>
        <v>-1.0005407142424167E-2</v>
      </c>
      <c r="K482">
        <f t="shared" si="21"/>
        <v>470.10000610351563</v>
      </c>
      <c r="L482" s="5">
        <f t="shared" si="22"/>
        <v>-0.2749682441265997</v>
      </c>
    </row>
    <row r="483" spans="1:12" x14ac:dyDescent="0.3">
      <c r="A483" s="2">
        <v>45713</v>
      </c>
      <c r="B483">
        <v>337.42721557617188</v>
      </c>
      <c r="C483">
        <f t="shared" si="23"/>
        <v>7.4760227063580247E-3</v>
      </c>
      <c r="K483">
        <f t="shared" si="21"/>
        <v>470.10000610351563</v>
      </c>
      <c r="L483" s="5">
        <f t="shared" si="22"/>
        <v>-0.28222248203529976</v>
      </c>
    </row>
    <row r="484" spans="1:12" x14ac:dyDescent="0.3">
      <c r="A484" s="2">
        <v>45715</v>
      </c>
      <c r="B484">
        <v>339.9498291015625</v>
      </c>
      <c r="C484">
        <f t="shared" si="23"/>
        <v>1.5116330427032655E-2</v>
      </c>
      <c r="K484">
        <f t="shared" si="21"/>
        <v>470.10000610351563</v>
      </c>
      <c r="L484" s="5">
        <f t="shared" si="22"/>
        <v>-0.27685636101288236</v>
      </c>
    </row>
    <row r="485" spans="1:12" x14ac:dyDescent="0.3">
      <c r="A485" s="2">
        <v>45716</v>
      </c>
      <c r="B485">
        <v>345.088623046875</v>
      </c>
      <c r="C485">
        <f t="shared" si="23"/>
        <v>-2.4367201444941325E-2</v>
      </c>
      <c r="K485">
        <f t="shared" si="21"/>
        <v>470.10000610351563</v>
      </c>
      <c r="L485" s="5">
        <f t="shared" si="22"/>
        <v>-0.26592508281974625</v>
      </c>
    </row>
    <row r="486" spans="1:12" x14ac:dyDescent="0.3">
      <c r="A486" s="2">
        <v>45719</v>
      </c>
      <c r="B486">
        <v>336.67977905273438</v>
      </c>
      <c r="C486">
        <f t="shared" si="23"/>
        <v>9.7126416621413272E-3</v>
      </c>
      <c r="K486">
        <f t="shared" si="21"/>
        <v>470.10000610351563</v>
      </c>
      <c r="L486" s="5">
        <f t="shared" si="22"/>
        <v>-0.28381243420235613</v>
      </c>
    </row>
    <row r="487" spans="1:12" x14ac:dyDescent="0.3">
      <c r="A487" s="2">
        <v>45720</v>
      </c>
      <c r="B487">
        <v>339.9498291015625</v>
      </c>
      <c r="C487">
        <f t="shared" si="23"/>
        <v>1.2093028433294182E-2</v>
      </c>
      <c r="K487">
        <f t="shared" si="21"/>
        <v>470.10000610351563</v>
      </c>
      <c r="L487" s="5">
        <f t="shared" si="22"/>
        <v>-0.27685636101288236</v>
      </c>
    </row>
    <row r="488" spans="1:12" x14ac:dyDescent="0.3">
      <c r="A488" s="2">
        <v>45721</v>
      </c>
      <c r="B488">
        <v>344.06085205078119</v>
      </c>
      <c r="C488">
        <f t="shared" si="23"/>
        <v>3.8967957420607019E-2</v>
      </c>
      <c r="K488">
        <f t="shared" si="21"/>
        <v>470.10000610351563</v>
      </c>
      <c r="L488" s="5">
        <f t="shared" si="22"/>
        <v>-0.26811136442525529</v>
      </c>
    </row>
    <row r="489" spans="1:12" x14ac:dyDescent="0.3">
      <c r="A489" s="2">
        <v>45722</v>
      </c>
      <c r="B489">
        <v>357.46820068359381</v>
      </c>
      <c r="C489">
        <f t="shared" si="23"/>
        <v>-5.0966754821227672E-3</v>
      </c>
      <c r="K489">
        <f t="shared" si="21"/>
        <v>470.10000610351563</v>
      </c>
      <c r="L489" s="5">
        <f t="shared" si="22"/>
        <v>-0.23959115923755248</v>
      </c>
    </row>
    <row r="490" spans="1:12" x14ac:dyDescent="0.3">
      <c r="A490" s="2">
        <v>45723</v>
      </c>
      <c r="B490">
        <v>355.64630126953119</v>
      </c>
      <c r="C490">
        <f t="shared" si="23"/>
        <v>-1.4448998602861154E-2</v>
      </c>
      <c r="K490">
        <f t="shared" si="21"/>
        <v>470.10000610351563</v>
      </c>
      <c r="L490" s="5">
        <f t="shared" si="22"/>
        <v>-0.24346671633265582</v>
      </c>
    </row>
    <row r="491" spans="1:12" x14ac:dyDescent="0.3">
      <c r="A491" s="2">
        <v>45726</v>
      </c>
      <c r="B491">
        <v>350.507568359375</v>
      </c>
      <c r="C491">
        <f t="shared" si="23"/>
        <v>1.0395864953098848E-2</v>
      </c>
      <c r="K491">
        <f t="shared" si="21"/>
        <v>470.10000610351563</v>
      </c>
      <c r="L491" s="5">
        <f t="shared" si="22"/>
        <v>-0.25439786469138326</v>
      </c>
    </row>
    <row r="492" spans="1:12" x14ac:dyDescent="0.3">
      <c r="A492" s="2">
        <v>45727</v>
      </c>
      <c r="B492">
        <v>354.15139770507813</v>
      </c>
      <c r="C492">
        <f t="shared" si="23"/>
        <v>4.3530139554787215E-3</v>
      </c>
      <c r="K492">
        <f t="shared" si="21"/>
        <v>470.10000610351563</v>
      </c>
      <c r="L492" s="5">
        <f t="shared" si="22"/>
        <v>-0.24664668558397274</v>
      </c>
    </row>
    <row r="493" spans="1:12" x14ac:dyDescent="0.3">
      <c r="A493" s="2">
        <v>45728</v>
      </c>
      <c r="B493">
        <v>355.69302368164063</v>
      </c>
      <c r="C493">
        <f t="shared" si="23"/>
        <v>-6.3042299291080862E-3</v>
      </c>
      <c r="K493">
        <f t="shared" si="21"/>
        <v>470.10000610351563</v>
      </c>
      <c r="L493" s="5">
        <f t="shared" si="22"/>
        <v>-0.24336732809291362</v>
      </c>
    </row>
    <row r="494" spans="1:12" x14ac:dyDescent="0.3">
      <c r="A494" s="2">
        <v>45729</v>
      </c>
      <c r="B494">
        <v>353.45065307617188</v>
      </c>
      <c r="C494">
        <f t="shared" si="23"/>
        <v>1.9693450220607867E-2</v>
      </c>
      <c r="K494">
        <f t="shared" si="21"/>
        <v>470.10000610351563</v>
      </c>
      <c r="L494" s="5">
        <f t="shared" si="22"/>
        <v>-0.2481373144284913</v>
      </c>
    </row>
    <row r="495" spans="1:12" x14ac:dyDescent="0.3">
      <c r="A495" s="2">
        <v>45733</v>
      </c>
      <c r="B495">
        <v>360.41131591796881</v>
      </c>
      <c r="C495">
        <f t="shared" si="23"/>
        <v>0</v>
      </c>
      <c r="K495">
        <f t="shared" si="21"/>
        <v>470.10000610351563</v>
      </c>
      <c r="L495" s="5">
        <f t="shared" si="22"/>
        <v>-0.23333054405745624</v>
      </c>
    </row>
    <row r="496" spans="1:12" x14ac:dyDescent="0.3">
      <c r="A496" s="2">
        <v>45734</v>
      </c>
      <c r="B496">
        <v>360.41131591796881</v>
      </c>
      <c r="C496">
        <f t="shared" si="23"/>
        <v>2.6182734942833675E-2</v>
      </c>
      <c r="K496">
        <f t="shared" si="21"/>
        <v>470.10000610351563</v>
      </c>
      <c r="L496" s="5">
        <f t="shared" si="22"/>
        <v>-0.23333054405745624</v>
      </c>
    </row>
    <row r="497" spans="1:12" x14ac:dyDescent="0.3">
      <c r="A497" s="2">
        <v>45735</v>
      </c>
      <c r="B497">
        <v>369.84786987304688</v>
      </c>
      <c r="C497">
        <f t="shared" si="23"/>
        <v>1.3894510146112969E-3</v>
      </c>
      <c r="K497">
        <f t="shared" si="21"/>
        <v>470.10000610351563</v>
      </c>
      <c r="L497" s="5">
        <f t="shared" si="22"/>
        <v>-0.2132570409037462</v>
      </c>
    </row>
    <row r="498" spans="1:12" x14ac:dyDescent="0.3">
      <c r="A498" s="2">
        <v>45736</v>
      </c>
      <c r="B498">
        <v>370.36175537109381</v>
      </c>
      <c r="C498">
        <f t="shared" si="23"/>
        <v>2.2704324500614142E-2</v>
      </c>
      <c r="K498">
        <f t="shared" si="21"/>
        <v>470.10000610351563</v>
      </c>
      <c r="L498" s="5">
        <f t="shared" si="22"/>
        <v>-0.21216390010099162</v>
      </c>
    </row>
    <row r="499" spans="1:12" x14ac:dyDescent="0.3">
      <c r="A499" s="2">
        <v>45737</v>
      </c>
      <c r="B499">
        <v>378.77056884765619</v>
      </c>
      <c r="C499">
        <f t="shared" si="23"/>
        <v>1.4800725195251027E-3</v>
      </c>
      <c r="K499">
        <f t="shared" si="21"/>
        <v>470.10000610351563</v>
      </c>
      <c r="L499" s="5">
        <f t="shared" si="22"/>
        <v>-0.19427661363558624</v>
      </c>
    </row>
    <row r="500" spans="1:12" x14ac:dyDescent="0.3">
      <c r="A500" s="2">
        <v>45740</v>
      </c>
      <c r="B500">
        <v>379.3311767578125</v>
      </c>
      <c r="C500">
        <f t="shared" si="23"/>
        <v>-1.89656026859054E-2</v>
      </c>
      <c r="K500">
        <f t="shared" si="21"/>
        <v>470.10000610351563</v>
      </c>
      <c r="L500" s="5">
        <f t="shared" si="22"/>
        <v>-0.19308408459308957</v>
      </c>
    </row>
    <row r="501" spans="1:12" x14ac:dyDescent="0.3">
      <c r="A501" s="2">
        <v>45741</v>
      </c>
      <c r="B501">
        <v>372.13693237304688</v>
      </c>
      <c r="C501">
        <f t="shared" si="23"/>
        <v>-8.7873865760420364E-3</v>
      </c>
      <c r="K501">
        <f t="shared" si="21"/>
        <v>470.10000610351563</v>
      </c>
      <c r="L501" s="5">
        <f t="shared" si="22"/>
        <v>-0.2083877312456307</v>
      </c>
    </row>
    <row r="502" spans="1:12" x14ac:dyDescent="0.3">
      <c r="A502" s="2">
        <v>45742</v>
      </c>
      <c r="B502">
        <v>368.8668212890625</v>
      </c>
      <c r="C502">
        <f t="shared" si="23"/>
        <v>5.192591594889993E-3</v>
      </c>
      <c r="K502">
        <f t="shared" si="21"/>
        <v>470.10000610351563</v>
      </c>
      <c r="L502" s="5">
        <f t="shared" si="22"/>
        <v>-0.21534393426951304</v>
      </c>
    </row>
    <row r="503" spans="1:12" x14ac:dyDescent="0.3">
      <c r="A503" s="2">
        <v>45743</v>
      </c>
      <c r="B503">
        <v>370.78219604492188</v>
      </c>
      <c r="C503">
        <f t="shared" si="23"/>
        <v>3.4017869113961005E-3</v>
      </c>
      <c r="K503">
        <f t="shared" si="21"/>
        <v>470.10000610351563</v>
      </c>
      <c r="L503" s="5">
        <f t="shared" si="22"/>
        <v>-0.21126953577772145</v>
      </c>
    </row>
    <row r="504" spans="1:12" x14ac:dyDescent="0.3">
      <c r="A504" s="2">
        <v>45744</v>
      </c>
      <c r="B504">
        <v>372.04351806640619</v>
      </c>
      <c r="C504">
        <f t="shared" si="23"/>
        <v>-1.3812510448175433E-3</v>
      </c>
      <c r="K504">
        <f t="shared" si="21"/>
        <v>470.10000610351563</v>
      </c>
      <c r="L504" s="5">
        <f t="shared" si="22"/>
        <v>-0.20858644280791072</v>
      </c>
    </row>
    <row r="505" spans="1:12" x14ac:dyDescent="0.3">
      <c r="A505" s="2">
        <v>45748</v>
      </c>
      <c r="B505">
        <v>371.52963256835938</v>
      </c>
      <c r="C505">
        <f t="shared" si="23"/>
        <v>-3.7710639714880949E-4</v>
      </c>
      <c r="K505">
        <f t="shared" si="21"/>
        <v>470.10000610351563</v>
      </c>
      <c r="L505" s="5">
        <f t="shared" si="22"/>
        <v>-0.20967958361066508</v>
      </c>
    </row>
    <row r="506" spans="1:12" x14ac:dyDescent="0.3">
      <c r="A506" s="2">
        <v>45749</v>
      </c>
      <c r="B506">
        <v>371.3895263671875</v>
      </c>
      <c r="C506">
        <f t="shared" si="23"/>
        <v>-1.1321568368371083E-3</v>
      </c>
      <c r="K506">
        <f t="shared" si="21"/>
        <v>470.10000610351563</v>
      </c>
      <c r="L506" s="5">
        <f t="shared" si="22"/>
        <v>-0.2099776184954828</v>
      </c>
    </row>
    <row r="507" spans="1:12" x14ac:dyDescent="0.3">
      <c r="A507" s="2">
        <v>45750</v>
      </c>
      <c r="B507">
        <v>370.96905517578119</v>
      </c>
      <c r="C507">
        <f t="shared" si="23"/>
        <v>-3.0222902202170745E-2</v>
      </c>
      <c r="K507">
        <f t="shared" si="21"/>
        <v>470.10000610351563</v>
      </c>
      <c r="L507" s="5">
        <f t="shared" si="22"/>
        <v>-0.21087204773595747</v>
      </c>
    </row>
    <row r="508" spans="1:12" x14ac:dyDescent="0.3">
      <c r="A508" s="2">
        <v>45751</v>
      </c>
      <c r="B508">
        <v>359.75729370117188</v>
      </c>
      <c r="C508">
        <f t="shared" si="23"/>
        <v>-1.960787806653028E-2</v>
      </c>
      <c r="K508">
        <f t="shared" si="21"/>
        <v>470.10000610351563</v>
      </c>
      <c r="L508" s="5">
        <f t="shared" si="22"/>
        <v>-0.23472178466223281</v>
      </c>
    </row>
    <row r="509" spans="1:12" x14ac:dyDescent="0.3">
      <c r="A509" s="2">
        <v>45754</v>
      </c>
      <c r="B509">
        <v>352.70321655273438</v>
      </c>
      <c r="C509">
        <f t="shared" si="23"/>
        <v>1.417224441631619E-2</v>
      </c>
      <c r="K509">
        <f t="shared" si="21"/>
        <v>470.10000610351563</v>
      </c>
      <c r="L509" s="5">
        <f t="shared" si="22"/>
        <v>-0.24972726659554767</v>
      </c>
    </row>
    <row r="510" spans="1:12" x14ac:dyDescent="0.3">
      <c r="A510" s="2">
        <v>45755</v>
      </c>
      <c r="B510">
        <v>357.70181274414063</v>
      </c>
      <c r="C510">
        <f t="shared" si="23"/>
        <v>-2.1548867165427896E-2</v>
      </c>
      <c r="K510">
        <f t="shared" si="21"/>
        <v>470.10000610351563</v>
      </c>
      <c r="L510" s="5">
        <f t="shared" si="22"/>
        <v>-0.23909421803884212</v>
      </c>
    </row>
    <row r="511" spans="1:12" x14ac:dyDescent="0.3">
      <c r="A511" s="2">
        <v>45756</v>
      </c>
      <c r="B511">
        <v>349.99374389648438</v>
      </c>
      <c r="C511">
        <f t="shared" si="23"/>
        <v>4.6716533280667771E-2</v>
      </c>
      <c r="K511">
        <f t="shared" si="21"/>
        <v>470.10000610351563</v>
      </c>
      <c r="L511" s="5">
        <f t="shared" si="22"/>
        <v>-0.25549087565972917</v>
      </c>
    </row>
    <row r="512" spans="1:12" x14ac:dyDescent="0.3">
      <c r="A512" s="2">
        <v>45758</v>
      </c>
      <c r="B512">
        <v>366.34423828125</v>
      </c>
      <c r="C512">
        <f t="shared" si="23"/>
        <v>8.0334924754056191E-3</v>
      </c>
      <c r="K512">
        <f t="shared" si="21"/>
        <v>470.10000610351563</v>
      </c>
      <c r="L512" s="5">
        <f t="shared" si="22"/>
        <v>-0.22070999037472616</v>
      </c>
    </row>
    <row r="513" spans="1:12" x14ac:dyDescent="0.3">
      <c r="A513" s="2">
        <v>45762</v>
      </c>
      <c r="B513">
        <v>369.28726196289063</v>
      </c>
      <c r="C513">
        <f t="shared" si="23"/>
        <v>1.0120318441624337E-2</v>
      </c>
      <c r="K513">
        <f t="shared" si="21"/>
        <v>470.10000610351563</v>
      </c>
      <c r="L513" s="5">
        <f t="shared" si="22"/>
        <v>-0.21444956994624276</v>
      </c>
    </row>
    <row r="514" spans="1:12" x14ac:dyDescent="0.3">
      <c r="A514" s="2">
        <v>45763</v>
      </c>
      <c r="B514">
        <v>373.02456665039063</v>
      </c>
      <c r="C514">
        <f t="shared" si="23"/>
        <v>-1.001859649820355E-3</v>
      </c>
      <c r="K514">
        <f t="shared" ref="K514:K577" si="24">MAX(B514:B1253)</f>
        <v>470.10000610351563</v>
      </c>
      <c r="L514" s="5">
        <f t="shared" ref="L514:L577" si="25">B514/K514-1</f>
        <v>-0.20649954944214377</v>
      </c>
    </row>
    <row r="515" spans="1:12" x14ac:dyDescent="0.3">
      <c r="A515" s="2">
        <v>45764</v>
      </c>
      <c r="B515">
        <v>372.65084838867188</v>
      </c>
      <c r="C515">
        <f t="shared" ref="C515:C578" si="26">(B516-B515)/B515</f>
        <v>4.136836037406378E-3</v>
      </c>
      <c r="K515">
        <f t="shared" si="24"/>
        <v>470.10000610351563</v>
      </c>
      <c r="L515" s="5">
        <f t="shared" si="25"/>
        <v>-0.20729452552567196</v>
      </c>
    </row>
    <row r="516" spans="1:12" x14ac:dyDescent="0.3">
      <c r="A516" s="2">
        <v>45768</v>
      </c>
      <c r="B516">
        <v>374.19244384765619</v>
      </c>
      <c r="C516">
        <f t="shared" si="26"/>
        <v>-4.7440215085577473E-3</v>
      </c>
      <c r="K516">
        <f t="shared" si="24"/>
        <v>470.10000610351563</v>
      </c>
      <c r="L516" s="5">
        <f t="shared" si="25"/>
        <v>-0.20401523295181723</v>
      </c>
    </row>
    <row r="517" spans="1:12" x14ac:dyDescent="0.3">
      <c r="A517" s="2">
        <v>45769</v>
      </c>
      <c r="B517">
        <v>372.41726684570313</v>
      </c>
      <c r="C517">
        <f t="shared" si="26"/>
        <v>8.780362209812717E-4</v>
      </c>
      <c r="K517">
        <f t="shared" si="24"/>
        <v>470.10000610351563</v>
      </c>
      <c r="L517" s="5">
        <f t="shared" si="25"/>
        <v>-0.20779140180717814</v>
      </c>
    </row>
    <row r="518" spans="1:12" x14ac:dyDescent="0.3">
      <c r="A518" s="2">
        <v>45770</v>
      </c>
      <c r="B518">
        <v>372.7442626953125</v>
      </c>
      <c r="C518">
        <f t="shared" si="26"/>
        <v>2.2559202966020097E-3</v>
      </c>
      <c r="K518">
        <f t="shared" si="24"/>
        <v>470.10000610351563</v>
      </c>
      <c r="L518" s="5">
        <f t="shared" si="25"/>
        <v>-0.20709581396339205</v>
      </c>
    </row>
    <row r="519" spans="1:12" x14ac:dyDescent="0.3">
      <c r="A519" s="2">
        <v>45771</v>
      </c>
      <c r="B519">
        <v>373.58514404296881</v>
      </c>
      <c r="C519">
        <f t="shared" si="26"/>
        <v>-1.6756254350929482E-2</v>
      </c>
      <c r="K519">
        <f t="shared" si="24"/>
        <v>470.10000610351563</v>
      </c>
      <c r="L519" s="5">
        <f t="shared" si="25"/>
        <v>-0.20530708531685138</v>
      </c>
    </row>
    <row r="520" spans="1:12" x14ac:dyDescent="0.3">
      <c r="A520" s="2">
        <v>45772</v>
      </c>
      <c r="B520">
        <v>367.32525634765619</v>
      </c>
      <c r="C520">
        <f t="shared" si="26"/>
        <v>1.0174125166140453E-2</v>
      </c>
      <c r="K520">
        <f t="shared" si="24"/>
        <v>470.10000610351563</v>
      </c>
      <c r="L520" s="5">
        <f t="shared" si="25"/>
        <v>-0.21862316192616371</v>
      </c>
    </row>
    <row r="521" spans="1:12" x14ac:dyDescent="0.3">
      <c r="A521" s="2">
        <v>45775</v>
      </c>
      <c r="B521">
        <v>371.06246948242188</v>
      </c>
      <c r="C521">
        <f t="shared" si="26"/>
        <v>-2.0269389483899752E-2</v>
      </c>
      <c r="K521">
        <f t="shared" si="24"/>
        <v>470.10000610351563</v>
      </c>
      <c r="L521" s="5">
        <f t="shared" si="25"/>
        <v>-0.21067333617367745</v>
      </c>
    </row>
    <row r="522" spans="1:12" x14ac:dyDescent="0.3">
      <c r="A522" s="2">
        <v>45776</v>
      </c>
      <c r="B522">
        <v>363.541259765625</v>
      </c>
      <c r="C522">
        <f t="shared" si="26"/>
        <v>-9.7661116203792316E-3</v>
      </c>
      <c r="K522">
        <f t="shared" si="24"/>
        <v>470.10000610351563</v>
      </c>
      <c r="L522" s="5">
        <f t="shared" si="25"/>
        <v>-0.2266725057528004</v>
      </c>
    </row>
    <row r="523" spans="1:12" x14ac:dyDescent="0.3">
      <c r="A523" s="2">
        <v>45777</v>
      </c>
      <c r="B523">
        <v>359.99087524414063</v>
      </c>
      <c r="C523">
        <f t="shared" si="26"/>
        <v>-4.6716814535144894E-3</v>
      </c>
      <c r="K523">
        <f t="shared" si="24"/>
        <v>470.10000610351563</v>
      </c>
      <c r="L523" s="5">
        <f t="shared" si="25"/>
        <v>-0.23422490838072663</v>
      </c>
    </row>
    <row r="524" spans="1:12" x14ac:dyDescent="0.3">
      <c r="A524" s="2">
        <v>45779</v>
      </c>
      <c r="B524">
        <v>358.30911254882813</v>
      </c>
      <c r="C524">
        <f t="shared" si="26"/>
        <v>5.4758197994340041E-3</v>
      </c>
      <c r="K524">
        <f t="shared" si="24"/>
        <v>470.10000610351563</v>
      </c>
      <c r="L524" s="5">
        <f t="shared" si="25"/>
        <v>-0.23780236567380775</v>
      </c>
    </row>
    <row r="525" spans="1:12" x14ac:dyDescent="0.3">
      <c r="A525" s="2">
        <v>45782</v>
      </c>
      <c r="B525">
        <v>360.27114868164063</v>
      </c>
      <c r="C525">
        <f t="shared" si="26"/>
        <v>-1.9061164140202359E-2</v>
      </c>
      <c r="K525">
        <f t="shared" si="24"/>
        <v>470.10000610351563</v>
      </c>
      <c r="L525" s="5">
        <f t="shared" si="25"/>
        <v>-0.23362870877668263</v>
      </c>
    </row>
    <row r="526" spans="1:12" x14ac:dyDescent="0.3">
      <c r="A526" s="2">
        <v>45783</v>
      </c>
      <c r="B526">
        <v>353.40396118164063</v>
      </c>
      <c r="C526">
        <f t="shared" si="26"/>
        <v>1.3350988541701999E-2</v>
      </c>
      <c r="K526">
        <f t="shared" si="24"/>
        <v>470.10000610351563</v>
      </c>
      <c r="L526" s="5">
        <f t="shared" si="25"/>
        <v>-0.24823663775102911</v>
      </c>
    </row>
    <row r="527" spans="1:12" x14ac:dyDescent="0.3">
      <c r="A527" s="2">
        <v>45784</v>
      </c>
      <c r="B527">
        <v>358.12225341796881</v>
      </c>
      <c r="C527">
        <f t="shared" si="26"/>
        <v>5.6092271377381235E-3</v>
      </c>
      <c r="K527">
        <f t="shared" si="24"/>
        <v>470.10000610351563</v>
      </c>
      <c r="L527" s="5">
        <f t="shared" si="25"/>
        <v>-0.23819985371557173</v>
      </c>
    </row>
    <row r="528" spans="1:12" x14ac:dyDescent="0.3">
      <c r="A528" s="2">
        <v>45785</v>
      </c>
      <c r="B528">
        <v>360.13104248046881</v>
      </c>
      <c r="C528">
        <f t="shared" si="26"/>
        <v>-7.912870799830744E-3</v>
      </c>
      <c r="K528">
        <f t="shared" si="24"/>
        <v>470.10000610351563</v>
      </c>
      <c r="L528" s="5">
        <f t="shared" si="25"/>
        <v>-0.23392674366150024</v>
      </c>
    </row>
    <row r="529" spans="1:12" x14ac:dyDescent="0.3">
      <c r="A529" s="2">
        <v>45786</v>
      </c>
      <c r="B529">
        <v>357.2813720703125</v>
      </c>
      <c r="C529">
        <f t="shared" si="26"/>
        <v>3.4257319048574084E-2</v>
      </c>
      <c r="K529">
        <f t="shared" si="24"/>
        <v>470.10000610351563</v>
      </c>
      <c r="L529" s="5">
        <f t="shared" si="25"/>
        <v>-0.2399885823621124</v>
      </c>
    </row>
    <row r="530" spans="1:12" x14ac:dyDescent="0.3">
      <c r="A530" s="2">
        <v>45789</v>
      </c>
      <c r="B530">
        <v>369.5208740234375</v>
      </c>
      <c r="C530">
        <f t="shared" si="26"/>
        <v>-8.849184784852904E-4</v>
      </c>
      <c r="K530">
        <f t="shared" si="24"/>
        <v>470.10000610351563</v>
      </c>
      <c r="L530" s="5">
        <f t="shared" si="25"/>
        <v>-0.21395262874753229</v>
      </c>
    </row>
    <row r="531" spans="1:12" x14ac:dyDescent="0.3">
      <c r="A531" s="2">
        <v>45790</v>
      </c>
      <c r="B531">
        <v>369.19387817382813</v>
      </c>
      <c r="C531">
        <f t="shared" si="26"/>
        <v>2.0118873393347118E-2</v>
      </c>
      <c r="K531">
        <f t="shared" si="24"/>
        <v>470.10000610351563</v>
      </c>
      <c r="L531" s="5">
        <f t="shared" si="25"/>
        <v>-0.21464821659131839</v>
      </c>
    </row>
    <row r="532" spans="1:12" x14ac:dyDescent="0.3">
      <c r="A532" s="2">
        <v>45791</v>
      </c>
      <c r="B532">
        <v>376.62164306640619</v>
      </c>
      <c r="C532">
        <f t="shared" si="26"/>
        <v>3.8452693746720821E-3</v>
      </c>
      <c r="K532">
        <f t="shared" si="24"/>
        <v>470.10000610351563</v>
      </c>
      <c r="L532" s="5">
        <f t="shared" si="25"/>
        <v>-0.19884782349167973</v>
      </c>
    </row>
    <row r="533" spans="1:12" x14ac:dyDescent="0.3">
      <c r="A533" s="2">
        <v>45792</v>
      </c>
      <c r="B533">
        <v>378.06985473632813</v>
      </c>
      <c r="C533">
        <f t="shared" si="26"/>
        <v>3.7058284181262552E-4</v>
      </c>
      <c r="K533">
        <f t="shared" si="24"/>
        <v>470.10000610351563</v>
      </c>
      <c r="L533" s="5">
        <f t="shared" si="25"/>
        <v>-0.19576717756290041</v>
      </c>
    </row>
    <row r="534" spans="1:12" x14ac:dyDescent="0.3">
      <c r="A534" s="2">
        <v>45793</v>
      </c>
      <c r="B534">
        <v>378.2099609375</v>
      </c>
      <c r="C534">
        <f t="shared" si="26"/>
        <v>-5.1876095763606833E-3</v>
      </c>
      <c r="K534">
        <f t="shared" si="24"/>
        <v>470.10000610351563</v>
      </c>
      <c r="L534" s="5">
        <f t="shared" si="25"/>
        <v>-0.19546914267808269</v>
      </c>
    </row>
    <row r="535" spans="1:12" x14ac:dyDescent="0.3">
      <c r="A535" s="2">
        <v>45796</v>
      </c>
      <c r="B535">
        <v>376.24795532226563</v>
      </c>
      <c r="C535">
        <f t="shared" si="26"/>
        <v>1.3409314202013108E-2</v>
      </c>
      <c r="K535">
        <f t="shared" si="24"/>
        <v>470.10000610351563</v>
      </c>
      <c r="L535" s="5">
        <f t="shared" si="25"/>
        <v>-0.19964273465800353</v>
      </c>
    </row>
    <row r="536" spans="1:12" x14ac:dyDescent="0.3">
      <c r="A536" s="2">
        <v>45797</v>
      </c>
      <c r="B536">
        <v>381.29318237304688</v>
      </c>
      <c r="C536">
        <f t="shared" si="26"/>
        <v>-6.7384785678812151E-3</v>
      </c>
      <c r="K536">
        <f t="shared" si="24"/>
        <v>470.10000610351563</v>
      </c>
      <c r="L536" s="5">
        <f t="shared" si="25"/>
        <v>-0.18891049261316872</v>
      </c>
    </row>
    <row r="537" spans="1:12" x14ac:dyDescent="0.3">
      <c r="A537" s="2">
        <v>45798</v>
      </c>
      <c r="B537">
        <v>378.72384643554688</v>
      </c>
      <c r="C537">
        <f t="shared" si="26"/>
        <v>-1.6035425558840626E-2</v>
      </c>
      <c r="K537">
        <f t="shared" si="24"/>
        <v>470.10000610351563</v>
      </c>
      <c r="L537" s="5">
        <f t="shared" si="25"/>
        <v>-0.19437600187532822</v>
      </c>
    </row>
    <row r="538" spans="1:12" x14ac:dyDescent="0.3">
      <c r="A538" s="2">
        <v>45799</v>
      </c>
      <c r="B538">
        <v>372.65084838867188</v>
      </c>
      <c r="C538">
        <f t="shared" si="26"/>
        <v>6.6439969853467644E-3</v>
      </c>
      <c r="K538">
        <f t="shared" si="24"/>
        <v>470.10000610351563</v>
      </c>
      <c r="L538" s="5">
        <f t="shared" si="25"/>
        <v>-0.20729452552567196</v>
      </c>
    </row>
    <row r="539" spans="1:12" x14ac:dyDescent="0.3">
      <c r="A539" s="2">
        <v>45800</v>
      </c>
      <c r="B539">
        <v>375.12673950195313</v>
      </c>
      <c r="C539">
        <f t="shared" si="26"/>
        <v>2.9888986900830149E-3</v>
      </c>
      <c r="K539">
        <f t="shared" si="24"/>
        <v>470.10000610351563</v>
      </c>
      <c r="L539" s="5">
        <f t="shared" si="25"/>
        <v>-0.20202779274299665</v>
      </c>
    </row>
    <row r="540" spans="1:12" x14ac:dyDescent="0.3">
      <c r="A540" s="2">
        <v>45803</v>
      </c>
      <c r="B540">
        <v>376.24795532226563</v>
      </c>
      <c r="C540">
        <f t="shared" si="26"/>
        <v>-6.8289991648074165E-3</v>
      </c>
      <c r="K540">
        <f t="shared" si="24"/>
        <v>470.10000610351563</v>
      </c>
      <c r="L540" s="5">
        <f t="shared" si="25"/>
        <v>-0.19964273465800353</v>
      </c>
    </row>
    <row r="541" spans="1:12" x14ac:dyDescent="0.3">
      <c r="A541" s="2">
        <v>45804</v>
      </c>
      <c r="B541">
        <v>373.67855834960938</v>
      </c>
      <c r="C541">
        <f t="shared" si="26"/>
        <v>-4.3755260950066521E-3</v>
      </c>
      <c r="K541">
        <f t="shared" si="24"/>
        <v>470.10000610351563</v>
      </c>
      <c r="L541" s="5">
        <f t="shared" si="25"/>
        <v>-0.20510837375457158</v>
      </c>
    </row>
    <row r="542" spans="1:12" x14ac:dyDescent="0.3">
      <c r="A542" s="2">
        <v>45805</v>
      </c>
      <c r="B542">
        <v>372.04351806640619</v>
      </c>
      <c r="C542">
        <f t="shared" si="26"/>
        <v>0</v>
      </c>
      <c r="K542">
        <f t="shared" si="24"/>
        <v>470.10000610351563</v>
      </c>
      <c r="L542" s="5">
        <f t="shared" si="25"/>
        <v>-0.20858644280791072</v>
      </c>
    </row>
    <row r="543" spans="1:12" x14ac:dyDescent="0.3">
      <c r="A543" s="2">
        <v>45806</v>
      </c>
      <c r="B543">
        <v>372.04351806640619</v>
      </c>
      <c r="C543">
        <f t="shared" si="26"/>
        <v>-2.2602513534027585E-3</v>
      </c>
      <c r="K543">
        <f t="shared" si="24"/>
        <v>470.10000610351563</v>
      </c>
      <c r="L543" s="5">
        <f t="shared" si="25"/>
        <v>-0.20858644280791072</v>
      </c>
    </row>
    <row r="544" spans="1:12" x14ac:dyDescent="0.3">
      <c r="A544" s="2">
        <v>45807</v>
      </c>
      <c r="B544">
        <v>371.20260620117188</v>
      </c>
      <c r="C544">
        <f t="shared" si="26"/>
        <v>6.0409088879932885E-3</v>
      </c>
      <c r="K544">
        <f t="shared" si="24"/>
        <v>470.10000610351563</v>
      </c>
      <c r="L544" s="5">
        <f t="shared" si="25"/>
        <v>-0.21037523637165545</v>
      </c>
    </row>
    <row r="545" spans="1:12" x14ac:dyDescent="0.3">
      <c r="A545" s="2">
        <v>45810</v>
      </c>
      <c r="B545">
        <v>373.44500732421881</v>
      </c>
      <c r="C545">
        <f t="shared" si="26"/>
        <v>-1.7137877883273613E-2</v>
      </c>
      <c r="K545">
        <f t="shared" si="24"/>
        <v>470.10000610351563</v>
      </c>
      <c r="L545" s="5">
        <f t="shared" si="25"/>
        <v>-0.20560518511887338</v>
      </c>
    </row>
    <row r="546" spans="1:12" x14ac:dyDescent="0.3">
      <c r="A546" s="2">
        <v>45811</v>
      </c>
      <c r="B546">
        <v>367.04495239257813</v>
      </c>
      <c r="C546">
        <f t="shared" si="26"/>
        <v>4.454605008310502E-3</v>
      </c>
      <c r="K546">
        <f t="shared" si="24"/>
        <v>470.10000610351563</v>
      </c>
      <c r="L546" s="5">
        <f t="shared" si="25"/>
        <v>-0.21921942644741188</v>
      </c>
    </row>
    <row r="547" spans="1:12" x14ac:dyDescent="0.3">
      <c r="A547" s="2">
        <v>45812</v>
      </c>
      <c r="B547">
        <v>368.67999267578119</v>
      </c>
      <c r="C547">
        <f t="shared" si="26"/>
        <v>7.6020788507087146E-4</v>
      </c>
      <c r="K547">
        <f t="shared" si="24"/>
        <v>470.10000610351563</v>
      </c>
      <c r="L547" s="5">
        <f t="shared" si="25"/>
        <v>-0.21574135739407296</v>
      </c>
    </row>
    <row r="548" spans="1:12" x14ac:dyDescent="0.3">
      <c r="A548" s="2">
        <v>45813</v>
      </c>
      <c r="B548">
        <v>368.96026611328119</v>
      </c>
      <c r="C548">
        <f t="shared" si="26"/>
        <v>1.0255837632308931E-2</v>
      </c>
      <c r="K548">
        <f t="shared" si="24"/>
        <v>470.10000610351563</v>
      </c>
      <c r="L548" s="5">
        <f t="shared" si="25"/>
        <v>-0.21514515779002896</v>
      </c>
    </row>
    <row r="549" spans="1:12" x14ac:dyDescent="0.3">
      <c r="A549" s="2">
        <v>45814</v>
      </c>
      <c r="B549">
        <v>372.7442626953125</v>
      </c>
      <c r="C549">
        <f t="shared" si="26"/>
        <v>5.1384942170040636E-3</v>
      </c>
      <c r="K549">
        <f t="shared" si="24"/>
        <v>470.10000610351563</v>
      </c>
      <c r="L549" s="5">
        <f t="shared" si="25"/>
        <v>-0.20709581396339205</v>
      </c>
    </row>
    <row r="550" spans="1:12" x14ac:dyDescent="0.3">
      <c r="A550" s="2">
        <v>45817</v>
      </c>
      <c r="B550">
        <v>374.65960693359381</v>
      </c>
      <c r="C550">
        <f t="shared" si="26"/>
        <v>-3.6160753340069474E-3</v>
      </c>
      <c r="K550">
        <f t="shared" si="24"/>
        <v>470.10000610351563</v>
      </c>
      <c r="L550" s="5">
        <f t="shared" si="25"/>
        <v>-0.20302148038880463</v>
      </c>
    </row>
    <row r="551" spans="1:12" x14ac:dyDescent="0.3">
      <c r="A551" s="2">
        <v>45818</v>
      </c>
      <c r="B551">
        <v>373.3048095703125</v>
      </c>
      <c r="C551">
        <f t="shared" si="26"/>
        <v>6.3822854158757381E-3</v>
      </c>
      <c r="K551">
        <f t="shared" si="24"/>
        <v>470.10000610351563</v>
      </c>
      <c r="L551" s="5">
        <f t="shared" si="25"/>
        <v>-0.20590341475530405</v>
      </c>
    </row>
    <row r="552" spans="1:12" x14ac:dyDescent="0.3">
      <c r="A552" s="2">
        <v>45819</v>
      </c>
      <c r="B552">
        <v>375.68734741210938</v>
      </c>
      <c r="C552">
        <f t="shared" si="26"/>
        <v>-2.3377235881854898E-2</v>
      </c>
      <c r="K552">
        <f t="shared" si="24"/>
        <v>470.10000610351563</v>
      </c>
      <c r="L552" s="5">
        <f t="shared" si="25"/>
        <v>-0.20083526370050009</v>
      </c>
    </row>
    <row r="553" spans="1:12" x14ac:dyDescent="0.3">
      <c r="A553" s="2">
        <v>45820</v>
      </c>
      <c r="B553">
        <v>366.90481567382813</v>
      </c>
      <c r="C553">
        <f t="shared" si="26"/>
        <v>-3.8197625049936632E-3</v>
      </c>
      <c r="K553">
        <f t="shared" si="24"/>
        <v>470.10000610351563</v>
      </c>
      <c r="L553" s="5">
        <f t="shared" si="25"/>
        <v>-0.21951752624943388</v>
      </c>
    </row>
    <row r="554" spans="1:12" x14ac:dyDescent="0.3">
      <c r="A554" s="2">
        <v>45821</v>
      </c>
      <c r="B554">
        <v>365.50332641601563</v>
      </c>
      <c r="C554">
        <f t="shared" si="26"/>
        <v>8.0521420848768364E-3</v>
      </c>
      <c r="K554">
        <f t="shared" si="24"/>
        <v>470.10000610351563</v>
      </c>
      <c r="L554" s="5">
        <f t="shared" si="25"/>
        <v>-0.222498783938471</v>
      </c>
    </row>
    <row r="555" spans="1:12" x14ac:dyDescent="0.3">
      <c r="A555" s="2">
        <v>45824</v>
      </c>
      <c r="B555">
        <v>368.4464111328125</v>
      </c>
      <c r="C555">
        <f t="shared" si="26"/>
        <v>-7.7342873320296688E-3</v>
      </c>
      <c r="K555">
        <f t="shared" si="24"/>
        <v>470.10000610351563</v>
      </c>
      <c r="L555" s="5">
        <f t="shared" si="25"/>
        <v>-0.21623823367557904</v>
      </c>
    </row>
    <row r="556" spans="1:12" x14ac:dyDescent="0.3">
      <c r="A556" s="2">
        <v>45825</v>
      </c>
      <c r="B556">
        <v>365.59674072265619</v>
      </c>
      <c r="C556">
        <f t="shared" si="26"/>
        <v>-2.4277383885670484E-3</v>
      </c>
      <c r="K556">
        <f t="shared" si="24"/>
        <v>470.10000610351563</v>
      </c>
      <c r="L556" s="5">
        <f t="shared" si="25"/>
        <v>-0.2223000723761912</v>
      </c>
    </row>
    <row r="557" spans="1:12" x14ac:dyDescent="0.3">
      <c r="A557" s="2">
        <v>45826</v>
      </c>
      <c r="B557">
        <v>364.70916748046881</v>
      </c>
      <c r="C557">
        <f t="shared" si="26"/>
        <v>-1.5627000390769301E-2</v>
      </c>
      <c r="K557">
        <f t="shared" si="24"/>
        <v>470.10000610351563</v>
      </c>
      <c r="L557" s="5">
        <f t="shared" si="25"/>
        <v>-0.22418812434526925</v>
      </c>
    </row>
    <row r="558" spans="1:12" x14ac:dyDescent="0.3">
      <c r="A558" s="2">
        <v>45827</v>
      </c>
      <c r="B558">
        <v>359.00985717773438</v>
      </c>
      <c r="C558">
        <f t="shared" si="26"/>
        <v>1.2491802345028726E-2</v>
      </c>
      <c r="K558">
        <f t="shared" si="24"/>
        <v>470.10000610351563</v>
      </c>
      <c r="L558" s="5">
        <f t="shared" si="25"/>
        <v>-0.23631173682928919</v>
      </c>
    </row>
    <row r="559" spans="1:12" x14ac:dyDescent="0.3">
      <c r="A559" s="2">
        <v>45828</v>
      </c>
      <c r="B559">
        <v>363.49453735351563</v>
      </c>
      <c r="C559">
        <f t="shared" si="26"/>
        <v>8.8677774784276936E-3</v>
      </c>
      <c r="K559">
        <f t="shared" si="24"/>
        <v>470.10000610351563</v>
      </c>
      <c r="L559" s="5">
        <f t="shared" si="25"/>
        <v>-0.22677189399254249</v>
      </c>
    </row>
    <row r="560" spans="1:12" x14ac:dyDescent="0.3">
      <c r="A560" s="2">
        <v>45831</v>
      </c>
      <c r="B560">
        <v>366.71792602539063</v>
      </c>
      <c r="C560">
        <f t="shared" si="26"/>
        <v>3.8213762896416819E-4</v>
      </c>
      <c r="K560">
        <f t="shared" si="24"/>
        <v>470.10000610351563</v>
      </c>
      <c r="L560" s="5">
        <f t="shared" si="25"/>
        <v>-0.21991507920840225</v>
      </c>
    </row>
    <row r="561" spans="1:12" x14ac:dyDescent="0.3">
      <c r="A561" s="2">
        <v>45832</v>
      </c>
      <c r="B561">
        <v>366.85806274414063</v>
      </c>
      <c r="C561">
        <f t="shared" si="26"/>
        <v>-2.292116306144018E-3</v>
      </c>
      <c r="K561">
        <f t="shared" si="24"/>
        <v>470.10000610351563</v>
      </c>
      <c r="L561" s="5">
        <f t="shared" si="25"/>
        <v>-0.21961697940638025</v>
      </c>
    </row>
    <row r="562" spans="1:12" x14ac:dyDescent="0.3">
      <c r="A562" s="2">
        <v>45833</v>
      </c>
      <c r="B562">
        <v>366.01718139648438</v>
      </c>
      <c r="C562">
        <f t="shared" si="26"/>
        <v>6.1263246696106133E-3</v>
      </c>
      <c r="K562">
        <f t="shared" si="24"/>
        <v>470.10000610351563</v>
      </c>
      <c r="L562" s="5">
        <f t="shared" si="25"/>
        <v>-0.22140570805292081</v>
      </c>
    </row>
    <row r="563" spans="1:12" x14ac:dyDescent="0.3">
      <c r="A563" s="2">
        <v>45834</v>
      </c>
      <c r="B563">
        <v>368.259521484375</v>
      </c>
      <c r="C563">
        <f t="shared" si="26"/>
        <v>0</v>
      </c>
      <c r="K563">
        <f t="shared" si="24"/>
        <v>470.10000610351563</v>
      </c>
      <c r="L563" s="5">
        <f t="shared" si="25"/>
        <v>-0.21663578663454741</v>
      </c>
    </row>
    <row r="564" spans="1:12" x14ac:dyDescent="0.3">
      <c r="A564" s="2">
        <v>45835</v>
      </c>
      <c r="B564">
        <v>368.259521484375</v>
      </c>
      <c r="C564">
        <f t="shared" si="26"/>
        <v>-5.5815269383071098E-3</v>
      </c>
      <c r="K564">
        <f t="shared" si="24"/>
        <v>470.10000610351563</v>
      </c>
      <c r="L564" s="5">
        <f t="shared" si="25"/>
        <v>-0.21663578663454741</v>
      </c>
    </row>
    <row r="565" spans="1:12" x14ac:dyDescent="0.3">
      <c r="A565" s="2">
        <v>45838</v>
      </c>
      <c r="B565">
        <v>366.20407104492188</v>
      </c>
      <c r="C565">
        <f t="shared" si="26"/>
        <v>-5.6130219108274943E-3</v>
      </c>
      <c r="K565">
        <f t="shared" si="24"/>
        <v>470.10000610351563</v>
      </c>
      <c r="L565" s="5">
        <f t="shared" si="25"/>
        <v>-0.22100815509395244</v>
      </c>
    </row>
    <row r="566" spans="1:12" x14ac:dyDescent="0.3">
      <c r="A566" s="2">
        <v>45839</v>
      </c>
      <c r="B566">
        <v>364.1485595703125</v>
      </c>
      <c r="C566">
        <f t="shared" si="26"/>
        <v>-7.3123473696029926E-3</v>
      </c>
      <c r="K566">
        <f t="shared" si="24"/>
        <v>470.10000610351563</v>
      </c>
      <c r="L566" s="5">
        <f t="shared" si="25"/>
        <v>-0.22538065338776603</v>
      </c>
    </row>
    <row r="567" spans="1:12" x14ac:dyDescent="0.3">
      <c r="A567" s="2">
        <v>45840</v>
      </c>
      <c r="B567">
        <v>361.48577880859381</v>
      </c>
      <c r="C567">
        <f t="shared" si="26"/>
        <v>-1.163090496156986E-3</v>
      </c>
      <c r="K567">
        <f t="shared" si="24"/>
        <v>470.10000610351563</v>
      </c>
      <c r="L567" s="5">
        <f t="shared" si="25"/>
        <v>-0.23104493912940949</v>
      </c>
    </row>
    <row r="568" spans="1:12" x14ac:dyDescent="0.3">
      <c r="A568" s="2">
        <v>45841</v>
      </c>
      <c r="B568">
        <v>361.06533813476563</v>
      </c>
      <c r="C568">
        <f t="shared" si="26"/>
        <v>-9.0572628454697922E-4</v>
      </c>
      <c r="K568">
        <f t="shared" si="24"/>
        <v>470.10000610351563</v>
      </c>
      <c r="L568" s="5">
        <f t="shared" si="25"/>
        <v>-0.23193930345267999</v>
      </c>
    </row>
    <row r="569" spans="1:12" x14ac:dyDescent="0.3">
      <c r="A569" s="2">
        <v>45842</v>
      </c>
      <c r="B569">
        <v>360.73831176757813</v>
      </c>
      <c r="C569">
        <f t="shared" si="26"/>
        <v>-4.7914361559616781E-3</v>
      </c>
      <c r="K569">
        <f t="shared" si="24"/>
        <v>470.10000610351563</v>
      </c>
      <c r="L569" s="5">
        <f t="shared" si="25"/>
        <v>-0.23263495621367025</v>
      </c>
    </row>
    <row r="570" spans="1:12" x14ac:dyDescent="0.3">
      <c r="A570" s="2">
        <v>45845</v>
      </c>
      <c r="B570">
        <v>359.00985717773438</v>
      </c>
      <c r="C570">
        <f t="shared" si="26"/>
        <v>-3.6434777693197954E-3</v>
      </c>
      <c r="K570">
        <f t="shared" si="24"/>
        <v>470.10000610351563</v>
      </c>
      <c r="L570" s="5">
        <f t="shared" si="25"/>
        <v>-0.23631173682928919</v>
      </c>
    </row>
    <row r="571" spans="1:12" x14ac:dyDescent="0.3">
      <c r="A571" s="2">
        <v>45846</v>
      </c>
      <c r="B571">
        <v>357.70181274414063</v>
      </c>
      <c r="C571">
        <f t="shared" si="26"/>
        <v>1.2015265025096197E-2</v>
      </c>
      <c r="K571">
        <f t="shared" si="24"/>
        <v>470.10000610351563</v>
      </c>
      <c r="L571" s="5">
        <f t="shared" si="25"/>
        <v>-0.23909421803884212</v>
      </c>
    </row>
    <row r="572" spans="1:12" x14ac:dyDescent="0.3">
      <c r="A572" s="2">
        <v>45847</v>
      </c>
      <c r="B572">
        <v>361.99969482421881</v>
      </c>
      <c r="C572">
        <f t="shared" si="26"/>
        <v>-8.7755814657318482E-3</v>
      </c>
      <c r="K572">
        <f t="shared" si="24"/>
        <v>470.10000610351563</v>
      </c>
      <c r="L572" s="5">
        <f t="shared" si="25"/>
        <v>-0.22995173340945085</v>
      </c>
    </row>
    <row r="573" spans="1:12" x14ac:dyDescent="0.3">
      <c r="A573" s="2">
        <v>45848</v>
      </c>
      <c r="B573">
        <v>358.82293701171881</v>
      </c>
      <c r="C573">
        <f t="shared" si="26"/>
        <v>-8.0717576508071466E-3</v>
      </c>
      <c r="K573">
        <f t="shared" si="24"/>
        <v>470.10000610351563</v>
      </c>
      <c r="L573" s="5">
        <f t="shared" si="25"/>
        <v>-0.23670935470546173</v>
      </c>
    </row>
    <row r="574" spans="1:12" x14ac:dyDescent="0.3">
      <c r="A574" s="2">
        <v>45849</v>
      </c>
      <c r="B574">
        <v>355.92660522460938</v>
      </c>
      <c r="C574">
        <f t="shared" si="26"/>
        <v>7.6126191513454979E-3</v>
      </c>
      <c r="K574">
        <f t="shared" si="24"/>
        <v>470.10000610351563</v>
      </c>
      <c r="L574" s="5">
        <f t="shared" si="25"/>
        <v>-0.24287045181140743</v>
      </c>
    </row>
    <row r="575" spans="1:12" x14ac:dyDescent="0.3">
      <c r="A575" s="2">
        <v>45852</v>
      </c>
      <c r="B575">
        <v>358.63613891601563</v>
      </c>
      <c r="C575">
        <f t="shared" si="26"/>
        <v>6.7734367933256802E-3</v>
      </c>
      <c r="K575">
        <f t="shared" si="24"/>
        <v>470.10000610351563</v>
      </c>
      <c r="L575" s="5">
        <f t="shared" si="25"/>
        <v>-0.23710671291281737</v>
      </c>
    </row>
    <row r="576" spans="1:12" x14ac:dyDescent="0.3">
      <c r="A576" s="2">
        <v>45853</v>
      </c>
      <c r="B576">
        <v>361.06533813476563</v>
      </c>
      <c r="C576">
        <f t="shared" si="26"/>
        <v>0</v>
      </c>
      <c r="K576">
        <f t="shared" si="24"/>
        <v>470.10000610351563</v>
      </c>
      <c r="L576" s="5">
        <f t="shared" si="25"/>
        <v>-0.23193930345267999</v>
      </c>
    </row>
    <row r="577" spans="1:12" x14ac:dyDescent="0.3">
      <c r="A577" s="2">
        <v>45854</v>
      </c>
      <c r="B577">
        <v>361.06533813476563</v>
      </c>
      <c r="C577">
        <f t="shared" si="26"/>
        <v>-1.423247938175149E-3</v>
      </c>
      <c r="K577">
        <f t="shared" si="24"/>
        <v>470.10000610351563</v>
      </c>
      <c r="L577" s="5">
        <f t="shared" si="25"/>
        <v>-0.23193930345267999</v>
      </c>
    </row>
    <row r="578" spans="1:12" x14ac:dyDescent="0.3">
      <c r="A578" s="2">
        <v>45855</v>
      </c>
      <c r="B578">
        <v>360.55145263671881</v>
      </c>
      <c r="C578">
        <f t="shared" si="26"/>
        <v>6.7375397285548855E-3</v>
      </c>
      <c r="K578">
        <f t="shared" ref="K578:K641" si="27">MAX(B578:B1317)</f>
        <v>470.10000610351563</v>
      </c>
      <c r="L578" s="5">
        <f t="shared" ref="L578:L641" si="28">B578/K578-1</f>
        <v>-0.23303244425543423</v>
      </c>
    </row>
    <row r="579" spans="1:12" x14ac:dyDescent="0.3">
      <c r="A579" s="2">
        <v>45856</v>
      </c>
      <c r="B579">
        <v>362.98068237304688</v>
      </c>
      <c r="C579">
        <f t="shared" ref="C579:C642" si="29">(B580-B579)/B579</f>
        <v>-4.37593233850823E-3</v>
      </c>
      <c r="K579">
        <f t="shared" si="27"/>
        <v>470.10000610351563</v>
      </c>
      <c r="L579" s="5">
        <f t="shared" si="28"/>
        <v>-0.22786496987809268</v>
      </c>
    </row>
    <row r="580" spans="1:12" x14ac:dyDescent="0.3">
      <c r="A580" s="2">
        <v>45859</v>
      </c>
      <c r="B580">
        <v>361.39230346679688</v>
      </c>
      <c r="C580">
        <f t="shared" si="29"/>
        <v>5.946325580853333E-3</v>
      </c>
      <c r="K580">
        <f t="shared" si="27"/>
        <v>470.10000610351563</v>
      </c>
      <c r="L580" s="5">
        <f t="shared" si="28"/>
        <v>-0.23124378052609806</v>
      </c>
    </row>
    <row r="581" spans="1:12" x14ac:dyDescent="0.3">
      <c r="A581" s="2">
        <v>45860</v>
      </c>
      <c r="B581">
        <v>363.541259765625</v>
      </c>
      <c r="C581">
        <f t="shared" si="29"/>
        <v>4.2405804985007371E-3</v>
      </c>
      <c r="K581">
        <f t="shared" si="27"/>
        <v>470.10000610351563</v>
      </c>
      <c r="L581" s="5">
        <f t="shared" si="28"/>
        <v>-0.2266725057528004</v>
      </c>
    </row>
    <row r="582" spans="1:12" x14ac:dyDescent="0.3">
      <c r="A582" s="2">
        <v>45861</v>
      </c>
      <c r="B582">
        <v>365.0828857421875</v>
      </c>
      <c r="C582">
        <f t="shared" si="29"/>
        <v>-1.3307742282143094E-2</v>
      </c>
      <c r="K582">
        <f t="shared" si="27"/>
        <v>470.10000610351563</v>
      </c>
      <c r="L582" s="5">
        <f t="shared" si="28"/>
        <v>-0.22339314826174128</v>
      </c>
    </row>
    <row r="583" spans="1:12" x14ac:dyDescent="0.3">
      <c r="A583" s="2">
        <v>45862</v>
      </c>
      <c r="B583">
        <v>360.22445678710938</v>
      </c>
      <c r="C583">
        <f t="shared" si="29"/>
        <v>-1.2320063775883008E-2</v>
      </c>
      <c r="K583">
        <f t="shared" si="27"/>
        <v>470.10000610351563</v>
      </c>
      <c r="L583" s="5">
        <f t="shared" si="28"/>
        <v>-0.23372803209922044</v>
      </c>
    </row>
    <row r="584" spans="1:12" x14ac:dyDescent="0.3">
      <c r="A584" s="2">
        <v>45863</v>
      </c>
      <c r="B584">
        <v>355.78646850585938</v>
      </c>
      <c r="C584">
        <f t="shared" si="29"/>
        <v>-6.4338098905588424E-3</v>
      </c>
      <c r="K584">
        <f t="shared" si="27"/>
        <v>470.10000610351563</v>
      </c>
      <c r="L584" s="5">
        <f t="shared" si="28"/>
        <v>-0.24316855161342943</v>
      </c>
    </row>
    <row r="585" spans="1:12" x14ac:dyDescent="0.3">
      <c r="A585" s="2">
        <v>45866</v>
      </c>
      <c r="B585">
        <v>353.49740600585938</v>
      </c>
      <c r="C585">
        <f t="shared" si="29"/>
        <v>1.4008145965395489E-2</v>
      </c>
      <c r="K585">
        <f t="shared" si="27"/>
        <v>470.10000610351563</v>
      </c>
      <c r="L585" s="5">
        <f t="shared" si="28"/>
        <v>-0.24803786127154492</v>
      </c>
    </row>
    <row r="586" spans="1:12" x14ac:dyDescent="0.3">
      <c r="A586" s="2">
        <v>45867</v>
      </c>
      <c r="B586">
        <v>358.44924926757813</v>
      </c>
      <c r="C586">
        <f t="shared" si="29"/>
        <v>-9.7745849213305511E-3</v>
      </c>
      <c r="K586">
        <f t="shared" si="27"/>
        <v>470.10000610351563</v>
      </c>
      <c r="L586" s="5">
        <f t="shared" si="28"/>
        <v>-0.23750426587178575</v>
      </c>
    </row>
    <row r="587" spans="1:12" x14ac:dyDescent="0.3">
      <c r="A587" s="2">
        <v>45868</v>
      </c>
      <c r="B587">
        <v>354.945556640625</v>
      </c>
      <c r="C587">
        <f t="shared" si="29"/>
        <v>-9.3444540969297527E-3</v>
      </c>
      <c r="K587">
        <f t="shared" si="27"/>
        <v>470.10000610351563</v>
      </c>
      <c r="L587" s="5">
        <f t="shared" si="28"/>
        <v>-0.24495734517717427</v>
      </c>
    </row>
    <row r="588" spans="1:12" x14ac:dyDescent="0.3">
      <c r="A588" s="2">
        <v>45869</v>
      </c>
      <c r="B588">
        <v>351.6287841796875</v>
      </c>
      <c r="C588">
        <f t="shared" si="29"/>
        <v>-1.022992887104966E-2</v>
      </c>
      <c r="K588">
        <f t="shared" si="27"/>
        <v>470.10000610351563</v>
      </c>
      <c r="L588" s="5">
        <f t="shared" si="28"/>
        <v>-0.25201280660639014</v>
      </c>
    </row>
    <row r="589" spans="1:12" x14ac:dyDescent="0.3">
      <c r="A589" s="2">
        <v>45870</v>
      </c>
      <c r="B589">
        <v>348.03164672851563</v>
      </c>
      <c r="C589">
        <f t="shared" si="29"/>
        <v>5.9060173876505015E-3</v>
      </c>
      <c r="K589">
        <f t="shared" si="27"/>
        <v>470.10000610351563</v>
      </c>
      <c r="L589" s="5">
        <f t="shared" si="28"/>
        <v>-0.25966466239126285</v>
      </c>
    </row>
    <row r="590" spans="1:12" x14ac:dyDescent="0.3">
      <c r="A590" s="2">
        <v>45873</v>
      </c>
      <c r="B590">
        <v>350.08712768554688</v>
      </c>
      <c r="C590">
        <f t="shared" si="29"/>
        <v>1.2810270183334325E-2</v>
      </c>
      <c r="K590">
        <f t="shared" si="27"/>
        <v>470.10000610351563</v>
      </c>
      <c r="L590" s="5">
        <f t="shared" si="28"/>
        <v>-0.25529222901465354</v>
      </c>
    </row>
    <row r="591" spans="1:12" x14ac:dyDescent="0.3">
      <c r="A591" s="2">
        <v>45874</v>
      </c>
      <c r="B591">
        <v>354.57183837890619</v>
      </c>
      <c r="C591">
        <f t="shared" si="29"/>
        <v>7.62036078326081E-3</v>
      </c>
      <c r="K591">
        <f t="shared" si="27"/>
        <v>470.10000610351563</v>
      </c>
      <c r="L591" s="5">
        <f t="shared" si="28"/>
        <v>-0.24575232126070257</v>
      </c>
    </row>
    <row r="592" spans="1:12" x14ac:dyDescent="0.3">
      <c r="A592" s="2">
        <v>45875</v>
      </c>
      <c r="B592">
        <v>357.2738037109375</v>
      </c>
      <c r="C592">
        <f t="shared" si="29"/>
        <v>7.1646826366249181E-3</v>
      </c>
      <c r="K592">
        <f t="shared" si="27"/>
        <v>470.10000610351563</v>
      </c>
      <c r="L592" s="5">
        <f t="shared" si="28"/>
        <v>-0.24000468182877222</v>
      </c>
    </row>
    <row r="593" spans="1:12" x14ac:dyDescent="0.3">
      <c r="A593" s="2">
        <v>45876</v>
      </c>
      <c r="B593">
        <v>359.83355712890619</v>
      </c>
      <c r="C593">
        <f t="shared" si="29"/>
        <v>3.9530062947888196E-4</v>
      </c>
      <c r="K593">
        <f t="shared" si="27"/>
        <v>470.10000610351563</v>
      </c>
      <c r="L593" s="5">
        <f t="shared" si="28"/>
        <v>-0.2345595565687546</v>
      </c>
    </row>
    <row r="594" spans="1:12" x14ac:dyDescent="0.3">
      <c r="A594" s="2">
        <v>45877</v>
      </c>
      <c r="B594">
        <v>359.97579956054688</v>
      </c>
      <c r="C594">
        <f t="shared" si="29"/>
        <v>7.3741359871622456E-3</v>
      </c>
      <c r="K594">
        <f t="shared" si="27"/>
        <v>470.10000610351563</v>
      </c>
      <c r="L594" s="5">
        <f t="shared" si="28"/>
        <v>-0.23425697747963758</v>
      </c>
    </row>
    <row r="595" spans="1:12" x14ac:dyDescent="0.3">
      <c r="A595" s="2">
        <v>45880</v>
      </c>
      <c r="B595">
        <v>362.63031005859381</v>
      </c>
      <c r="C595">
        <f t="shared" si="29"/>
        <v>7.4509348488174896E-3</v>
      </c>
      <c r="K595">
        <f t="shared" si="27"/>
        <v>470.10000610351563</v>
      </c>
      <c r="L595" s="5">
        <f t="shared" si="28"/>
        <v>-0.2286102843003518</v>
      </c>
    </row>
    <row r="596" spans="1:12" x14ac:dyDescent="0.3">
      <c r="A596" s="2">
        <v>45881</v>
      </c>
      <c r="B596">
        <v>365.33224487304688</v>
      </c>
      <c r="C596">
        <f t="shared" si="29"/>
        <v>1.9463367394783166E-3</v>
      </c>
      <c r="K596">
        <f t="shared" si="27"/>
        <v>470.10000610351563</v>
      </c>
      <c r="L596" s="5">
        <f t="shared" si="28"/>
        <v>-0.22286270978562583</v>
      </c>
    </row>
    <row r="597" spans="1:12" x14ac:dyDescent="0.3">
      <c r="A597" s="2">
        <v>45882</v>
      </c>
      <c r="B597">
        <v>366.04330444335938</v>
      </c>
      <c r="C597">
        <f t="shared" si="29"/>
        <v>-4.2735395460605429E-3</v>
      </c>
      <c r="K597">
        <f t="shared" si="27"/>
        <v>470.10000610351563</v>
      </c>
      <c r="L597" s="5">
        <f t="shared" si="28"/>
        <v>-0.22135013892606303</v>
      </c>
    </row>
    <row r="598" spans="1:12" x14ac:dyDescent="0.3">
      <c r="A598" s="2">
        <v>45883</v>
      </c>
      <c r="B598">
        <v>364.47900390625</v>
      </c>
      <c r="C598">
        <f t="shared" si="29"/>
        <v>8.7137100393462358E-3</v>
      </c>
      <c r="K598">
        <f t="shared" si="27"/>
        <v>470.10000610351563</v>
      </c>
      <c r="L598" s="5">
        <f t="shared" si="28"/>
        <v>-0.22467772989989698</v>
      </c>
    </row>
    <row r="599" spans="1:12" x14ac:dyDescent="0.3">
      <c r="A599" s="2">
        <v>45887</v>
      </c>
      <c r="B599">
        <v>367.65496826171881</v>
      </c>
      <c r="C599">
        <f t="shared" si="29"/>
        <v>-6.3176717008716675E-3</v>
      </c>
      <c r="K599">
        <f t="shared" si="27"/>
        <v>470.10000610351563</v>
      </c>
      <c r="L599" s="5">
        <f t="shared" si="28"/>
        <v>-0.21792179645119703</v>
      </c>
    </row>
    <row r="600" spans="1:12" x14ac:dyDescent="0.3">
      <c r="A600" s="2">
        <v>45888</v>
      </c>
      <c r="B600">
        <v>365.33224487304688</v>
      </c>
      <c r="C600">
        <f t="shared" si="29"/>
        <v>-1.6867137958603506E-3</v>
      </c>
      <c r="K600">
        <f t="shared" si="27"/>
        <v>470.10000610351563</v>
      </c>
      <c r="L600" s="5">
        <f t="shared" si="28"/>
        <v>-0.22286270978562583</v>
      </c>
    </row>
    <row r="601" spans="1:12" x14ac:dyDescent="0.3">
      <c r="A601" s="2">
        <v>45889</v>
      </c>
      <c r="B601">
        <v>364.71603393554688</v>
      </c>
      <c r="C601">
        <f t="shared" si="29"/>
        <v>-3.688556997041674E-3</v>
      </c>
      <c r="K601">
        <f t="shared" si="27"/>
        <v>470.10000610351563</v>
      </c>
      <c r="L601" s="5">
        <f t="shared" si="28"/>
        <v>-0.22417351797430796</v>
      </c>
    </row>
    <row r="602" spans="1:12" x14ac:dyDescent="0.3">
      <c r="A602" s="2">
        <v>45890</v>
      </c>
      <c r="B602">
        <v>363.37075805664063</v>
      </c>
      <c r="C602">
        <f t="shared" si="29"/>
        <v>-9.7844675870770535E-3</v>
      </c>
      <c r="K602">
        <f t="shared" si="27"/>
        <v>470.10000610351563</v>
      </c>
      <c r="L602" s="5">
        <f t="shared" si="28"/>
        <v>-0.22703519817307405</v>
      </c>
    </row>
    <row r="603" spans="1:12" x14ac:dyDescent="0.3">
      <c r="A603" s="2">
        <v>45891</v>
      </c>
      <c r="B603">
        <v>359.81536865234381</v>
      </c>
      <c r="C603">
        <f t="shared" si="29"/>
        <v>1.4821766466532443E-2</v>
      </c>
      <c r="K603">
        <f t="shared" si="27"/>
        <v>470.10000610351563</v>
      </c>
      <c r="L603" s="5">
        <f t="shared" si="28"/>
        <v>-0.23459824722250111</v>
      </c>
    </row>
    <row r="604" spans="1:12" x14ac:dyDescent="0.3">
      <c r="A604" s="2">
        <v>45894</v>
      </c>
      <c r="B604">
        <v>365.14846801757813</v>
      </c>
      <c r="C604">
        <f t="shared" si="29"/>
        <v>-1.9868476751508646E-2</v>
      </c>
      <c r="K604">
        <f t="shared" si="27"/>
        <v>470.10000610351563</v>
      </c>
      <c r="L604" s="5">
        <f t="shared" si="28"/>
        <v>-0.22325364118975832</v>
      </c>
    </row>
    <row r="605" spans="1:12" x14ac:dyDescent="0.3">
      <c r="A605" s="2">
        <v>45895</v>
      </c>
      <c r="B605">
        <v>357.89352416992188</v>
      </c>
      <c r="C605">
        <f t="shared" si="29"/>
        <v>4.9671476036360828E-3</v>
      </c>
      <c r="K605">
        <f t="shared" si="27"/>
        <v>470.10000610351563</v>
      </c>
      <c r="L605" s="5">
        <f t="shared" si="28"/>
        <v>-0.2386864081615987</v>
      </c>
    </row>
    <row r="606" spans="1:12" x14ac:dyDescent="0.3">
      <c r="A606" s="2">
        <v>45897</v>
      </c>
      <c r="B606">
        <v>359.67123413085938</v>
      </c>
      <c r="C606">
        <f t="shared" si="29"/>
        <v>1.3357705227185893E-3</v>
      </c>
      <c r="K606">
        <f t="shared" si="27"/>
        <v>470.10000610351563</v>
      </c>
      <c r="L606" s="5">
        <f t="shared" si="28"/>
        <v>-0.23490485117828297</v>
      </c>
    </row>
    <row r="607" spans="1:12" x14ac:dyDescent="0.3">
      <c r="A607" s="2">
        <v>45898</v>
      </c>
      <c r="B607">
        <v>360.15167236328119</v>
      </c>
      <c r="C607">
        <f t="shared" si="29"/>
        <v>8.2710175444544419E-3</v>
      </c>
      <c r="K607">
        <f t="shared" si="27"/>
        <v>470.10000610351563</v>
      </c>
      <c r="L607" s="5">
        <f t="shared" si="28"/>
        <v>-0.23388285963141187</v>
      </c>
    </row>
    <row r="608" spans="1:12" x14ac:dyDescent="0.3">
      <c r="A608" s="2">
        <v>45901</v>
      </c>
      <c r="B608">
        <v>363.1304931640625</v>
      </c>
      <c r="C608">
        <f t="shared" si="29"/>
        <v>5.8217203711889848E-3</v>
      </c>
      <c r="K608">
        <f t="shared" si="27"/>
        <v>470.10000610351563</v>
      </c>
      <c r="L608" s="5">
        <f t="shared" si="28"/>
        <v>-0.22754629132231607</v>
      </c>
    </row>
    <row r="609" spans="1:12" x14ac:dyDescent="0.3">
      <c r="A609" s="2">
        <v>45902</v>
      </c>
      <c r="B609">
        <v>365.24453735351563</v>
      </c>
      <c r="C609">
        <f t="shared" si="29"/>
        <v>2.5519594082149953E-2</v>
      </c>
      <c r="K609">
        <f t="shared" si="27"/>
        <v>470.10000610351563</v>
      </c>
      <c r="L609" s="5">
        <f t="shared" si="28"/>
        <v>-0.22304928183070671</v>
      </c>
    </row>
    <row r="610" spans="1:12" x14ac:dyDescent="0.3">
      <c r="A610" s="2">
        <v>45903</v>
      </c>
      <c r="B610">
        <v>374.5654296875</v>
      </c>
      <c r="C610">
        <f t="shared" si="29"/>
        <v>4.2329326954411804E-3</v>
      </c>
      <c r="K610">
        <f t="shared" si="27"/>
        <v>470.10000610351563</v>
      </c>
      <c r="L610" s="5">
        <f t="shared" si="28"/>
        <v>-0.20322181488119151</v>
      </c>
    </row>
    <row r="611" spans="1:12" x14ac:dyDescent="0.3">
      <c r="A611" s="2">
        <v>45904</v>
      </c>
      <c r="B611">
        <v>376.15093994140619</v>
      </c>
      <c r="C611">
        <f t="shared" si="29"/>
        <v>3.0654613598855209E-3</v>
      </c>
      <c r="K611">
        <f t="shared" si="27"/>
        <v>470.10000610351563</v>
      </c>
      <c r="L611" s="5">
        <f t="shared" si="28"/>
        <v>-0.19984910645038778</v>
      </c>
    </row>
    <row r="612" spans="1:12" x14ac:dyDescent="0.3">
      <c r="A612" s="2">
        <v>45905</v>
      </c>
      <c r="B612">
        <v>377.30401611328119</v>
      </c>
      <c r="C612">
        <f t="shared" si="29"/>
        <v>-1.4261983137781882E-2</v>
      </c>
      <c r="K612">
        <f t="shared" si="27"/>
        <v>470.10000610351563</v>
      </c>
      <c r="L612" s="5">
        <f t="shared" si="28"/>
        <v>-0.19739627480413358</v>
      </c>
    </row>
    <row r="613" spans="1:12" x14ac:dyDescent="0.3">
      <c r="A613" s="2">
        <v>45908</v>
      </c>
      <c r="B613">
        <v>371.92291259765619</v>
      </c>
      <c r="C613">
        <f t="shared" si="29"/>
        <v>2.3253142444063608E-3</v>
      </c>
      <c r="K613">
        <f t="shared" si="27"/>
        <v>470.10000610351563</v>
      </c>
      <c r="L613" s="5">
        <f t="shared" si="28"/>
        <v>-0.20884299559919794</v>
      </c>
    </row>
    <row r="614" spans="1:12" x14ac:dyDescent="0.3">
      <c r="A614" s="2">
        <v>45909</v>
      </c>
      <c r="B614">
        <v>372.78775024414063</v>
      </c>
      <c r="C614">
        <f t="shared" si="29"/>
        <v>1.0181646953884608E-2</v>
      </c>
      <c r="K614">
        <f t="shared" si="27"/>
        <v>470.10000610351563</v>
      </c>
      <c r="L614" s="5">
        <f t="shared" si="28"/>
        <v>-0.20700330694730285</v>
      </c>
    </row>
    <row r="615" spans="1:12" x14ac:dyDescent="0.3">
      <c r="A615" s="2">
        <v>45910</v>
      </c>
      <c r="B615">
        <v>376.58334350585938</v>
      </c>
      <c r="C615">
        <f t="shared" si="29"/>
        <v>3.699954043324398E-3</v>
      </c>
      <c r="K615">
        <f t="shared" si="27"/>
        <v>470.10000610351563</v>
      </c>
      <c r="L615" s="5">
        <f t="shared" si="28"/>
        <v>-0.19892929458304232</v>
      </c>
    </row>
    <row r="616" spans="1:12" x14ac:dyDescent="0.3">
      <c r="A616" s="2">
        <v>45911</v>
      </c>
      <c r="B616">
        <v>377.9766845703125</v>
      </c>
      <c r="C616">
        <f t="shared" si="29"/>
        <v>2.5423195113010817E-3</v>
      </c>
      <c r="K616">
        <f t="shared" si="27"/>
        <v>470.10000610351563</v>
      </c>
      <c r="L616" s="5">
        <f t="shared" si="28"/>
        <v>-0.19596536978754608</v>
      </c>
    </row>
    <row r="617" spans="1:12" x14ac:dyDescent="0.3">
      <c r="A617" s="2">
        <v>45912</v>
      </c>
      <c r="B617">
        <v>378.9376220703125</v>
      </c>
      <c r="C617">
        <f t="shared" si="29"/>
        <v>1.0143328983392805E-3</v>
      </c>
      <c r="K617">
        <f t="shared" si="27"/>
        <v>470.10000610351563</v>
      </c>
      <c r="L617" s="5">
        <f t="shared" si="28"/>
        <v>-0.19392125685939521</v>
      </c>
    </row>
    <row r="618" spans="1:12" x14ac:dyDescent="0.3">
      <c r="A618" s="2">
        <v>45915</v>
      </c>
      <c r="B618">
        <v>379.32199096679688</v>
      </c>
      <c r="C618">
        <f t="shared" si="29"/>
        <v>2.6598554115438576E-3</v>
      </c>
      <c r="K618">
        <f t="shared" si="27"/>
        <v>470.10000610351563</v>
      </c>
      <c r="L618" s="5">
        <f t="shared" si="28"/>
        <v>-0.19310362467157571</v>
      </c>
    </row>
    <row r="619" spans="1:12" x14ac:dyDescent="0.3">
      <c r="A619" s="2">
        <v>45916</v>
      </c>
      <c r="B619">
        <v>380.3309326171875</v>
      </c>
      <c r="C619">
        <f t="shared" si="29"/>
        <v>9.9797924748794078E-3</v>
      </c>
      <c r="K619">
        <f t="shared" si="27"/>
        <v>470.10000610351563</v>
      </c>
      <c r="L619" s="5">
        <f t="shared" si="28"/>
        <v>-0.19095739698110337</v>
      </c>
    </row>
    <row r="620" spans="1:12" x14ac:dyDescent="0.3">
      <c r="A620" s="2">
        <v>45917</v>
      </c>
      <c r="B620">
        <v>384.12655639648438</v>
      </c>
      <c r="C620">
        <f t="shared" si="29"/>
        <v>-1.651029044989779E-2</v>
      </c>
      <c r="K620">
        <f t="shared" si="27"/>
        <v>470.10000610351563</v>
      </c>
      <c r="L620" s="5">
        <f t="shared" si="28"/>
        <v>-0.18288331969963845</v>
      </c>
    </row>
    <row r="621" spans="1:12" x14ac:dyDescent="0.3">
      <c r="A621" s="2">
        <v>45918</v>
      </c>
      <c r="B621">
        <v>377.78451538085938</v>
      </c>
      <c r="C621">
        <f t="shared" si="29"/>
        <v>3.4337317718055832E-3</v>
      </c>
      <c r="K621">
        <f t="shared" si="27"/>
        <v>470.10000610351563</v>
      </c>
      <c r="L621" s="5">
        <f t="shared" si="28"/>
        <v>-0.19637415342285369</v>
      </c>
    </row>
    <row r="622" spans="1:12" x14ac:dyDescent="0.3">
      <c r="A622" s="2">
        <v>45919</v>
      </c>
      <c r="B622">
        <v>379.08172607421881</v>
      </c>
      <c r="C622">
        <f t="shared" si="29"/>
        <v>5.0701390705803421E-4</v>
      </c>
      <c r="K622">
        <f t="shared" si="27"/>
        <v>470.10000610351563</v>
      </c>
      <c r="L622" s="5">
        <f t="shared" si="28"/>
        <v>-0.19361471782081763</v>
      </c>
    </row>
    <row r="623" spans="1:12" x14ac:dyDescent="0.3">
      <c r="A623" s="2">
        <v>45922</v>
      </c>
      <c r="B623">
        <v>379.27392578125</v>
      </c>
      <c r="C623">
        <f t="shared" si="29"/>
        <v>-1.6468394714922246E-3</v>
      </c>
      <c r="K623">
        <f t="shared" si="27"/>
        <v>470.10000610351563</v>
      </c>
      <c r="L623" s="5">
        <f t="shared" si="28"/>
        <v>-0.19320586926830585</v>
      </c>
    </row>
    <row r="624" spans="1:12" x14ac:dyDescent="0.3">
      <c r="A624" s="2">
        <v>45923</v>
      </c>
      <c r="B624">
        <v>378.64932250976563</v>
      </c>
      <c r="C624">
        <f t="shared" si="29"/>
        <v>-3.0452350059209767E-3</v>
      </c>
      <c r="K624">
        <f t="shared" si="27"/>
        <v>470.10000610351563</v>
      </c>
      <c r="L624" s="5">
        <f t="shared" si="28"/>
        <v>-0.19453452968816309</v>
      </c>
    </row>
    <row r="625" spans="1:12" x14ac:dyDescent="0.3">
      <c r="A625" s="2">
        <v>45924</v>
      </c>
      <c r="B625">
        <v>377.49624633789063</v>
      </c>
      <c r="C625">
        <f t="shared" si="29"/>
        <v>-8.9096045796062786E-4</v>
      </c>
      <c r="K625">
        <f t="shared" si="27"/>
        <v>470.10000610351563</v>
      </c>
      <c r="L625" s="5">
        <f t="shared" si="28"/>
        <v>-0.1969873613344173</v>
      </c>
    </row>
    <row r="626" spans="1:12" x14ac:dyDescent="0.3">
      <c r="A626" s="2">
        <v>45925</v>
      </c>
      <c r="B626">
        <v>377.159912109375</v>
      </c>
      <c r="C626">
        <f t="shared" si="29"/>
        <v>-8.5350685213487158E-3</v>
      </c>
      <c r="K626">
        <f t="shared" si="27"/>
        <v>470.10000610351563</v>
      </c>
      <c r="L626" s="5">
        <f t="shared" si="28"/>
        <v>-0.19770281384271093</v>
      </c>
    </row>
    <row r="627" spans="1:12" x14ac:dyDescent="0.3">
      <c r="A627" s="2">
        <v>45926</v>
      </c>
      <c r="B627">
        <v>373.94082641601563</v>
      </c>
      <c r="C627">
        <f t="shared" si="29"/>
        <v>-2.1842291700688134E-3</v>
      </c>
      <c r="K627">
        <f t="shared" si="27"/>
        <v>470.10000610351563</v>
      </c>
      <c r="L627" s="5">
        <f t="shared" si="28"/>
        <v>-0.20455047530104864</v>
      </c>
    </row>
    <row r="628" spans="1:12" x14ac:dyDescent="0.3">
      <c r="A628" s="2">
        <v>45929</v>
      </c>
      <c r="B628">
        <v>373.12405395507813</v>
      </c>
      <c r="C628">
        <f t="shared" si="29"/>
        <v>4.2493662755799296E-3</v>
      </c>
      <c r="K628">
        <f t="shared" si="27"/>
        <v>470.10000610351563</v>
      </c>
      <c r="L628" s="5">
        <f t="shared" si="28"/>
        <v>-0.20628791935621349</v>
      </c>
    </row>
    <row r="629" spans="1:12" x14ac:dyDescent="0.3">
      <c r="A629" s="2">
        <v>45930</v>
      </c>
      <c r="B629">
        <v>374.7095947265625</v>
      </c>
      <c r="C629">
        <f t="shared" si="29"/>
        <v>-3.7184557963344661E-3</v>
      </c>
      <c r="K629">
        <f t="shared" si="27"/>
        <v>470.10000610351563</v>
      </c>
      <c r="L629" s="5">
        <f t="shared" si="28"/>
        <v>-0.20291514600820537</v>
      </c>
    </row>
    <row r="630" spans="1:12" x14ac:dyDescent="0.3">
      <c r="A630" s="2">
        <v>45931</v>
      </c>
      <c r="B630">
        <v>373.31625366210938</v>
      </c>
      <c r="C630">
        <f t="shared" si="29"/>
        <v>-1.32561344977739E-2</v>
      </c>
      <c r="K630">
        <f t="shared" si="27"/>
        <v>470.10000610351563</v>
      </c>
      <c r="L630" s="5">
        <f t="shared" si="28"/>
        <v>-0.2058790708037016</v>
      </c>
    </row>
    <row r="631" spans="1:12" x14ac:dyDescent="0.3">
      <c r="A631" s="2">
        <v>45933</v>
      </c>
      <c r="B631">
        <v>368.36752319335938</v>
      </c>
      <c r="C631">
        <f t="shared" si="29"/>
        <v>-3.782475318058386E-3</v>
      </c>
      <c r="K631">
        <f t="shared" si="27"/>
        <v>470.10000610351563</v>
      </c>
      <c r="L631" s="5">
        <f t="shared" si="28"/>
        <v>-0.2164060446486249</v>
      </c>
    </row>
    <row r="632" spans="1:12" x14ac:dyDescent="0.3">
      <c r="A632" s="2">
        <v>45936</v>
      </c>
      <c r="B632">
        <v>366.97418212890619</v>
      </c>
      <c r="C632">
        <f t="shared" si="29"/>
        <v>7.3318026346757201E-3</v>
      </c>
      <c r="K632">
        <f t="shared" si="27"/>
        <v>470.10000610351563</v>
      </c>
      <c r="L632" s="5">
        <f t="shared" si="28"/>
        <v>-0.21936996944412124</v>
      </c>
    </row>
    <row r="633" spans="1:12" x14ac:dyDescent="0.3">
      <c r="A633" s="2">
        <v>45937</v>
      </c>
      <c r="B633">
        <v>369.66476440429688</v>
      </c>
      <c r="C633">
        <f t="shared" si="29"/>
        <v>-6.758508813750317E-3</v>
      </c>
      <c r="K633">
        <f t="shared" si="27"/>
        <v>470.10000610351563</v>
      </c>
      <c r="L633" s="5">
        <f t="shared" si="28"/>
        <v>-0.21364654412938466</v>
      </c>
    </row>
    <row r="634" spans="1:12" x14ac:dyDescent="0.3">
      <c r="A634" s="2">
        <v>45938</v>
      </c>
      <c r="B634">
        <v>367.1663818359375</v>
      </c>
      <c r="C634">
        <f t="shared" si="29"/>
        <v>3.2713816319888079E-3</v>
      </c>
      <c r="K634">
        <f t="shared" si="27"/>
        <v>470.10000610351563</v>
      </c>
      <c r="L634" s="5">
        <f t="shared" si="28"/>
        <v>-0.21896112089160924</v>
      </c>
    </row>
    <row r="635" spans="1:12" x14ac:dyDescent="0.3">
      <c r="A635" s="2">
        <v>45939</v>
      </c>
      <c r="B635">
        <v>368.36752319335938</v>
      </c>
      <c r="C635">
        <f t="shared" si="29"/>
        <v>2.9999170716913871E-3</v>
      </c>
      <c r="K635">
        <f t="shared" si="27"/>
        <v>470.10000610351563</v>
      </c>
      <c r="L635" s="5">
        <f t="shared" si="28"/>
        <v>-0.2164060446486249</v>
      </c>
    </row>
    <row r="636" spans="1:12" x14ac:dyDescent="0.3">
      <c r="A636" s="2">
        <v>45940</v>
      </c>
      <c r="B636">
        <v>369.47259521484381</v>
      </c>
      <c r="C636">
        <f t="shared" si="29"/>
        <v>-7.6724156301898683E-3</v>
      </c>
      <c r="K636">
        <f t="shared" si="27"/>
        <v>470.10000610351563</v>
      </c>
      <c r="L636" s="5">
        <f t="shared" si="28"/>
        <v>-0.21405532776469216</v>
      </c>
    </row>
    <row r="637" spans="1:12" x14ac:dyDescent="0.3">
      <c r="A637" s="2">
        <v>45943</v>
      </c>
      <c r="B637">
        <v>366.63784790039063</v>
      </c>
      <c r="C637">
        <f t="shared" si="29"/>
        <v>-1.5725001912354007E-3</v>
      </c>
      <c r="K637">
        <f t="shared" si="27"/>
        <v>470.10000610351563</v>
      </c>
      <c r="L637" s="5">
        <f t="shared" si="28"/>
        <v>-0.22008542195241476</v>
      </c>
    </row>
    <row r="638" spans="1:12" x14ac:dyDescent="0.3">
      <c r="A638" s="2">
        <v>45944</v>
      </c>
      <c r="B638">
        <v>366.06130981445313</v>
      </c>
      <c r="C638">
        <f t="shared" si="29"/>
        <v>8.6626227366066212E-3</v>
      </c>
      <c r="K638">
        <f t="shared" si="27"/>
        <v>470.10000610351563</v>
      </c>
      <c r="L638" s="5">
        <f t="shared" si="28"/>
        <v>-0.22131183777554186</v>
      </c>
    </row>
    <row r="639" spans="1:12" x14ac:dyDescent="0.3">
      <c r="A639" s="2">
        <v>45945</v>
      </c>
      <c r="B639">
        <v>369.23236083984381</v>
      </c>
      <c r="C639">
        <f t="shared" si="29"/>
        <v>8.7182368535066532E-3</v>
      </c>
      <c r="K639">
        <f t="shared" si="27"/>
        <v>470.10000610351563</v>
      </c>
      <c r="L639" s="5">
        <f t="shared" si="28"/>
        <v>-0.21456635599672991</v>
      </c>
    </row>
    <row r="640" spans="1:12" x14ac:dyDescent="0.3">
      <c r="A640" s="2">
        <v>45946</v>
      </c>
      <c r="B640">
        <v>372.451416015625</v>
      </c>
      <c r="C640">
        <f t="shared" si="29"/>
        <v>3.0959102913616695E-3</v>
      </c>
      <c r="K640">
        <f t="shared" si="27"/>
        <v>470.10000610351563</v>
      </c>
      <c r="L640" s="5">
        <f t="shared" si="28"/>
        <v>-0.20771875945559648</v>
      </c>
    </row>
    <row r="641" spans="1:12" x14ac:dyDescent="0.3">
      <c r="A641" s="2">
        <v>45947</v>
      </c>
      <c r="B641">
        <v>373.6044921875</v>
      </c>
      <c r="C641">
        <f t="shared" si="29"/>
        <v>4.6296961871131323E-3</v>
      </c>
      <c r="K641">
        <f t="shared" si="27"/>
        <v>470.10000610351563</v>
      </c>
      <c r="L641" s="5">
        <f t="shared" si="28"/>
        <v>-0.20526592780934227</v>
      </c>
    </row>
    <row r="642" spans="1:12" x14ac:dyDescent="0.3">
      <c r="A642" s="2">
        <v>45950</v>
      </c>
      <c r="B642">
        <v>375.33416748046881</v>
      </c>
      <c r="C642">
        <f t="shared" si="29"/>
        <v>1.2801092776212602E-3</v>
      </c>
      <c r="K642">
        <f t="shared" ref="K642:K705" si="30">MAX(B642:B1381)</f>
        <v>470.10000610351563</v>
      </c>
      <c r="L642" s="5">
        <f t="shared" ref="L642:L705" si="31">B642/K642-1</f>
        <v>-0.2015865505055523</v>
      </c>
    </row>
    <row r="643" spans="1:12" x14ac:dyDescent="0.3">
      <c r="A643" s="2">
        <v>45951</v>
      </c>
      <c r="B643">
        <v>375.81463623046881</v>
      </c>
      <c r="C643">
        <f t="shared" ref="C643:C706" si="32">(B644-B643)/B643</f>
        <v>3.963070458754092E-3</v>
      </c>
      <c r="K643">
        <f t="shared" si="30"/>
        <v>470.10000610351563</v>
      </c>
      <c r="L643" s="5">
        <f t="shared" si="31"/>
        <v>-0.20056449404147692</v>
      </c>
    </row>
    <row r="644" spans="1:12" x14ac:dyDescent="0.3">
      <c r="A644" s="2">
        <v>45953</v>
      </c>
      <c r="B644">
        <v>377.30401611328119</v>
      </c>
      <c r="C644">
        <f t="shared" si="32"/>
        <v>3.5655766677037412E-3</v>
      </c>
      <c r="K644">
        <f t="shared" si="30"/>
        <v>470.10000610351563</v>
      </c>
      <c r="L644" s="5">
        <f t="shared" si="31"/>
        <v>-0.19739627480413358</v>
      </c>
    </row>
    <row r="645" spans="1:12" x14ac:dyDescent="0.3">
      <c r="A645" s="2">
        <v>45954</v>
      </c>
      <c r="B645">
        <v>378.64932250976563</v>
      </c>
      <c r="C645">
        <f t="shared" si="32"/>
        <v>6.7250820284792019E-3</v>
      </c>
      <c r="K645">
        <f t="shared" si="30"/>
        <v>470.10000610351563</v>
      </c>
      <c r="L645" s="5">
        <f t="shared" si="31"/>
        <v>-0.19453452968816309</v>
      </c>
    </row>
    <row r="646" spans="1:12" x14ac:dyDescent="0.3">
      <c r="A646" s="2">
        <v>45957</v>
      </c>
      <c r="B646">
        <v>381.19577026367188</v>
      </c>
      <c r="C646">
        <f t="shared" si="32"/>
        <v>-1.3360234786214068E-2</v>
      </c>
      <c r="K646">
        <f t="shared" si="30"/>
        <v>470.10000610351563</v>
      </c>
      <c r="L646" s="5">
        <f t="shared" si="31"/>
        <v>-0.18911770832920838</v>
      </c>
    </row>
    <row r="647" spans="1:12" x14ac:dyDescent="0.3">
      <c r="A647" s="2">
        <v>45958</v>
      </c>
      <c r="B647">
        <v>376.1029052734375</v>
      </c>
      <c r="C647">
        <f t="shared" si="32"/>
        <v>-2.4016361385054048E-2</v>
      </c>
      <c r="K647">
        <f t="shared" si="30"/>
        <v>470.10000610351563</v>
      </c>
      <c r="L647" s="5">
        <f t="shared" si="31"/>
        <v>-0.19995128612991353</v>
      </c>
    </row>
    <row r="648" spans="1:12" x14ac:dyDescent="0.3">
      <c r="A648" s="2">
        <v>45959</v>
      </c>
      <c r="B648">
        <v>367.07028198242188</v>
      </c>
      <c r="C648">
        <f t="shared" si="32"/>
        <v>1.4921485490838623E-2</v>
      </c>
      <c r="K648">
        <f t="shared" si="30"/>
        <v>470.10000610351563</v>
      </c>
      <c r="L648" s="5">
        <f t="shared" si="31"/>
        <v>-0.21916554516786513</v>
      </c>
    </row>
    <row r="649" spans="1:12" x14ac:dyDescent="0.3">
      <c r="A649" s="2">
        <v>45960</v>
      </c>
      <c r="B649">
        <v>372.54751586914063</v>
      </c>
      <c r="C649">
        <f t="shared" si="32"/>
        <v>2.4503513661162978E-3</v>
      </c>
      <c r="K649">
        <f t="shared" si="30"/>
        <v>470.10000610351563</v>
      </c>
      <c r="L649" s="5">
        <f t="shared" si="31"/>
        <v>-0.20751433517934059</v>
      </c>
    </row>
    <row r="650" spans="1:12" x14ac:dyDescent="0.3">
      <c r="A650" s="2">
        <v>45961</v>
      </c>
      <c r="B650">
        <v>373.46038818359381</v>
      </c>
      <c r="C650">
        <f t="shared" si="32"/>
        <v>-2.5740446412900148E-4</v>
      </c>
      <c r="K650">
        <f t="shared" si="30"/>
        <v>470.10000610351563</v>
      </c>
      <c r="L650" s="5">
        <f t="shared" si="31"/>
        <v>-0.20557246684791974</v>
      </c>
    </row>
    <row r="651" spans="1:12" x14ac:dyDescent="0.3">
      <c r="A651" s="2">
        <v>45964</v>
      </c>
      <c r="B651">
        <v>373.3642578125</v>
      </c>
      <c r="C651">
        <f t="shared" si="32"/>
        <v>-1.9825246844961749E-3</v>
      </c>
      <c r="K651">
        <f t="shared" si="30"/>
        <v>470.10000610351563</v>
      </c>
      <c r="L651" s="5">
        <f t="shared" si="31"/>
        <v>-0.20577695604138002</v>
      </c>
    </row>
    <row r="652" spans="1:12" x14ac:dyDescent="0.3">
      <c r="A652" s="2">
        <v>45965</v>
      </c>
      <c r="B652">
        <v>372.62405395507813</v>
      </c>
      <c r="C652">
        <f t="shared" si="32"/>
        <v>-1.1654079456058876E-2</v>
      </c>
      <c r="K652">
        <f t="shared" si="30"/>
        <v>470.10000610351563</v>
      </c>
      <c r="L652" s="5">
        <f t="shared" si="31"/>
        <v>-0.20735152283102365</v>
      </c>
    </row>
    <row r="653" spans="1:12" x14ac:dyDescent="0.3">
      <c r="A653" s="2">
        <v>45967</v>
      </c>
      <c r="B653">
        <v>368.28146362304688</v>
      </c>
      <c r="C653">
        <f t="shared" si="32"/>
        <v>7.6377335576095834E-3</v>
      </c>
      <c r="K653">
        <f t="shared" si="30"/>
        <v>470.10000610351563</v>
      </c>
      <c r="L653" s="5">
        <f t="shared" si="31"/>
        <v>-0.21658911116467505</v>
      </c>
    </row>
    <row r="654" spans="1:12" x14ac:dyDescent="0.3">
      <c r="A654" s="2">
        <v>45968</v>
      </c>
      <c r="B654">
        <v>371.09429931640619</v>
      </c>
      <c r="C654">
        <f t="shared" si="32"/>
        <v>1.4228679595704702E-2</v>
      </c>
      <c r="K654">
        <f t="shared" si="30"/>
        <v>470.10000610351563</v>
      </c>
      <c r="L654" s="5">
        <f t="shared" si="31"/>
        <v>-0.21060562752962075</v>
      </c>
    </row>
    <row r="655" spans="1:12" x14ac:dyDescent="0.3">
      <c r="A655" s="2">
        <v>45971</v>
      </c>
      <c r="B655">
        <v>376.37448120117188</v>
      </c>
      <c r="C655">
        <f t="shared" si="32"/>
        <v>3.8023069577579377E-3</v>
      </c>
      <c r="K655">
        <f t="shared" si="30"/>
        <v>470.10000610351563</v>
      </c>
      <c r="L655" s="5">
        <f t="shared" si="31"/>
        <v>-0.19937358792908733</v>
      </c>
    </row>
    <row r="656" spans="1:12" x14ac:dyDescent="0.3">
      <c r="A656" s="2">
        <v>45972</v>
      </c>
      <c r="B656">
        <v>377.80557250976563</v>
      </c>
      <c r="C656">
        <f t="shared" si="32"/>
        <v>9.6656419707602612E-3</v>
      </c>
      <c r="K656">
        <f t="shared" si="30"/>
        <v>470.10000610351563</v>
      </c>
      <c r="L656" s="5">
        <f t="shared" si="31"/>
        <v>-0.19632936055190531</v>
      </c>
    </row>
    <row r="657" spans="1:12" x14ac:dyDescent="0.3">
      <c r="A657" s="2">
        <v>45973</v>
      </c>
      <c r="B657">
        <v>381.45730590820313</v>
      </c>
      <c r="C657">
        <f t="shared" si="32"/>
        <v>-8.5381180011219679E-3</v>
      </c>
      <c r="K657">
        <f t="shared" si="30"/>
        <v>470.10000610351563</v>
      </c>
      <c r="L657" s="5">
        <f t="shared" si="31"/>
        <v>-0.18856136788858802</v>
      </c>
    </row>
    <row r="658" spans="1:12" x14ac:dyDescent="0.3">
      <c r="A658" s="2">
        <v>45974</v>
      </c>
      <c r="B658">
        <v>378.20037841796881</v>
      </c>
      <c r="C658">
        <f t="shared" si="32"/>
        <v>9.7859495016082848E-3</v>
      </c>
      <c r="K658">
        <f t="shared" si="30"/>
        <v>470.10000610351563</v>
      </c>
      <c r="L658" s="5">
        <f t="shared" si="31"/>
        <v>-0.19548952668022423</v>
      </c>
    </row>
    <row r="659" spans="1:12" x14ac:dyDescent="0.3">
      <c r="A659" s="2">
        <v>45975</v>
      </c>
      <c r="B659">
        <v>381.90142822265619</v>
      </c>
      <c r="C659">
        <f t="shared" si="32"/>
        <v>2.3259277940341967E-3</v>
      </c>
      <c r="K659">
        <f t="shared" si="30"/>
        <v>470.10000610351563</v>
      </c>
      <c r="L659" s="5">
        <f t="shared" si="31"/>
        <v>-0.18761662781480193</v>
      </c>
    </row>
    <row r="660" spans="1:12" x14ac:dyDescent="0.3">
      <c r="A660" s="2">
        <v>45978</v>
      </c>
      <c r="B660">
        <v>382.78970336914063</v>
      </c>
      <c r="C660">
        <f t="shared" si="32"/>
        <v>-1.0055445744417338E-2</v>
      </c>
      <c r="K660">
        <f t="shared" si="30"/>
        <v>470.10000610351563</v>
      </c>
      <c r="L660" s="5">
        <f t="shared" si="31"/>
        <v>-0.18572708275002525</v>
      </c>
    </row>
    <row r="661" spans="1:12" x14ac:dyDescent="0.3">
      <c r="A661" s="2">
        <v>45979</v>
      </c>
      <c r="B661">
        <v>378.94058227539063</v>
      </c>
      <c r="C661">
        <f t="shared" si="32"/>
        <v>-1.2762132941401492E-2</v>
      </c>
      <c r="K661">
        <f t="shared" si="30"/>
        <v>470.10000610351563</v>
      </c>
      <c r="L661" s="5">
        <f t="shared" si="31"/>
        <v>-0.19391495989058072</v>
      </c>
    </row>
    <row r="662" spans="1:12" x14ac:dyDescent="0.3">
      <c r="A662" s="2">
        <v>45980</v>
      </c>
      <c r="B662">
        <v>374.1044921875</v>
      </c>
      <c r="C662">
        <f t="shared" si="32"/>
        <v>1.5828815165381915E-3</v>
      </c>
      <c r="K662">
        <f t="shared" si="30"/>
        <v>470.10000610351563</v>
      </c>
      <c r="L662" s="5">
        <f t="shared" si="31"/>
        <v>-0.20420232433453211</v>
      </c>
    </row>
    <row r="663" spans="1:12" x14ac:dyDescent="0.3">
      <c r="A663" s="2">
        <v>45981</v>
      </c>
      <c r="B663">
        <v>374.6966552734375</v>
      </c>
      <c r="C663">
        <f t="shared" si="32"/>
        <v>-3.8192515755746427E-3</v>
      </c>
      <c r="K663">
        <f t="shared" si="30"/>
        <v>470.10000610351563</v>
      </c>
      <c r="L663" s="5">
        <f t="shared" si="31"/>
        <v>-0.20294267090281715</v>
      </c>
    </row>
    <row r="664" spans="1:12" x14ac:dyDescent="0.3">
      <c r="A664" s="2">
        <v>45982</v>
      </c>
      <c r="B664">
        <v>373.26559448242188</v>
      </c>
      <c r="C664">
        <f t="shared" si="32"/>
        <v>-1.4939212259958513E-2</v>
      </c>
      <c r="K664">
        <f t="shared" si="30"/>
        <v>470.10000610351563</v>
      </c>
      <c r="L664" s="5">
        <f t="shared" si="31"/>
        <v>-0.20598683336279489</v>
      </c>
    </row>
    <row r="665" spans="1:12" x14ac:dyDescent="0.3">
      <c r="A665" s="2">
        <v>45985</v>
      </c>
      <c r="B665">
        <v>367.68930053710938</v>
      </c>
      <c r="C665">
        <f t="shared" si="32"/>
        <v>-6.7104936297578037E-3</v>
      </c>
      <c r="K665">
        <f t="shared" si="30"/>
        <v>470.10000610351563</v>
      </c>
      <c r="L665" s="5">
        <f t="shared" si="31"/>
        <v>-0.21784876459638991</v>
      </c>
    </row>
    <row r="666" spans="1:12" x14ac:dyDescent="0.3">
      <c r="A666" s="2">
        <v>45986</v>
      </c>
      <c r="B666">
        <v>365.221923828125</v>
      </c>
      <c r="C666">
        <f t="shared" si="32"/>
        <v>1.9727109680878315E-2</v>
      </c>
      <c r="K666">
        <f t="shared" si="30"/>
        <v>470.10000610351563</v>
      </c>
      <c r="L666" s="5">
        <f t="shared" si="31"/>
        <v>-0.2230973854790731</v>
      </c>
    </row>
    <row r="667" spans="1:12" x14ac:dyDescent="0.3">
      <c r="A667" s="2">
        <v>45987</v>
      </c>
      <c r="B667">
        <v>372.42669677734381</v>
      </c>
      <c r="C667">
        <f t="shared" si="32"/>
        <v>1.8549325867167369E-3</v>
      </c>
      <c r="K667">
        <f t="shared" si="30"/>
        <v>470.10000610351563</v>
      </c>
      <c r="L667" s="5">
        <f t="shared" si="31"/>
        <v>-0.20777134239105766</v>
      </c>
    </row>
    <row r="668" spans="1:12" x14ac:dyDescent="0.3">
      <c r="A668" s="2">
        <v>45988</v>
      </c>
      <c r="B668">
        <v>373.11752319335938</v>
      </c>
      <c r="C668">
        <f t="shared" si="32"/>
        <v>-5.0257170701065697E-3</v>
      </c>
      <c r="K668">
        <f t="shared" si="30"/>
        <v>470.10000610351563</v>
      </c>
      <c r="L668" s="5">
        <f t="shared" si="31"/>
        <v>-0.20630181163792793</v>
      </c>
    </row>
    <row r="669" spans="1:12" x14ac:dyDescent="0.3">
      <c r="A669" s="2">
        <v>45989</v>
      </c>
      <c r="B669">
        <v>371.24234008789063</v>
      </c>
      <c r="C669">
        <f t="shared" si="32"/>
        <v>9.3047446709043895E-3</v>
      </c>
      <c r="K669">
        <f t="shared" si="30"/>
        <v>470.10000610351563</v>
      </c>
      <c r="L669" s="5">
        <f t="shared" si="31"/>
        <v>-0.21029071417169187</v>
      </c>
    </row>
    <row r="670" spans="1:12" x14ac:dyDescent="0.3">
      <c r="A670" s="2">
        <v>45992</v>
      </c>
      <c r="B670">
        <v>374.6966552734375</v>
      </c>
      <c r="C670">
        <f t="shared" si="32"/>
        <v>-1.8436951765995605E-3</v>
      </c>
      <c r="K670">
        <f t="shared" si="30"/>
        <v>470.10000610351563</v>
      </c>
      <c r="L670" s="5">
        <f t="shared" si="31"/>
        <v>-0.20294267090281715</v>
      </c>
    </row>
    <row r="671" spans="1:12" x14ac:dyDescent="0.3">
      <c r="A671" s="2">
        <v>45993</v>
      </c>
      <c r="B671">
        <v>374.00582885742188</v>
      </c>
      <c r="C671">
        <f t="shared" si="32"/>
        <v>-9.7639224692613116E-3</v>
      </c>
      <c r="K671">
        <f t="shared" si="30"/>
        <v>470.10000610351563</v>
      </c>
      <c r="L671" s="5">
        <f t="shared" si="31"/>
        <v>-0.20441220165594698</v>
      </c>
    </row>
    <row r="672" spans="1:12" x14ac:dyDescent="0.3">
      <c r="A672" s="2">
        <v>45994</v>
      </c>
      <c r="B672">
        <v>370.35406494140619</v>
      </c>
      <c r="C672">
        <f t="shared" si="32"/>
        <v>1.0126599384529944E-2</v>
      </c>
      <c r="K672">
        <f t="shared" si="30"/>
        <v>470.10000610351563</v>
      </c>
      <c r="L672" s="5">
        <f t="shared" si="31"/>
        <v>-0.21218025923646866</v>
      </c>
    </row>
    <row r="673" spans="1:12" x14ac:dyDescent="0.3">
      <c r="A673" s="2">
        <v>45995</v>
      </c>
      <c r="B673">
        <v>374.1044921875</v>
      </c>
      <c r="C673">
        <f t="shared" si="32"/>
        <v>2.3744038498184467E-3</v>
      </c>
      <c r="K673">
        <f t="shared" si="30"/>
        <v>470.10000610351563</v>
      </c>
      <c r="L673" s="5">
        <f t="shared" si="31"/>
        <v>-0.20420232433453211</v>
      </c>
    </row>
    <row r="674" spans="1:12" x14ac:dyDescent="0.3">
      <c r="A674" s="2">
        <v>45996</v>
      </c>
      <c r="B674">
        <v>374.99276733398438</v>
      </c>
      <c r="C674">
        <f t="shared" si="32"/>
        <v>-6.8429867991430283E-3</v>
      </c>
      <c r="K674">
        <f t="shared" si="30"/>
        <v>470.10000610351563</v>
      </c>
      <c r="L674" s="5">
        <f t="shared" si="31"/>
        <v>-0.20231277926975544</v>
      </c>
    </row>
    <row r="675" spans="1:12" x14ac:dyDescent="0.3">
      <c r="A675" s="2">
        <v>45999</v>
      </c>
      <c r="B675">
        <v>372.42669677734381</v>
      </c>
      <c r="C675">
        <f t="shared" si="32"/>
        <v>5.3000415120752929E-3</v>
      </c>
      <c r="K675">
        <f t="shared" si="30"/>
        <v>470.10000610351563</v>
      </c>
      <c r="L675" s="5">
        <f t="shared" si="31"/>
        <v>-0.20777134239105766</v>
      </c>
    </row>
    <row r="676" spans="1:12" x14ac:dyDescent="0.3">
      <c r="A676" s="2">
        <v>46000</v>
      </c>
      <c r="B676">
        <v>374.40057373046881</v>
      </c>
      <c r="C676">
        <f t="shared" si="32"/>
        <v>7.3810203451837751E-3</v>
      </c>
      <c r="K676">
        <f t="shared" si="30"/>
        <v>470.10000610351563</v>
      </c>
      <c r="L676" s="5">
        <f t="shared" si="31"/>
        <v>-0.20357249761867457</v>
      </c>
    </row>
    <row r="677" spans="1:12" x14ac:dyDescent="0.3">
      <c r="A677" s="2">
        <v>46001</v>
      </c>
      <c r="B677">
        <v>377.16403198242188</v>
      </c>
      <c r="C677">
        <f t="shared" si="32"/>
        <v>4.8411223286583954E-3</v>
      </c>
      <c r="K677">
        <f t="shared" si="30"/>
        <v>470.10000610351563</v>
      </c>
      <c r="L677" s="5">
        <f t="shared" si="31"/>
        <v>-0.19769405002013407</v>
      </c>
    </row>
    <row r="678" spans="1:12" x14ac:dyDescent="0.3">
      <c r="A678" s="2">
        <v>46002</v>
      </c>
      <c r="B678">
        <v>378.98992919921881</v>
      </c>
      <c r="C678">
        <f t="shared" si="32"/>
        <v>-1.6927640496921395E-3</v>
      </c>
      <c r="K678">
        <f t="shared" si="30"/>
        <v>470.10000610351563</v>
      </c>
      <c r="L678" s="5">
        <f t="shared" si="31"/>
        <v>-0.19380998877127109</v>
      </c>
    </row>
    <row r="679" spans="1:12" x14ac:dyDescent="0.3">
      <c r="A679" s="2">
        <v>46003</v>
      </c>
      <c r="B679">
        <v>378.348388671875</v>
      </c>
      <c r="C679">
        <f t="shared" si="32"/>
        <v>2.8694792268255777E-3</v>
      </c>
      <c r="K679">
        <f t="shared" si="30"/>
        <v>470.10000610351563</v>
      </c>
      <c r="L679" s="5">
        <f t="shared" si="31"/>
        <v>-0.19517467823949997</v>
      </c>
    </row>
    <row r="680" spans="1:12" x14ac:dyDescent="0.3">
      <c r="A680" s="2">
        <v>46006</v>
      </c>
      <c r="B680">
        <v>379.43405151367188</v>
      </c>
      <c r="C680">
        <f t="shared" si="32"/>
        <v>-7.4131595848083718E-3</v>
      </c>
      <c r="K680">
        <f t="shared" si="30"/>
        <v>470.10000610351563</v>
      </c>
      <c r="L680" s="5">
        <f t="shared" si="31"/>
        <v>-0.192865248697485</v>
      </c>
    </row>
    <row r="681" spans="1:12" x14ac:dyDescent="0.3">
      <c r="A681" s="2">
        <v>46007</v>
      </c>
      <c r="B681">
        <v>376.62124633789063</v>
      </c>
      <c r="C681">
        <f t="shared" si="32"/>
        <v>8.2546769439577027E-3</v>
      </c>
      <c r="K681">
        <f t="shared" si="30"/>
        <v>470.10000610351563</v>
      </c>
      <c r="L681" s="5">
        <f t="shared" si="31"/>
        <v>-0.19884866741533513</v>
      </c>
    </row>
    <row r="682" spans="1:12" x14ac:dyDescent="0.3">
      <c r="A682" s="2">
        <v>46008</v>
      </c>
      <c r="B682">
        <v>379.73013305664063</v>
      </c>
      <c r="C682">
        <f t="shared" si="32"/>
        <v>1.4294787662489992E-3</v>
      </c>
      <c r="K682">
        <f t="shared" si="30"/>
        <v>470.10000610351563</v>
      </c>
      <c r="L682" s="5">
        <f t="shared" si="31"/>
        <v>-0.19223542198162757</v>
      </c>
    </row>
    <row r="683" spans="1:12" x14ac:dyDescent="0.3">
      <c r="A683" s="2">
        <v>46009</v>
      </c>
      <c r="B683">
        <v>380.27294921875</v>
      </c>
      <c r="C683">
        <f t="shared" si="32"/>
        <v>7.7860269466205844E-4</v>
      </c>
      <c r="K683">
        <f t="shared" si="30"/>
        <v>470.10000610351563</v>
      </c>
      <c r="L683" s="5">
        <f t="shared" si="31"/>
        <v>-0.19108073966922212</v>
      </c>
    </row>
    <row r="684" spans="1:12" x14ac:dyDescent="0.3">
      <c r="A684" s="2">
        <v>46010</v>
      </c>
      <c r="B684">
        <v>380.56903076171881</v>
      </c>
      <c r="C684">
        <f t="shared" si="32"/>
        <v>1.685740234983475E-3</v>
      </c>
      <c r="K684">
        <f t="shared" si="30"/>
        <v>470.10000610351563</v>
      </c>
      <c r="L684" s="5">
        <f t="shared" si="31"/>
        <v>-0.19045091295336458</v>
      </c>
    </row>
    <row r="685" spans="1:12" x14ac:dyDescent="0.3">
      <c r="A685" s="2">
        <v>46013</v>
      </c>
      <c r="B685">
        <v>381.2105712890625</v>
      </c>
      <c r="C685">
        <f t="shared" si="32"/>
        <v>3.6634247842614362E-2</v>
      </c>
      <c r="K685">
        <f t="shared" si="30"/>
        <v>470.10000610351563</v>
      </c>
      <c r="L685" s="5">
        <f t="shared" si="31"/>
        <v>-0.18908622348513593</v>
      </c>
    </row>
    <row r="686" spans="1:12" x14ac:dyDescent="0.3">
      <c r="A686" s="2">
        <v>46014</v>
      </c>
      <c r="B686">
        <v>395.17593383789063</v>
      </c>
      <c r="C686">
        <f t="shared" si="32"/>
        <v>4.8701360130510747E-3</v>
      </c>
      <c r="K686">
        <f t="shared" si="30"/>
        <v>470.10000610351563</v>
      </c>
      <c r="L686" s="5">
        <f t="shared" si="31"/>
        <v>-0.15937900721730003</v>
      </c>
    </row>
    <row r="687" spans="1:12" x14ac:dyDescent="0.3">
      <c r="A687" s="2">
        <v>46015</v>
      </c>
      <c r="B687">
        <v>397.10049438476563</v>
      </c>
      <c r="C687">
        <f t="shared" si="32"/>
        <v>-4.9707239881006959E-4</v>
      </c>
      <c r="K687">
        <f t="shared" si="30"/>
        <v>470.10000610351563</v>
      </c>
      <c r="L687" s="5">
        <f t="shared" si="31"/>
        <v>-0.1552850686470223</v>
      </c>
    </row>
    <row r="688" spans="1:12" x14ac:dyDescent="0.3">
      <c r="A688" s="2">
        <v>46017</v>
      </c>
      <c r="B688">
        <v>396.90310668945313</v>
      </c>
      <c r="C688">
        <f t="shared" si="32"/>
        <v>-3.7299739091744212E-3</v>
      </c>
      <c r="K688">
        <f t="shared" si="30"/>
        <v>470.10000610351563</v>
      </c>
      <c r="L688" s="5">
        <f t="shared" si="31"/>
        <v>-0.15570495312426058</v>
      </c>
    </row>
    <row r="689" spans="1:12" x14ac:dyDescent="0.3">
      <c r="A689" s="2">
        <v>46020</v>
      </c>
      <c r="B689">
        <v>395.42266845703119</v>
      </c>
      <c r="C689">
        <f t="shared" si="32"/>
        <v>-6.6142325392579224E-3</v>
      </c>
      <c r="K689">
        <f t="shared" si="30"/>
        <v>470.10000610351563</v>
      </c>
      <c r="L689" s="5">
        <f t="shared" si="31"/>
        <v>-0.15885415162075223</v>
      </c>
    </row>
    <row r="690" spans="1:12" x14ac:dyDescent="0.3">
      <c r="A690" s="2">
        <v>46021</v>
      </c>
      <c r="B690">
        <v>392.8072509765625</v>
      </c>
      <c r="C690">
        <f t="shared" si="32"/>
        <v>2.5126038067955986E-3</v>
      </c>
      <c r="K690">
        <f t="shared" si="30"/>
        <v>470.10000610351563</v>
      </c>
      <c r="L690" s="5">
        <f t="shared" si="31"/>
        <v>-0.16441768586136396</v>
      </c>
    </row>
    <row r="691" spans="1:12" x14ac:dyDescent="0.3">
      <c r="A691" s="2">
        <v>46022</v>
      </c>
      <c r="B691">
        <v>393.79421997070313</v>
      </c>
      <c r="C691">
        <f t="shared" si="32"/>
        <v>3.6341094815973128E-3</v>
      </c>
      <c r="K691">
        <f t="shared" si="30"/>
        <v>470.10000610351563</v>
      </c>
      <c r="L691" s="5">
        <f t="shared" si="31"/>
        <v>-0.16231819855796814</v>
      </c>
    </row>
    <row r="692" spans="1:12" x14ac:dyDescent="0.3">
      <c r="A692" s="2">
        <v>46023</v>
      </c>
      <c r="B692">
        <v>395.22531127929688</v>
      </c>
      <c r="C692">
        <f t="shared" si="32"/>
        <v>6.8547804554534048E-2</v>
      </c>
      <c r="K692">
        <f t="shared" si="30"/>
        <v>470.10000610351563</v>
      </c>
      <c r="L692" s="5">
        <f t="shared" si="31"/>
        <v>-0.15927397118078612</v>
      </c>
    </row>
    <row r="693" spans="1:12" x14ac:dyDescent="0.3">
      <c r="A693" s="2">
        <v>46024</v>
      </c>
      <c r="B693">
        <v>422.317138671875</v>
      </c>
      <c r="C693">
        <f t="shared" si="32"/>
        <v>-1.0516322303419274E-3</v>
      </c>
      <c r="K693">
        <f t="shared" si="30"/>
        <v>470.10000610351563</v>
      </c>
      <c r="L693" s="5">
        <f t="shared" si="31"/>
        <v>-0.10164404767337709</v>
      </c>
    </row>
    <row r="694" spans="1:12" x14ac:dyDescent="0.3">
      <c r="A694" s="2">
        <v>46027</v>
      </c>
      <c r="B694">
        <v>421.87301635742188</v>
      </c>
      <c r="C694">
        <f t="shared" si="32"/>
        <v>-9.3584062714401777E-4</v>
      </c>
      <c r="K694">
        <f t="shared" si="30"/>
        <v>470.10000610351563</v>
      </c>
      <c r="L694" s="5">
        <f t="shared" si="31"/>
        <v>-0.10258878774716329</v>
      </c>
    </row>
    <row r="695" spans="1:12" x14ac:dyDescent="0.3">
      <c r="A695" s="2">
        <v>46028</v>
      </c>
      <c r="B695">
        <v>421.47821044921881</v>
      </c>
      <c r="C695">
        <f t="shared" si="32"/>
        <v>1.0771632868240087E-2</v>
      </c>
      <c r="K695">
        <f t="shared" si="30"/>
        <v>470.10000610351563</v>
      </c>
      <c r="L695" s="5">
        <f t="shared" si="31"/>
        <v>-0.10342862161884414</v>
      </c>
    </row>
    <row r="696" spans="1:12" x14ac:dyDescent="0.3">
      <c r="A696" s="2">
        <v>46029</v>
      </c>
      <c r="B696">
        <v>426.01821899414063</v>
      </c>
      <c r="C696">
        <f t="shared" si="32"/>
        <v>-1.4826825523209157E-2</v>
      </c>
      <c r="K696">
        <f t="shared" si="30"/>
        <v>470.10000610351563</v>
      </c>
      <c r="L696" s="5">
        <f t="shared" si="31"/>
        <v>-9.3771083890750284E-2</v>
      </c>
    </row>
    <row r="697" spans="1:12" x14ac:dyDescent="0.3">
      <c r="A697" s="2">
        <v>46030</v>
      </c>
      <c r="B697">
        <v>419.70172119140619</v>
      </c>
      <c r="C697">
        <f t="shared" si="32"/>
        <v>-1.6225730553794566E-2</v>
      </c>
      <c r="K697">
        <f t="shared" si="30"/>
        <v>470.10000610351563</v>
      </c>
      <c r="L697" s="5">
        <f t="shared" si="31"/>
        <v>-0.10720758191398916</v>
      </c>
    </row>
    <row r="698" spans="1:12" x14ac:dyDescent="0.3">
      <c r="A698" s="2">
        <v>46031</v>
      </c>
      <c r="B698">
        <v>412.89175415039063</v>
      </c>
      <c r="C698">
        <f t="shared" si="32"/>
        <v>3.3345240526408665E-2</v>
      </c>
      <c r="K698">
        <f t="shared" si="30"/>
        <v>470.10000610351563</v>
      </c>
      <c r="L698" s="5">
        <f t="shared" si="31"/>
        <v>-0.12169379113032341</v>
      </c>
    </row>
    <row r="699" spans="1:12" x14ac:dyDescent="0.3">
      <c r="A699" s="2">
        <v>46034</v>
      </c>
      <c r="B699">
        <v>426.65972900390619</v>
      </c>
      <c r="C699">
        <f t="shared" si="32"/>
        <v>-7.8648653945492166E-3</v>
      </c>
      <c r="K699">
        <f t="shared" si="30"/>
        <v>470.10000610351563</v>
      </c>
      <c r="L699" s="5">
        <f t="shared" si="31"/>
        <v>-9.240645933972591E-2</v>
      </c>
    </row>
    <row r="700" spans="1:12" x14ac:dyDescent="0.3">
      <c r="A700" s="2">
        <v>46035</v>
      </c>
      <c r="B700">
        <v>423.30410766601563</v>
      </c>
      <c r="C700">
        <f t="shared" si="32"/>
        <v>7.6941327731745524E-3</v>
      </c>
      <c r="K700">
        <f t="shared" si="30"/>
        <v>470.10000610351563</v>
      </c>
      <c r="L700" s="5">
        <f t="shared" si="31"/>
        <v>-9.9544560369981272E-2</v>
      </c>
    </row>
    <row r="701" spans="1:12" x14ac:dyDescent="0.3">
      <c r="A701" s="2">
        <v>46036</v>
      </c>
      <c r="B701">
        <v>426.56106567382813</v>
      </c>
      <c r="C701">
        <f t="shared" si="32"/>
        <v>0</v>
      </c>
      <c r="K701">
        <f t="shared" si="30"/>
        <v>470.10000610351563</v>
      </c>
      <c r="L701" s="5">
        <f t="shared" si="31"/>
        <v>-9.2616336661140664E-2</v>
      </c>
    </row>
    <row r="702" spans="1:12" x14ac:dyDescent="0.3">
      <c r="A702" s="2">
        <v>46037</v>
      </c>
      <c r="B702">
        <v>426.56106567382813</v>
      </c>
      <c r="C702">
        <f t="shared" si="32"/>
        <v>-2.7765231868553818E-3</v>
      </c>
      <c r="K702">
        <f t="shared" si="30"/>
        <v>470.10000610351563</v>
      </c>
      <c r="L702" s="5">
        <f t="shared" si="31"/>
        <v>-9.2616336661140664E-2</v>
      </c>
    </row>
    <row r="703" spans="1:12" x14ac:dyDescent="0.3">
      <c r="A703" s="2">
        <v>46038</v>
      </c>
      <c r="B703">
        <v>425.376708984375</v>
      </c>
      <c r="C703">
        <f t="shared" si="32"/>
        <v>-1.9722006516511197E-3</v>
      </c>
      <c r="K703">
        <f t="shared" si="30"/>
        <v>470.10000610351563</v>
      </c>
      <c r="L703" s="5">
        <f t="shared" si="31"/>
        <v>-9.5135708441774769E-2</v>
      </c>
    </row>
    <row r="704" spans="1:12" x14ac:dyDescent="0.3">
      <c r="A704" s="2">
        <v>46041</v>
      </c>
      <c r="B704">
        <v>424.53778076171881</v>
      </c>
      <c r="C704">
        <f t="shared" si="32"/>
        <v>-3.4522840284563844E-2</v>
      </c>
      <c r="K704">
        <f t="shared" si="30"/>
        <v>470.10000610351563</v>
      </c>
      <c r="L704" s="5">
        <f t="shared" si="31"/>
        <v>-9.6920282387241818E-2</v>
      </c>
    </row>
    <row r="705" spans="1:12" x14ac:dyDescent="0.3">
      <c r="A705" s="2">
        <v>46042</v>
      </c>
      <c r="B705">
        <v>409.88153076171881</v>
      </c>
      <c r="C705">
        <f t="shared" si="32"/>
        <v>-3.0099029126504119E-3</v>
      </c>
      <c r="K705">
        <f t="shared" si="30"/>
        <v>470.10000610351563</v>
      </c>
      <c r="L705" s="5">
        <f t="shared" si="31"/>
        <v>-0.128097159242616</v>
      </c>
    </row>
    <row r="706" spans="1:12" x14ac:dyDescent="0.3">
      <c r="A706" s="2">
        <v>46043</v>
      </c>
      <c r="B706">
        <v>408.6478271484375</v>
      </c>
      <c r="C706">
        <f t="shared" si="32"/>
        <v>2.2098831924431607E-2</v>
      </c>
      <c r="K706">
        <f t="shared" ref="K706:K740" si="33">MAX(B706:B1445)</f>
        <v>470.10000610351563</v>
      </c>
      <c r="L706" s="5">
        <f t="shared" ref="L706:L740" si="34">B706/K706-1</f>
        <v>-0.13072150214255984</v>
      </c>
    </row>
    <row r="707" spans="1:12" x14ac:dyDescent="0.3">
      <c r="A707" s="2">
        <v>46044</v>
      </c>
      <c r="B707">
        <v>417.678466796875</v>
      </c>
      <c r="C707">
        <f t="shared" ref="C707:C740" si="35">(B708-B707)/B707</f>
        <v>-1.1342135396604164E-2</v>
      </c>
      <c r="K707">
        <f t="shared" si="33"/>
        <v>470.10000610351563</v>
      </c>
      <c r="L707" s="5">
        <f t="shared" si="34"/>
        <v>-0.11151146272288592</v>
      </c>
    </row>
    <row r="708" spans="1:12" x14ac:dyDescent="0.3">
      <c r="A708" s="2">
        <v>46045</v>
      </c>
      <c r="B708">
        <v>412.94110107421881</v>
      </c>
      <c r="C708">
        <f t="shared" si="35"/>
        <v>1.0755248552720705E-2</v>
      </c>
      <c r="K708">
        <f t="shared" si="33"/>
        <v>470.10000610351563</v>
      </c>
      <c r="L708" s="5">
        <f t="shared" si="34"/>
        <v>-0.12158882001101379</v>
      </c>
    </row>
    <row r="709" spans="1:12" x14ac:dyDescent="0.3">
      <c r="A709" s="2">
        <v>46049</v>
      </c>
      <c r="B709">
        <v>417.38238525390619</v>
      </c>
      <c r="C709">
        <f t="shared" si="35"/>
        <v>5.001174983654786E-2</v>
      </c>
      <c r="K709">
        <f t="shared" si="33"/>
        <v>470.10000610351563</v>
      </c>
      <c r="L709" s="5">
        <f t="shared" si="34"/>
        <v>-0.11214128943874346</v>
      </c>
    </row>
    <row r="710" spans="1:12" x14ac:dyDescent="0.3">
      <c r="A710" s="2">
        <v>46050</v>
      </c>
      <c r="B710">
        <v>438.25640869140619</v>
      </c>
      <c r="C710">
        <f t="shared" si="35"/>
        <v>2.6348418533637369E-2</v>
      </c>
      <c r="K710">
        <f t="shared" si="33"/>
        <v>470.10000610351563</v>
      </c>
      <c r="L710" s="5">
        <f t="shared" si="34"/>
        <v>-6.7737921715953942E-2</v>
      </c>
    </row>
    <row r="711" spans="1:12" x14ac:dyDescent="0.3">
      <c r="A711" s="2">
        <v>46051</v>
      </c>
      <c r="B711">
        <v>449.80377197265619</v>
      </c>
      <c r="C711">
        <f t="shared" si="35"/>
        <v>-3.2912775956854975E-2</v>
      </c>
      <c r="K711">
        <f t="shared" si="33"/>
        <v>470.10000610351563</v>
      </c>
      <c r="L711" s="5">
        <f t="shared" si="34"/>
        <v>-4.3174290294287321E-2</v>
      </c>
    </row>
    <row r="712" spans="1:12" x14ac:dyDescent="0.3">
      <c r="A712" s="2">
        <v>46052</v>
      </c>
      <c r="B712">
        <v>434.99948120117188</v>
      </c>
      <c r="C712">
        <f t="shared" si="35"/>
        <v>-3.9137823370080385E-2</v>
      </c>
      <c r="K712">
        <f t="shared" si="33"/>
        <v>470.10000610351563</v>
      </c>
      <c r="L712" s="5">
        <f t="shared" si="34"/>
        <v>-7.4666080507590271E-2</v>
      </c>
    </row>
    <row r="713" spans="1:12" x14ac:dyDescent="0.3">
      <c r="A713" s="2">
        <v>46055</v>
      </c>
      <c r="B713">
        <v>417.97454833984381</v>
      </c>
      <c r="C713">
        <f t="shared" si="35"/>
        <v>1.3931538624975129E-2</v>
      </c>
      <c r="K713">
        <f t="shared" si="33"/>
        <v>470.10000610351563</v>
      </c>
      <c r="L713" s="5">
        <f t="shared" si="34"/>
        <v>-0.11088163600702838</v>
      </c>
    </row>
    <row r="714" spans="1:12" x14ac:dyDescent="0.3">
      <c r="A714" s="2">
        <v>46056</v>
      </c>
      <c r="B714">
        <v>423.79757690429688</v>
      </c>
      <c r="C714">
        <f t="shared" si="35"/>
        <v>1.2808526881869869E-2</v>
      </c>
      <c r="K714">
        <f t="shared" si="33"/>
        <v>470.10000610351563</v>
      </c>
      <c r="L714" s="5">
        <f t="shared" si="34"/>
        <v>-9.8494849176885557E-2</v>
      </c>
    </row>
    <row r="715" spans="1:12" x14ac:dyDescent="0.3">
      <c r="A715" s="2">
        <v>46057</v>
      </c>
      <c r="B715">
        <v>429.22579956054688</v>
      </c>
      <c r="C715">
        <f t="shared" si="35"/>
        <v>-7.0130753421058746E-3</v>
      </c>
      <c r="K715">
        <f t="shared" si="33"/>
        <v>470.10000610351563</v>
      </c>
      <c r="L715" s="5">
        <f t="shared" si="34"/>
        <v>-8.6947896218423582E-2</v>
      </c>
    </row>
    <row r="716" spans="1:12" x14ac:dyDescent="0.3">
      <c r="A716" s="2">
        <v>46058</v>
      </c>
      <c r="B716">
        <v>426.21560668945313</v>
      </c>
      <c r="C716">
        <f t="shared" si="35"/>
        <v>2.1998057743988662E-3</v>
      </c>
      <c r="K716">
        <f t="shared" si="33"/>
        <v>470.10000610351563</v>
      </c>
      <c r="L716" s="5">
        <f t="shared" si="34"/>
        <v>-9.3351199413511998E-2</v>
      </c>
    </row>
    <row r="717" spans="1:12" x14ac:dyDescent="0.3">
      <c r="A717" s="2">
        <v>46059</v>
      </c>
      <c r="B717">
        <v>427.1531982421875</v>
      </c>
      <c r="C717">
        <f t="shared" si="35"/>
        <v>-2.5415526061522333E-3</v>
      </c>
      <c r="K717">
        <f t="shared" si="33"/>
        <v>470.10000610351563</v>
      </c>
      <c r="L717" s="5">
        <f t="shared" si="34"/>
        <v>-9.1356748146630085E-2</v>
      </c>
    </row>
    <row r="718" spans="1:12" x14ac:dyDescent="0.3">
      <c r="A718" s="2">
        <v>46062</v>
      </c>
      <c r="B718">
        <v>426.06756591796881</v>
      </c>
      <c r="C718">
        <f t="shared" si="35"/>
        <v>-1.7372921964316898E-3</v>
      </c>
      <c r="K718">
        <f t="shared" si="33"/>
        <v>470.10000610351563</v>
      </c>
      <c r="L718" s="5">
        <f t="shared" si="34"/>
        <v>-9.3666112771440657E-2</v>
      </c>
    </row>
    <row r="719" spans="1:12" x14ac:dyDescent="0.3">
      <c r="A719" s="2">
        <v>46063</v>
      </c>
      <c r="B719">
        <v>425.32736206054688</v>
      </c>
      <c r="C719">
        <f t="shared" si="35"/>
        <v>-1.7867527504054459E-2</v>
      </c>
      <c r="K719">
        <f t="shared" si="33"/>
        <v>470.10000610351563</v>
      </c>
      <c r="L719" s="5">
        <f t="shared" si="34"/>
        <v>-9.5240679561084396E-2</v>
      </c>
    </row>
    <row r="720" spans="1:12" x14ac:dyDescent="0.3">
      <c r="A720" s="2">
        <v>46064</v>
      </c>
      <c r="B720">
        <v>417.72781372070313</v>
      </c>
      <c r="C720">
        <f t="shared" si="35"/>
        <v>-9.6869508233608671E-3</v>
      </c>
      <c r="K720">
        <f t="shared" si="33"/>
        <v>470.10000610351563</v>
      </c>
      <c r="L720" s="5">
        <f t="shared" si="34"/>
        <v>-0.1114064916035763</v>
      </c>
    </row>
    <row r="721" spans="1:12" x14ac:dyDescent="0.3">
      <c r="A721" s="2">
        <v>46065</v>
      </c>
      <c r="B721">
        <v>413.68130493164063</v>
      </c>
      <c r="C721">
        <f t="shared" si="35"/>
        <v>-2.4334903248561156E-2</v>
      </c>
      <c r="K721">
        <f t="shared" si="33"/>
        <v>470.10000610351563</v>
      </c>
      <c r="L721" s="5">
        <f t="shared" si="34"/>
        <v>-0.12001425322137016</v>
      </c>
    </row>
    <row r="722" spans="1:12" x14ac:dyDescent="0.3">
      <c r="A722" s="2">
        <v>46066</v>
      </c>
      <c r="B722">
        <v>403.61441040039063</v>
      </c>
      <c r="C722">
        <f t="shared" si="35"/>
        <v>3.3133602562961474E-2</v>
      </c>
      <c r="K722">
        <f t="shared" si="33"/>
        <v>470.10000610351563</v>
      </c>
      <c r="L722" s="5">
        <f t="shared" si="34"/>
        <v>-0.14142862122934097</v>
      </c>
    </row>
    <row r="723" spans="1:12" x14ac:dyDescent="0.3">
      <c r="A723" s="2">
        <v>46069</v>
      </c>
      <c r="B723">
        <v>416.98760986328119</v>
      </c>
      <c r="C723">
        <f t="shared" si="35"/>
        <v>-2.2485609839098262E-3</v>
      </c>
      <c r="K723">
        <f t="shared" si="33"/>
        <v>470.10000610351563</v>
      </c>
      <c r="L723" s="5">
        <f t="shared" si="34"/>
        <v>-0.11298105839322015</v>
      </c>
    </row>
    <row r="724" spans="1:12" x14ac:dyDescent="0.3">
      <c r="A724" s="2">
        <v>46070</v>
      </c>
      <c r="B724">
        <v>416.04998779296881</v>
      </c>
      <c r="C724">
        <f t="shared" si="35"/>
        <v>4.6869661440815651E-3</v>
      </c>
      <c r="K724">
        <f t="shared" si="33"/>
        <v>470.10000610351563</v>
      </c>
      <c r="L724" s="5">
        <f t="shared" si="34"/>
        <v>-0.11497557457730612</v>
      </c>
    </row>
    <row r="725" spans="1:12" x14ac:dyDescent="0.3">
      <c r="A725" s="2">
        <v>46071</v>
      </c>
      <c r="B725">
        <v>418</v>
      </c>
      <c r="C725">
        <f t="shared" si="35"/>
        <v>-4.4258519222861838E-3</v>
      </c>
      <c r="K725">
        <f t="shared" si="33"/>
        <v>470.10000610351563</v>
      </c>
      <c r="L725" s="5">
        <f t="shared" si="34"/>
        <v>-0.11082749505866474</v>
      </c>
    </row>
    <row r="726" spans="1:12" x14ac:dyDescent="0.3">
      <c r="A726" s="2">
        <v>46072</v>
      </c>
      <c r="B726">
        <v>416.14999389648438</v>
      </c>
      <c r="C726">
        <f t="shared" si="35"/>
        <v>1.7782035335858135E-2</v>
      </c>
      <c r="K726">
        <f t="shared" si="33"/>
        <v>470.10000610351563</v>
      </c>
      <c r="L726" s="5">
        <f t="shared" si="34"/>
        <v>-0.11476284089890332</v>
      </c>
    </row>
    <row r="727" spans="1:12" x14ac:dyDescent="0.3">
      <c r="A727" s="2">
        <v>46073</v>
      </c>
      <c r="B727">
        <v>423.54998779296881</v>
      </c>
      <c r="C727">
        <f t="shared" si="35"/>
        <v>5.784470021585171E-3</v>
      </c>
      <c r="K727">
        <f t="shared" si="33"/>
        <v>470.10000610351563</v>
      </c>
      <c r="L727" s="5">
        <f t="shared" si="34"/>
        <v>-9.9021522455152944E-2</v>
      </c>
    </row>
    <row r="728" spans="1:12" x14ac:dyDescent="0.3">
      <c r="A728" s="2">
        <v>46076</v>
      </c>
      <c r="B728">
        <v>426</v>
      </c>
      <c r="C728">
        <f t="shared" si="35"/>
        <v>1.1619746964861956E-2</v>
      </c>
      <c r="K728">
        <f t="shared" si="33"/>
        <v>470.10000610351563</v>
      </c>
      <c r="L728" s="5">
        <f t="shared" si="34"/>
        <v>-9.3809839461701294E-2</v>
      </c>
    </row>
    <row r="729" spans="1:12" x14ac:dyDescent="0.3">
      <c r="A729" s="2">
        <v>46077</v>
      </c>
      <c r="B729">
        <v>430.95001220703119</v>
      </c>
      <c r="C729">
        <f t="shared" si="35"/>
        <v>1.77514646241832E-2</v>
      </c>
      <c r="K729">
        <f t="shared" si="33"/>
        <v>470.10000610351563</v>
      </c>
      <c r="L729" s="5">
        <f t="shared" si="34"/>
        <v>-8.3280139094198735E-2</v>
      </c>
    </row>
    <row r="730" spans="1:12" x14ac:dyDescent="0.3">
      <c r="A730" s="2">
        <v>46078</v>
      </c>
      <c r="B730">
        <v>438.60000610351563</v>
      </c>
      <c r="C730">
        <f t="shared" si="35"/>
        <v>-1.1627920730835451E-2</v>
      </c>
      <c r="K730">
        <f t="shared" si="33"/>
        <v>470.10000610351563</v>
      </c>
      <c r="L730" s="5">
        <f t="shared" si="34"/>
        <v>-6.700701891304317E-2</v>
      </c>
    </row>
    <row r="731" spans="1:12" x14ac:dyDescent="0.3">
      <c r="A731" s="2">
        <v>46079</v>
      </c>
      <c r="B731">
        <v>433.5</v>
      </c>
      <c r="C731">
        <f t="shared" si="35"/>
        <v>-6.5744085432886392E-3</v>
      </c>
      <c r="K731">
        <f t="shared" si="33"/>
        <v>470.10000610351563</v>
      </c>
      <c r="L731" s="5">
        <f t="shared" si="34"/>
        <v>-7.7855787339548232E-2</v>
      </c>
    </row>
    <row r="732" spans="1:12" x14ac:dyDescent="0.3">
      <c r="A732" s="2">
        <v>46080</v>
      </c>
      <c r="B732">
        <v>430.64999389648438</v>
      </c>
      <c r="C732">
        <f t="shared" si="35"/>
        <v>-1.0217099637396034E-2</v>
      </c>
      <c r="K732">
        <f t="shared" si="33"/>
        <v>470.10000610351563</v>
      </c>
      <c r="L732" s="5">
        <f t="shared" si="34"/>
        <v>-8.3918340129407243E-2</v>
      </c>
    </row>
    <row r="733" spans="1:12" x14ac:dyDescent="0.3">
      <c r="A733" s="2">
        <v>46083</v>
      </c>
      <c r="B733">
        <v>426.25</v>
      </c>
      <c r="C733">
        <f t="shared" si="35"/>
        <v>2.0879751076796189E-2</v>
      </c>
      <c r="K733">
        <f t="shared" si="33"/>
        <v>470.10000610351563</v>
      </c>
      <c r="L733" s="5">
        <f t="shared" si="34"/>
        <v>-9.3278037724296214E-2</v>
      </c>
    </row>
    <row r="734" spans="1:12" x14ac:dyDescent="0.3">
      <c r="A734" s="2">
        <v>46085</v>
      </c>
      <c r="B734">
        <v>435.14999389648438</v>
      </c>
      <c r="C734">
        <f t="shared" si="35"/>
        <v>3.2747328966732929E-2</v>
      </c>
      <c r="K734">
        <f t="shared" si="33"/>
        <v>470.10000610351563</v>
      </c>
      <c r="L734" s="5">
        <f t="shared" si="34"/>
        <v>-7.4345908856115361E-2</v>
      </c>
    </row>
    <row r="735" spans="1:12" x14ac:dyDescent="0.3">
      <c r="A735" s="2">
        <v>46086</v>
      </c>
      <c r="B735">
        <v>449.39999389648438</v>
      </c>
      <c r="C735">
        <f t="shared" si="35"/>
        <v>-1.99154023386897E-2</v>
      </c>
      <c r="K735">
        <f t="shared" si="33"/>
        <v>470.10000610351563</v>
      </c>
      <c r="L735" s="5">
        <f t="shared" si="34"/>
        <v>-4.4033209824024366E-2</v>
      </c>
    </row>
    <row r="736" spans="1:12" x14ac:dyDescent="0.3">
      <c r="A736" s="2">
        <v>46087</v>
      </c>
      <c r="B736">
        <v>440.45001220703119</v>
      </c>
      <c r="C736">
        <f t="shared" si="35"/>
        <v>-6.3571761447260089E-3</v>
      </c>
      <c r="K736">
        <f t="shared" si="33"/>
        <v>470.10000610351563</v>
      </c>
      <c r="L736" s="5">
        <f t="shared" si="34"/>
        <v>-6.3071673072804701E-2</v>
      </c>
    </row>
    <row r="737" spans="1:13" x14ac:dyDescent="0.3">
      <c r="A737" s="2">
        <v>46090</v>
      </c>
      <c r="B737">
        <v>437.64999389648438</v>
      </c>
      <c r="C737">
        <f t="shared" si="35"/>
        <v>1.3481078438858459E-2</v>
      </c>
      <c r="K737">
        <f t="shared" si="33"/>
        <v>470.10000610351563</v>
      </c>
      <c r="L737" s="5">
        <f t="shared" si="34"/>
        <v>-6.9027891482064341E-2</v>
      </c>
    </row>
    <row r="738" spans="1:13" x14ac:dyDescent="0.3">
      <c r="A738" s="2">
        <v>46091</v>
      </c>
      <c r="B738">
        <v>443.54998779296881</v>
      </c>
      <c r="C738">
        <f t="shared" si="35"/>
        <v>7.2145469396897588E-3</v>
      </c>
      <c r="K738">
        <f t="shared" si="33"/>
        <v>470.10000610351563</v>
      </c>
      <c r="L738" s="5">
        <f t="shared" si="34"/>
        <v>-5.6477383462744557E-2</v>
      </c>
    </row>
    <row r="739" spans="1:13" x14ac:dyDescent="0.3">
      <c r="A739" s="2">
        <v>46092</v>
      </c>
      <c r="B739">
        <v>446.75</v>
      </c>
      <c r="C739">
        <f t="shared" si="35"/>
        <v>5.2266381876923618E-2</v>
      </c>
      <c r="K739">
        <f t="shared" si="33"/>
        <v>470.10000610351563</v>
      </c>
      <c r="L739" s="5">
        <f t="shared" si="34"/>
        <v>-4.9670295257077668E-2</v>
      </c>
    </row>
    <row r="740" spans="1:13" x14ac:dyDescent="0.3">
      <c r="A740" s="2">
        <v>46093</v>
      </c>
      <c r="B740">
        <v>470.10000610351563</v>
      </c>
      <c r="C740">
        <f t="shared" si="35"/>
        <v>-6.5943545272641544E-3</v>
      </c>
      <c r="K740">
        <f t="shared" si="33"/>
        <v>470.10000610351563</v>
      </c>
      <c r="L740" s="5">
        <f t="shared" si="34"/>
        <v>0</v>
      </c>
    </row>
    <row r="741" spans="1:13" x14ac:dyDescent="0.3">
      <c r="A741" s="2">
        <v>46094</v>
      </c>
      <c r="B741">
        <v>467</v>
      </c>
      <c r="C741" t="s">
        <v>3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54"/>
  <sheetViews>
    <sheetView showGridLines="0" zoomScaleNormal="100" workbookViewId="0">
      <selection activeCell="E2" sqref="E2"/>
    </sheetView>
  </sheetViews>
  <sheetFormatPr defaultRowHeight="14.4" outlineLevelCol="1" x14ac:dyDescent="0.3"/>
  <cols>
    <col min="1" max="1" width="18.109375" bestFit="1" customWidth="1"/>
    <col min="2" max="2" width="12" bestFit="1" customWidth="1"/>
    <col min="3" max="4" width="12.6640625" bestFit="1" customWidth="1"/>
    <col min="5" max="5" width="11" bestFit="1" customWidth="1"/>
    <col min="6" max="6" width="8.21875" customWidth="1"/>
    <col min="7" max="7" width="12" bestFit="1" customWidth="1"/>
    <col min="8" max="8" width="13.21875" bestFit="1" customWidth="1"/>
    <col min="9" max="9" width="12" bestFit="1" customWidth="1"/>
    <col min="10" max="10" width="11" bestFit="1" customWidth="1"/>
    <col min="11" max="11" width="12" hidden="1" customWidth="1" outlineLevel="1"/>
    <col min="12" max="12" width="12.6640625" hidden="1" customWidth="1" outlineLevel="1"/>
    <col min="13" max="13" width="16.21875" bestFit="1" customWidth="1" collapsed="1"/>
    <col min="15" max="15" width="14" bestFit="1" customWidth="1"/>
  </cols>
  <sheetData>
    <row r="1" spans="1:15" x14ac:dyDescent="0.3">
      <c r="A1" s="1" t="s">
        <v>1</v>
      </c>
      <c r="B1" s="1" t="s">
        <v>0</v>
      </c>
      <c r="C1" s="4" t="s">
        <v>2</v>
      </c>
      <c r="D1" s="4" t="s">
        <v>4</v>
      </c>
      <c r="E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s="2">
        <v>45000</v>
      </c>
      <c r="B2">
        <v>95.763778686523438</v>
      </c>
      <c r="C2">
        <f>(B3-B2)/B2</f>
        <v>4.68151960452357E-2</v>
      </c>
      <c r="D2">
        <f>((B740/B2)^(1/3)-1)</f>
        <v>0.48040493707646581</v>
      </c>
      <c r="E2">
        <f>SLOPE(C2:C739,Nifty_50!C2:C739)</f>
        <v>2.6125559598666883E-2</v>
      </c>
      <c r="G2">
        <f>_xlfn.STDEV.S(C2:C740)</f>
        <v>1.8233410652820813E-2</v>
      </c>
      <c r="H2">
        <v>6.4799999999999996E-2</v>
      </c>
      <c r="I2">
        <f>(D2-H2)/G2</f>
        <v>22.793592761657532</v>
      </c>
      <c r="J2">
        <f>(D2-H2)/E2</f>
        <v>15.907982200606071</v>
      </c>
      <c r="K2">
        <f t="shared" ref="K2:K65" si="0">MAX(B2:B741)</f>
        <v>344.65719604492188</v>
      </c>
      <c r="L2" s="5">
        <f t="shared" ref="L2:L65" si="1">B2/K2-1</f>
        <v>-0.72214774626657796</v>
      </c>
      <c r="M2" s="5">
        <f>MIN(L2:L740)</f>
        <v>-0.72214774626657796</v>
      </c>
      <c r="N2">
        <f>D2/M2</f>
        <v>-0.66524466711985863</v>
      </c>
      <c r="O2">
        <f>(D2-(H2+E2*(Nifty_50!D2-Larsen_and_Toubro!H2)))</f>
        <v>0.41444929528838886</v>
      </c>
    </row>
    <row r="3" spans="1:15" x14ac:dyDescent="0.3">
      <c r="A3" s="2">
        <v>45001</v>
      </c>
      <c r="B3">
        <v>100.2469787597656</v>
      </c>
      <c r="C3">
        <f t="shared" ref="C3:C66" si="2">(B4-B3)/B3</f>
        <v>1.3752883275041372E-2</v>
      </c>
      <c r="K3">
        <f t="shared" si="0"/>
        <v>344.65719604492188</v>
      </c>
      <c r="L3" s="5">
        <f t="shared" si="1"/>
        <v>-0.70914003853643715</v>
      </c>
    </row>
    <row r="4" spans="1:15" x14ac:dyDescent="0.3">
      <c r="A4" s="2">
        <v>45002</v>
      </c>
      <c r="B4">
        <v>101.6256637573242</v>
      </c>
      <c r="C4">
        <f t="shared" si="2"/>
        <v>-5.1727895489274769E-3</v>
      </c>
      <c r="K4">
        <f t="shared" si="0"/>
        <v>344.65719604492188</v>
      </c>
      <c r="L4" s="5">
        <f t="shared" si="1"/>
        <v>-0.7051398754370457</v>
      </c>
    </row>
    <row r="5" spans="1:15" x14ac:dyDescent="0.3">
      <c r="A5" s="2">
        <v>45005</v>
      </c>
      <c r="B5">
        <v>101.0999755859375</v>
      </c>
      <c r="C5">
        <f t="shared" si="2"/>
        <v>3.835963902918417E-2</v>
      </c>
      <c r="K5">
        <f t="shared" si="0"/>
        <v>344.65719604492188</v>
      </c>
      <c r="L5" s="5">
        <f t="shared" si="1"/>
        <v>-0.70666512480778043</v>
      </c>
    </row>
    <row r="6" spans="1:15" x14ac:dyDescent="0.3">
      <c r="A6" s="2">
        <v>45006</v>
      </c>
      <c r="B6">
        <v>104.97813415527339</v>
      </c>
      <c r="C6">
        <f t="shared" si="2"/>
        <v>-1.530608166140837E-2</v>
      </c>
      <c r="K6">
        <f t="shared" si="0"/>
        <v>344.65719604492188</v>
      </c>
      <c r="L6" s="5">
        <f t="shared" si="1"/>
        <v>-0.69541290488073615</v>
      </c>
    </row>
    <row r="7" spans="1:15" x14ac:dyDescent="0.3">
      <c r="A7" s="2">
        <v>45007</v>
      </c>
      <c r="B7">
        <v>103.3713302612305</v>
      </c>
      <c r="C7">
        <f t="shared" si="2"/>
        <v>1.95740126253524E-2</v>
      </c>
      <c r="K7">
        <f t="shared" si="0"/>
        <v>344.65719604492188</v>
      </c>
      <c r="L7" s="5">
        <f t="shared" si="1"/>
        <v>-0.70007493983164282</v>
      </c>
    </row>
    <row r="8" spans="1:15" x14ac:dyDescent="0.3">
      <c r="A8" s="2">
        <v>45008</v>
      </c>
      <c r="B8">
        <v>105.3947219848633</v>
      </c>
      <c r="C8">
        <f t="shared" si="2"/>
        <v>-1.8822528573117924E-3</v>
      </c>
      <c r="K8">
        <f t="shared" si="0"/>
        <v>344.65719604492188</v>
      </c>
      <c r="L8" s="5">
        <f t="shared" si="1"/>
        <v>-0.69420420291724771</v>
      </c>
    </row>
    <row r="9" spans="1:15" x14ac:dyDescent="0.3">
      <c r="A9" s="2">
        <v>45009</v>
      </c>
      <c r="B9">
        <v>105.1963424682617</v>
      </c>
      <c r="C9">
        <f t="shared" si="2"/>
        <v>-2.8285875809880505E-2</v>
      </c>
      <c r="K9">
        <f t="shared" si="0"/>
        <v>344.65719604492188</v>
      </c>
      <c r="L9" s="5">
        <f t="shared" si="1"/>
        <v>-0.69477978793006068</v>
      </c>
    </row>
    <row r="10" spans="1:15" x14ac:dyDescent="0.3">
      <c r="A10" s="2">
        <v>45012</v>
      </c>
      <c r="B10">
        <v>102.2207717895508</v>
      </c>
      <c r="C10">
        <f t="shared" si="2"/>
        <v>-1.6495250398166749E-2</v>
      </c>
      <c r="K10">
        <f t="shared" si="0"/>
        <v>344.65719604492188</v>
      </c>
      <c r="L10" s="5">
        <f t="shared" si="1"/>
        <v>-0.70341320894333637</v>
      </c>
    </row>
    <row r="11" spans="1:15" x14ac:dyDescent="0.3">
      <c r="A11" s="2">
        <v>45013</v>
      </c>
      <c r="B11">
        <v>100.5346145629883</v>
      </c>
      <c r="C11">
        <f t="shared" si="2"/>
        <v>5.3276577027738378E-3</v>
      </c>
      <c r="K11">
        <f t="shared" si="0"/>
        <v>344.65719604492188</v>
      </c>
      <c r="L11" s="5">
        <f t="shared" si="1"/>
        <v>-0.70830548232660484</v>
      </c>
    </row>
    <row r="12" spans="1:15" x14ac:dyDescent="0.3">
      <c r="A12" s="2">
        <v>45014</v>
      </c>
      <c r="B12">
        <v>101.0702285766602</v>
      </c>
      <c r="C12">
        <f t="shared" si="2"/>
        <v>-5.691951758059568E-3</v>
      </c>
      <c r="K12">
        <f t="shared" si="0"/>
        <v>344.65719604492188</v>
      </c>
      <c r="L12" s="5">
        <f t="shared" si="1"/>
        <v>-0.70675143378266525</v>
      </c>
    </row>
    <row r="13" spans="1:15" x14ac:dyDescent="0.3">
      <c r="A13" s="2">
        <v>45015</v>
      </c>
      <c r="B13">
        <v>100.4949417114258</v>
      </c>
      <c r="C13">
        <f t="shared" si="2"/>
        <v>2.6450885900799363E-2</v>
      </c>
      <c r="K13">
        <f t="shared" si="0"/>
        <v>344.65719604492188</v>
      </c>
      <c r="L13" s="5">
        <f t="shared" si="1"/>
        <v>-0.70842059047469452</v>
      </c>
    </row>
    <row r="14" spans="1:15" x14ac:dyDescent="0.3">
      <c r="A14" s="2">
        <v>45016</v>
      </c>
      <c r="B14">
        <v>103.1531219482422</v>
      </c>
      <c r="C14">
        <f t="shared" si="2"/>
        <v>8.7499813246358152E-3</v>
      </c>
      <c r="K14">
        <f t="shared" si="0"/>
        <v>344.65719604492188</v>
      </c>
      <c r="L14" s="5">
        <f t="shared" si="1"/>
        <v>-0.70070805678231807</v>
      </c>
    </row>
    <row r="15" spans="1:15" x14ac:dyDescent="0.3">
      <c r="A15" s="2">
        <v>45019</v>
      </c>
      <c r="B15">
        <v>104.0557098388672</v>
      </c>
      <c r="C15">
        <f t="shared" si="2"/>
        <v>2.001863801700747E-3</v>
      </c>
      <c r="K15">
        <f t="shared" si="0"/>
        <v>344.65719604492188</v>
      </c>
      <c r="L15" s="5">
        <f t="shared" si="1"/>
        <v>-0.69808925786854947</v>
      </c>
    </row>
    <row r="16" spans="1:15" x14ac:dyDescent="0.3">
      <c r="A16" s="2">
        <v>45020</v>
      </c>
      <c r="B16">
        <v>104.26401519775391</v>
      </c>
      <c r="C16">
        <f t="shared" si="2"/>
        <v>-1.617433746425874E-3</v>
      </c>
      <c r="K16">
        <f t="shared" si="0"/>
        <v>344.65719604492188</v>
      </c>
      <c r="L16" s="5">
        <f t="shared" si="1"/>
        <v>-0.69748487368253187</v>
      </c>
    </row>
    <row r="17" spans="1:12" x14ac:dyDescent="0.3">
      <c r="A17" s="2">
        <v>45021</v>
      </c>
      <c r="B17">
        <v>104.0953750610352</v>
      </c>
      <c r="C17">
        <f t="shared" si="2"/>
        <v>3.7637160217587104E-2</v>
      </c>
      <c r="K17">
        <f t="shared" si="0"/>
        <v>344.65719604492188</v>
      </c>
      <c r="L17" s="5">
        <f t="shared" si="1"/>
        <v>-0.69797417185664212</v>
      </c>
    </row>
    <row r="18" spans="1:12" x14ac:dyDescent="0.3">
      <c r="A18" s="2">
        <v>45022</v>
      </c>
      <c r="B18">
        <v>108.0132293701172</v>
      </c>
      <c r="C18">
        <f t="shared" si="2"/>
        <v>-1.7906468015915094E-2</v>
      </c>
      <c r="K18">
        <f t="shared" si="0"/>
        <v>344.65719604492188</v>
      </c>
      <c r="L18" s="5">
        <f t="shared" si="1"/>
        <v>-0.68660677737296105</v>
      </c>
    </row>
    <row r="19" spans="1:12" x14ac:dyDescent="0.3">
      <c r="A19" s="2">
        <v>45026</v>
      </c>
      <c r="B19">
        <v>106.0790939331055</v>
      </c>
      <c r="C19">
        <f t="shared" si="2"/>
        <v>-7.7605011335233429E-3</v>
      </c>
      <c r="K19">
        <f t="shared" si="0"/>
        <v>344.65719604492188</v>
      </c>
      <c r="L19" s="5">
        <f t="shared" si="1"/>
        <v>-0.6922185430903367</v>
      </c>
    </row>
    <row r="20" spans="1:12" x14ac:dyDescent="0.3">
      <c r="A20" s="2">
        <v>45027</v>
      </c>
      <c r="B20">
        <v>105.2558670043945</v>
      </c>
      <c r="C20">
        <f t="shared" si="2"/>
        <v>-8.4810218426269422E-3</v>
      </c>
      <c r="K20">
        <f t="shared" si="0"/>
        <v>344.65719604492188</v>
      </c>
      <c r="L20" s="5">
        <f t="shared" si="1"/>
        <v>-0.6946070814355616</v>
      </c>
    </row>
    <row r="21" spans="1:12" x14ac:dyDescent="0.3">
      <c r="A21" s="2">
        <v>45028</v>
      </c>
      <c r="B21">
        <v>104.3631896972656</v>
      </c>
      <c r="C21">
        <f t="shared" si="2"/>
        <v>2.8226508016760864E-2</v>
      </c>
      <c r="K21">
        <f t="shared" si="0"/>
        <v>344.65719604492188</v>
      </c>
      <c r="L21" s="5">
        <f t="shared" si="1"/>
        <v>-0.69719712544849022</v>
      </c>
    </row>
    <row r="22" spans="1:12" x14ac:dyDescent="0.3">
      <c r="A22" s="2">
        <v>45029</v>
      </c>
      <c r="B22">
        <v>107.3089981079102</v>
      </c>
      <c r="C22">
        <f t="shared" si="2"/>
        <v>1.1738613123661723E-2</v>
      </c>
      <c r="K22">
        <f t="shared" si="0"/>
        <v>344.65719604492188</v>
      </c>
      <c r="L22" s="5">
        <f t="shared" si="1"/>
        <v>-0.68865005768246379</v>
      </c>
    </row>
    <row r="23" spans="1:12" x14ac:dyDescent="0.3">
      <c r="A23" s="2">
        <v>45030</v>
      </c>
      <c r="B23">
        <v>108.5686569213867</v>
      </c>
      <c r="C23">
        <f t="shared" si="2"/>
        <v>-2.777275914770877E-2</v>
      </c>
      <c r="K23">
        <f t="shared" si="0"/>
        <v>344.65719604492188</v>
      </c>
      <c r="L23" s="5">
        <f t="shared" si="1"/>
        <v>-0.68499524116352384</v>
      </c>
    </row>
    <row r="24" spans="1:12" x14ac:dyDescent="0.3">
      <c r="A24" s="2">
        <v>45033</v>
      </c>
      <c r="B24">
        <v>105.55340576171881</v>
      </c>
      <c r="C24">
        <f t="shared" si="2"/>
        <v>-1.2215527814191341E-2</v>
      </c>
      <c r="K24">
        <f t="shared" si="0"/>
        <v>344.65719604492188</v>
      </c>
      <c r="L24" s="5">
        <f t="shared" si="1"/>
        <v>-0.69374379246107143</v>
      </c>
    </row>
    <row r="25" spans="1:12" x14ac:dyDescent="0.3">
      <c r="A25" s="2">
        <v>45034</v>
      </c>
      <c r="B25">
        <v>104.26401519775391</v>
      </c>
      <c r="C25">
        <f t="shared" si="2"/>
        <v>-9.5155213710339346E-4</v>
      </c>
      <c r="K25">
        <f t="shared" si="0"/>
        <v>344.65719604492188</v>
      </c>
      <c r="L25" s="5">
        <f t="shared" si="1"/>
        <v>-0.69748487368253187</v>
      </c>
    </row>
    <row r="26" spans="1:12" x14ac:dyDescent="0.3">
      <c r="A26" s="2">
        <v>45035</v>
      </c>
      <c r="B26">
        <v>104.1648025512695</v>
      </c>
      <c r="C26">
        <f t="shared" si="2"/>
        <v>8.3795689019529798E-3</v>
      </c>
      <c r="K26">
        <f t="shared" si="0"/>
        <v>344.65719604492188</v>
      </c>
      <c r="L26" s="5">
        <f t="shared" si="1"/>
        <v>-0.6977727325974854</v>
      </c>
    </row>
    <row r="27" spans="1:12" x14ac:dyDescent="0.3">
      <c r="A27" s="2">
        <v>45036</v>
      </c>
      <c r="B27">
        <v>105.03765869140619</v>
      </c>
      <c r="C27">
        <f t="shared" si="2"/>
        <v>9.4352669505178233E-5</v>
      </c>
      <c r="K27">
        <f t="shared" si="0"/>
        <v>344.65719604492188</v>
      </c>
      <c r="L27" s="5">
        <f t="shared" si="1"/>
        <v>-0.69524019838623707</v>
      </c>
    </row>
    <row r="28" spans="1:12" x14ac:dyDescent="0.3">
      <c r="A28" s="2">
        <v>45037</v>
      </c>
      <c r="B28">
        <v>105.0475692749023</v>
      </c>
      <c r="C28">
        <f t="shared" si="2"/>
        <v>8.2145169566399997E-3</v>
      </c>
      <c r="K28">
        <f t="shared" si="0"/>
        <v>344.65719604492188</v>
      </c>
      <c r="L28" s="5">
        <f t="shared" si="1"/>
        <v>-0.69521144348539687</v>
      </c>
    </row>
    <row r="29" spans="1:12" x14ac:dyDescent="0.3">
      <c r="A29" s="2">
        <v>45040</v>
      </c>
      <c r="B29">
        <v>105.9104843139648</v>
      </c>
      <c r="C29">
        <f t="shared" si="2"/>
        <v>-2.0322219604103933E-2</v>
      </c>
      <c r="K29">
        <f t="shared" si="0"/>
        <v>344.65719604492188</v>
      </c>
      <c r="L29" s="5">
        <f t="shared" si="1"/>
        <v>-0.69270775271971785</v>
      </c>
    </row>
    <row r="30" spans="1:12" x14ac:dyDescent="0.3">
      <c r="A30" s="2">
        <v>45041</v>
      </c>
      <c r="B30">
        <v>103.7581481933594</v>
      </c>
      <c r="C30">
        <f t="shared" si="2"/>
        <v>-1.5295091364666352E-3</v>
      </c>
      <c r="K30">
        <f t="shared" si="0"/>
        <v>344.65719604492188</v>
      </c>
      <c r="L30" s="5">
        <f t="shared" si="1"/>
        <v>-0.69895261325158642</v>
      </c>
    </row>
    <row r="31" spans="1:12" x14ac:dyDescent="0.3">
      <c r="A31" s="2">
        <v>45042</v>
      </c>
      <c r="B31">
        <v>103.5994491577148</v>
      </c>
      <c r="C31">
        <f t="shared" si="2"/>
        <v>3.7530045503395025E-2</v>
      </c>
      <c r="K31">
        <f t="shared" si="0"/>
        <v>344.65719604492188</v>
      </c>
      <c r="L31" s="5">
        <f t="shared" si="1"/>
        <v>-0.69941306798012748</v>
      </c>
    </row>
    <row r="32" spans="1:12" x14ac:dyDescent="0.3">
      <c r="A32" s="2">
        <v>45043</v>
      </c>
      <c r="B32">
        <v>107.4875411987305</v>
      </c>
      <c r="C32">
        <f t="shared" si="2"/>
        <v>-1.3841680728263717E-3</v>
      </c>
      <c r="K32">
        <f t="shared" si="0"/>
        <v>344.65719604492188</v>
      </c>
      <c r="L32" s="5">
        <f t="shared" si="1"/>
        <v>-0.68813202674369578</v>
      </c>
    </row>
    <row r="33" spans="1:12" x14ac:dyDescent="0.3">
      <c r="A33" s="2">
        <v>45044</v>
      </c>
      <c r="B33">
        <v>107.33876037597661</v>
      </c>
      <c r="C33">
        <f t="shared" si="2"/>
        <v>-4.712666177936648E-3</v>
      </c>
      <c r="K33">
        <f t="shared" si="0"/>
        <v>344.65719604492188</v>
      </c>
      <c r="L33" s="5">
        <f t="shared" si="1"/>
        <v>-0.6885637044352142</v>
      </c>
    </row>
    <row r="34" spans="1:12" x14ac:dyDescent="0.3">
      <c r="A34" s="2">
        <v>45047</v>
      </c>
      <c r="B34">
        <v>106.83290863037109</v>
      </c>
      <c r="C34">
        <f t="shared" si="2"/>
        <v>-1.6061641372802422E-2</v>
      </c>
      <c r="K34">
        <f t="shared" si="0"/>
        <v>344.65719604492188</v>
      </c>
      <c r="L34" s="5">
        <f t="shared" si="1"/>
        <v>-0.6900313997319043</v>
      </c>
    </row>
    <row r="35" spans="1:12" x14ac:dyDescent="0.3">
      <c r="A35" s="2">
        <v>45048</v>
      </c>
      <c r="B35">
        <v>105.1169967651367</v>
      </c>
      <c r="C35">
        <f t="shared" si="2"/>
        <v>1.3211016632074886E-3</v>
      </c>
      <c r="K35">
        <f t="shared" si="0"/>
        <v>344.65719604492188</v>
      </c>
      <c r="L35" s="5">
        <f t="shared" si="1"/>
        <v>-0.69501000422623993</v>
      </c>
    </row>
    <row r="36" spans="1:12" x14ac:dyDescent="0.3">
      <c r="A36" s="2">
        <v>45049</v>
      </c>
      <c r="B36">
        <v>105.2558670043945</v>
      </c>
      <c r="C36">
        <f t="shared" si="2"/>
        <v>-8.5753238760203406E-3</v>
      </c>
      <c r="K36">
        <f t="shared" si="0"/>
        <v>344.65719604492188</v>
      </c>
      <c r="L36" s="5">
        <f t="shared" si="1"/>
        <v>-0.6946070814355616</v>
      </c>
    </row>
    <row r="37" spans="1:12" x14ac:dyDescent="0.3">
      <c r="A37" s="2">
        <v>45050</v>
      </c>
      <c r="B37">
        <v>104.3532638549805</v>
      </c>
      <c r="C37">
        <f t="shared" si="2"/>
        <v>9.5522734628710314E-3</v>
      </c>
      <c r="K37">
        <f t="shared" si="0"/>
        <v>344.65719604492188</v>
      </c>
      <c r="L37" s="5">
        <f t="shared" si="1"/>
        <v>-0.69722592462169475</v>
      </c>
    </row>
    <row r="38" spans="1:12" x14ac:dyDescent="0.3">
      <c r="A38" s="2">
        <v>45051</v>
      </c>
      <c r="B38">
        <v>105.35007476806641</v>
      </c>
      <c r="C38">
        <f t="shared" si="2"/>
        <v>1.9065216974105206E-2</v>
      </c>
      <c r="K38">
        <f t="shared" si="0"/>
        <v>344.65719604492188</v>
      </c>
      <c r="L38" s="5">
        <f t="shared" si="1"/>
        <v>-0.69433374385621327</v>
      </c>
    </row>
    <row r="39" spans="1:12" x14ac:dyDescent="0.3">
      <c r="A39" s="2">
        <v>45054</v>
      </c>
      <c r="B39">
        <v>107.3585968017578</v>
      </c>
      <c r="C39">
        <f t="shared" si="2"/>
        <v>-2.7716610907020187E-3</v>
      </c>
      <c r="K39">
        <f t="shared" si="0"/>
        <v>344.65719604492188</v>
      </c>
      <c r="L39" s="5">
        <f t="shared" si="1"/>
        <v>-0.68850615036116958</v>
      </c>
    </row>
    <row r="40" spans="1:12" x14ac:dyDescent="0.3">
      <c r="A40" s="2">
        <v>45055</v>
      </c>
      <c r="B40">
        <v>107.06103515625</v>
      </c>
      <c r="C40">
        <f t="shared" si="2"/>
        <v>4.0207575104555755E-2</v>
      </c>
      <c r="K40">
        <f t="shared" si="0"/>
        <v>344.65719604492188</v>
      </c>
      <c r="L40" s="5">
        <f t="shared" si="1"/>
        <v>-0.68936950574420652</v>
      </c>
    </row>
    <row r="41" spans="1:12" x14ac:dyDescent="0.3">
      <c r="A41" s="2">
        <v>45056</v>
      </c>
      <c r="B41">
        <v>111.36569976806641</v>
      </c>
      <c r="C41">
        <f t="shared" si="2"/>
        <v>4.1147227926429969E-2</v>
      </c>
      <c r="K41">
        <f t="shared" si="0"/>
        <v>344.65719604492188</v>
      </c>
      <c r="L41" s="5">
        <f t="shared" si="1"/>
        <v>-0.67687980681665139</v>
      </c>
    </row>
    <row r="42" spans="1:12" x14ac:dyDescent="0.3">
      <c r="A42" s="2">
        <v>45057</v>
      </c>
      <c r="B42">
        <v>115.9480895996094</v>
      </c>
      <c r="C42">
        <f t="shared" si="2"/>
        <v>8.7252891058474946E-3</v>
      </c>
      <c r="K42">
        <f t="shared" si="0"/>
        <v>344.65719604492188</v>
      </c>
      <c r="L42" s="5">
        <f t="shared" si="1"/>
        <v>-0.66358430658010414</v>
      </c>
    </row>
    <row r="43" spans="1:12" x14ac:dyDescent="0.3">
      <c r="A43" s="2">
        <v>45058</v>
      </c>
      <c r="B43">
        <v>116.9597702026367</v>
      </c>
      <c r="C43">
        <f t="shared" si="2"/>
        <v>-8.1411461635304549E-3</v>
      </c>
      <c r="K43">
        <f t="shared" si="0"/>
        <v>344.65719604492188</v>
      </c>
      <c r="L43" s="5">
        <f t="shared" si="1"/>
        <v>-0.66064898239527126</v>
      </c>
    </row>
    <row r="44" spans="1:12" x14ac:dyDescent="0.3">
      <c r="A44" s="2">
        <v>45061</v>
      </c>
      <c r="B44">
        <v>116.00758361816411</v>
      </c>
      <c r="C44">
        <f t="shared" si="2"/>
        <v>2.676124568293221E-2</v>
      </c>
      <c r="K44">
        <f t="shared" si="0"/>
        <v>344.65719604492188</v>
      </c>
      <c r="L44" s="5">
        <f t="shared" si="1"/>
        <v>-0.66341168863033428</v>
      </c>
    </row>
    <row r="45" spans="1:12" x14ac:dyDescent="0.3">
      <c r="A45" s="2">
        <v>45062</v>
      </c>
      <c r="B45">
        <v>119.1120910644531</v>
      </c>
      <c r="C45">
        <f t="shared" si="2"/>
        <v>1.1574749587823693E-2</v>
      </c>
      <c r="K45">
        <f t="shared" si="0"/>
        <v>344.65719604492188</v>
      </c>
      <c r="L45" s="5">
        <f t="shared" si="1"/>
        <v>-0.65440416613576735</v>
      </c>
    </row>
    <row r="46" spans="1:12" x14ac:dyDescent="0.3">
      <c r="A46" s="2">
        <v>45063</v>
      </c>
      <c r="B46">
        <v>120.49078369140619</v>
      </c>
      <c r="C46">
        <f t="shared" si="2"/>
        <v>1.679279031021956E-2</v>
      </c>
      <c r="K46">
        <f t="shared" si="0"/>
        <v>344.65719604492188</v>
      </c>
      <c r="L46" s="5">
        <f t="shared" si="1"/>
        <v>-0.65040398090019369</v>
      </c>
    </row>
    <row r="47" spans="1:12" x14ac:dyDescent="0.3">
      <c r="A47" s="2">
        <v>45064</v>
      </c>
      <c r="B47">
        <v>122.51416015625</v>
      </c>
      <c r="C47">
        <f t="shared" si="2"/>
        <v>-2.1859269695384091E-3</v>
      </c>
      <c r="K47">
        <f t="shared" si="0"/>
        <v>344.65719604492188</v>
      </c>
      <c r="L47" s="5">
        <f t="shared" si="1"/>
        <v>-0.64453328825816314</v>
      </c>
    </row>
    <row r="48" spans="1:12" x14ac:dyDescent="0.3">
      <c r="A48" s="2">
        <v>45065</v>
      </c>
      <c r="B48">
        <v>122.24635314941411</v>
      </c>
      <c r="C48">
        <f t="shared" si="2"/>
        <v>2.1257656302404421E-2</v>
      </c>
      <c r="K48">
        <f t="shared" si="0"/>
        <v>344.65719604492188</v>
      </c>
      <c r="L48" s="5">
        <f t="shared" si="1"/>
        <v>-0.64531031253013271</v>
      </c>
    </row>
    <row r="49" spans="1:12" x14ac:dyDescent="0.3">
      <c r="A49" s="2">
        <v>45068</v>
      </c>
      <c r="B49">
        <v>124.8450241088867</v>
      </c>
      <c r="C49">
        <f t="shared" si="2"/>
        <v>-2.0497336572130608E-2</v>
      </c>
      <c r="K49">
        <f t="shared" si="0"/>
        <v>344.65719604492188</v>
      </c>
      <c r="L49" s="5">
        <f t="shared" si="1"/>
        <v>-0.637770441059891</v>
      </c>
    </row>
    <row r="50" spans="1:12" x14ac:dyDescent="0.3">
      <c r="A50" s="2">
        <v>45069</v>
      </c>
      <c r="B50">
        <v>122.28603363037109</v>
      </c>
      <c r="C50">
        <f t="shared" si="2"/>
        <v>-1.3383037164012188E-2</v>
      </c>
      <c r="K50">
        <f t="shared" si="0"/>
        <v>344.65719604492188</v>
      </c>
      <c r="L50" s="5">
        <f t="shared" si="1"/>
        <v>-0.64519518224586092</v>
      </c>
    </row>
    <row r="51" spans="1:12" x14ac:dyDescent="0.3">
      <c r="A51" s="2">
        <v>45070</v>
      </c>
      <c r="B51">
        <v>120.64947509765619</v>
      </c>
      <c r="C51">
        <f t="shared" si="2"/>
        <v>2.2278814258563019E-2</v>
      </c>
      <c r="K51">
        <f t="shared" si="0"/>
        <v>344.65719604492188</v>
      </c>
      <c r="L51" s="5">
        <f t="shared" si="1"/>
        <v>-0.64994354830783507</v>
      </c>
    </row>
    <row r="52" spans="1:12" x14ac:dyDescent="0.3">
      <c r="A52" s="2">
        <v>45071</v>
      </c>
      <c r="B52">
        <v>123.33740234375</v>
      </c>
      <c r="C52">
        <f t="shared" si="2"/>
        <v>8.6852223915755613E-3</v>
      </c>
      <c r="K52">
        <f t="shared" si="0"/>
        <v>344.65719604492188</v>
      </c>
      <c r="L52" s="5">
        <f t="shared" si="1"/>
        <v>-0.6421447056405738</v>
      </c>
    </row>
    <row r="53" spans="1:12" x14ac:dyDescent="0.3">
      <c r="A53" s="2">
        <v>45072</v>
      </c>
      <c r="B53">
        <v>124.4086151123047</v>
      </c>
      <c r="C53">
        <f t="shared" si="2"/>
        <v>-6.29829136700597E-3</v>
      </c>
      <c r="K53">
        <f t="shared" si="0"/>
        <v>344.65719604492188</v>
      </c>
      <c r="L53" s="5">
        <f t="shared" si="1"/>
        <v>-0.63903665282505939</v>
      </c>
    </row>
    <row r="54" spans="1:12" x14ac:dyDescent="0.3">
      <c r="A54" s="2">
        <v>45076</v>
      </c>
      <c r="B54">
        <v>123.6250534057617</v>
      </c>
      <c r="C54">
        <f t="shared" si="2"/>
        <v>-1.0189287279396194E-2</v>
      </c>
      <c r="K54">
        <f t="shared" si="0"/>
        <v>344.65719604492188</v>
      </c>
      <c r="L54" s="5">
        <f t="shared" si="1"/>
        <v>-0.64131010515837694</v>
      </c>
    </row>
    <row r="55" spans="1:12" x14ac:dyDescent="0.3">
      <c r="A55" s="2">
        <v>45077</v>
      </c>
      <c r="B55">
        <v>122.3654022216797</v>
      </c>
      <c r="C55">
        <f t="shared" si="2"/>
        <v>8.1055932415377372E-3</v>
      </c>
      <c r="K55">
        <f t="shared" si="0"/>
        <v>344.65719604492188</v>
      </c>
      <c r="L55" s="5">
        <f t="shared" si="1"/>
        <v>-0.64496489954113456</v>
      </c>
    </row>
    <row r="56" spans="1:12" x14ac:dyDescent="0.3">
      <c r="A56" s="2">
        <v>45078</v>
      </c>
      <c r="B56">
        <v>123.3572463989258</v>
      </c>
      <c r="C56">
        <f t="shared" si="2"/>
        <v>6.91484976418322E-3</v>
      </c>
      <c r="K56">
        <f t="shared" si="0"/>
        <v>344.65719604492188</v>
      </c>
      <c r="L56" s="5">
        <f t="shared" si="1"/>
        <v>-0.64208712943034651</v>
      </c>
    </row>
    <row r="57" spans="1:12" x14ac:dyDescent="0.3">
      <c r="A57" s="2">
        <v>45079</v>
      </c>
      <c r="B57">
        <v>124.2102432250977</v>
      </c>
      <c r="C57">
        <f t="shared" si="2"/>
        <v>1.1179396682591996E-2</v>
      </c>
      <c r="K57">
        <f t="shared" si="0"/>
        <v>344.65719604492188</v>
      </c>
      <c r="L57" s="5">
        <f t="shared" si="1"/>
        <v>-0.63961221570168991</v>
      </c>
    </row>
    <row r="58" spans="1:12" x14ac:dyDescent="0.3">
      <c r="A58" s="2">
        <v>45082</v>
      </c>
      <c r="B58">
        <v>125.5988388061523</v>
      </c>
      <c r="C58">
        <f t="shared" si="2"/>
        <v>1.0108190795670104E-2</v>
      </c>
      <c r="K58">
        <f t="shared" si="0"/>
        <v>344.65719604492188</v>
      </c>
      <c r="L58" s="5">
        <f t="shared" si="1"/>
        <v>-0.6355832977014586</v>
      </c>
    </row>
    <row r="59" spans="1:12" x14ac:dyDescent="0.3">
      <c r="A59" s="2">
        <v>45083</v>
      </c>
      <c r="B59">
        <v>126.8684158325195</v>
      </c>
      <c r="C59">
        <f t="shared" si="2"/>
        <v>-3.8855433406075855E-2</v>
      </c>
      <c r="K59">
        <f t="shared" si="0"/>
        <v>344.65719604492188</v>
      </c>
      <c r="L59" s="5">
        <f t="shared" si="1"/>
        <v>-0.63189970414549612</v>
      </c>
    </row>
    <row r="60" spans="1:12" x14ac:dyDescent="0.3">
      <c r="A60" s="2">
        <v>45084</v>
      </c>
      <c r="B60">
        <v>121.9388885498047</v>
      </c>
      <c r="C60">
        <f t="shared" si="2"/>
        <v>-2.1961769590185028E-3</v>
      </c>
      <c r="K60">
        <f t="shared" si="0"/>
        <v>344.65719604492188</v>
      </c>
      <c r="L60" s="5">
        <f t="shared" si="1"/>
        <v>-0.64620240067782753</v>
      </c>
    </row>
    <row r="61" spans="1:12" x14ac:dyDescent="0.3">
      <c r="A61" s="2">
        <v>45085</v>
      </c>
      <c r="B61">
        <v>121.6710891723633</v>
      </c>
      <c r="C61">
        <f t="shared" si="2"/>
        <v>1.630394603651346E-3</v>
      </c>
      <c r="K61">
        <f t="shared" si="0"/>
        <v>344.65719604492188</v>
      </c>
      <c r="L61" s="5">
        <f t="shared" si="1"/>
        <v>-0.64697940281361499</v>
      </c>
    </row>
    <row r="62" spans="1:12" x14ac:dyDescent="0.3">
      <c r="A62" s="2">
        <v>45086</v>
      </c>
      <c r="B62">
        <v>121.8694610595703</v>
      </c>
      <c r="C62">
        <f t="shared" si="2"/>
        <v>1.2045193860848912E-2</v>
      </c>
      <c r="K62">
        <f t="shared" si="0"/>
        <v>344.65719604492188</v>
      </c>
      <c r="L62" s="5">
        <f t="shared" si="1"/>
        <v>-0.64640383993698447</v>
      </c>
    </row>
    <row r="63" spans="1:12" x14ac:dyDescent="0.3">
      <c r="A63" s="2">
        <v>45089</v>
      </c>
      <c r="B63">
        <v>123.33740234375</v>
      </c>
      <c r="C63">
        <f t="shared" si="2"/>
        <v>6.4344603020680265E-4</v>
      </c>
      <c r="K63">
        <f t="shared" si="0"/>
        <v>344.65719604492188</v>
      </c>
      <c r="L63" s="5">
        <f t="shared" si="1"/>
        <v>-0.6421447056405738</v>
      </c>
    </row>
    <row r="64" spans="1:12" x14ac:dyDescent="0.3">
      <c r="A64" s="2">
        <v>45090</v>
      </c>
      <c r="B64">
        <v>123.41676330566411</v>
      </c>
      <c r="C64">
        <f t="shared" si="2"/>
        <v>-4.0194153463045059E-4</v>
      </c>
      <c r="K64">
        <f t="shared" si="0"/>
        <v>344.65719604492188</v>
      </c>
      <c r="L64" s="5">
        <f t="shared" si="1"/>
        <v>-0.64191444507202966</v>
      </c>
    </row>
    <row r="65" spans="1:12" x14ac:dyDescent="0.3">
      <c r="A65" s="2">
        <v>45091</v>
      </c>
      <c r="B65">
        <v>123.3671569824219</v>
      </c>
      <c r="C65">
        <f t="shared" si="2"/>
        <v>1.1336315814861168E-2</v>
      </c>
      <c r="K65">
        <f t="shared" si="0"/>
        <v>344.65719604492188</v>
      </c>
      <c r="L65" s="5">
        <f t="shared" si="1"/>
        <v>-0.64205837452950643</v>
      </c>
    </row>
    <row r="66" spans="1:12" x14ac:dyDescent="0.3">
      <c r="A66" s="2">
        <v>45092</v>
      </c>
      <c r="B66">
        <v>124.76568603515619</v>
      </c>
      <c r="C66">
        <f t="shared" si="2"/>
        <v>-1.3753136372330643E-2</v>
      </c>
      <c r="K66">
        <f t="shared" ref="K66:K129" si="3">MAX(B66:B805)</f>
        <v>344.65719604492188</v>
      </c>
      <c r="L66" s="5">
        <f t="shared" ref="L66:L129" si="4">B66/K66-1</f>
        <v>-0.63800063521988815</v>
      </c>
    </row>
    <row r="67" spans="1:12" x14ac:dyDescent="0.3">
      <c r="A67" s="2">
        <v>45093</v>
      </c>
      <c r="B67">
        <v>123.0497665405273</v>
      </c>
      <c r="C67">
        <f t="shared" ref="C67:C130" si="5">(B68-B67)/B67</f>
        <v>-1.6927925614836328E-3</v>
      </c>
      <c r="K67">
        <f t="shared" si="3"/>
        <v>344.65719604492188</v>
      </c>
      <c r="L67" s="5">
        <f t="shared" si="4"/>
        <v>-0.6429792618504061</v>
      </c>
    </row>
    <row r="68" spans="1:12" x14ac:dyDescent="0.3">
      <c r="A68" s="2">
        <v>45097</v>
      </c>
      <c r="B68">
        <v>122.8414688110352</v>
      </c>
      <c r="C68">
        <f t="shared" si="5"/>
        <v>-2.0912265682600097E-2</v>
      </c>
      <c r="K68">
        <f t="shared" si="3"/>
        <v>344.65719604492188</v>
      </c>
      <c r="L68" s="5">
        <f t="shared" si="4"/>
        <v>-0.64358362390024115</v>
      </c>
    </row>
    <row r="69" spans="1:12" x14ac:dyDescent="0.3">
      <c r="A69" s="2">
        <v>45098</v>
      </c>
      <c r="B69">
        <v>120.272575378418</v>
      </c>
      <c r="C69">
        <f t="shared" si="5"/>
        <v>2.1523921639225389E-2</v>
      </c>
      <c r="K69">
        <f t="shared" si="3"/>
        <v>344.65719604492188</v>
      </c>
      <c r="L69" s="5">
        <f t="shared" si="4"/>
        <v>-0.65103709785086883</v>
      </c>
    </row>
    <row r="70" spans="1:12" x14ac:dyDescent="0.3">
      <c r="A70" s="2">
        <v>45099</v>
      </c>
      <c r="B70">
        <v>122.86131286621089</v>
      </c>
      <c r="C70">
        <f t="shared" si="5"/>
        <v>-6.8619727741697466E-3</v>
      </c>
      <c r="K70">
        <f t="shared" si="3"/>
        <v>344.65719604492188</v>
      </c>
      <c r="L70" s="5">
        <f t="shared" si="4"/>
        <v>-0.6435260476900142</v>
      </c>
    </row>
    <row r="71" spans="1:12" x14ac:dyDescent="0.3">
      <c r="A71" s="2">
        <v>45100</v>
      </c>
      <c r="B71">
        <v>122.0182418823242</v>
      </c>
      <c r="C71">
        <f t="shared" si="5"/>
        <v>-3.1946127019806543E-2</v>
      </c>
      <c r="K71">
        <f t="shared" si="3"/>
        <v>344.65719604492188</v>
      </c>
      <c r="L71" s="5">
        <f t="shared" si="4"/>
        <v>-0.64597216224546605</v>
      </c>
    </row>
    <row r="72" spans="1:12" x14ac:dyDescent="0.3">
      <c r="A72" s="2">
        <v>45103</v>
      </c>
      <c r="B72">
        <v>118.120231628418</v>
      </c>
      <c r="C72">
        <f t="shared" si="5"/>
        <v>-6.7160759204698854E-4</v>
      </c>
      <c r="K72">
        <f t="shared" si="3"/>
        <v>344.65719604492188</v>
      </c>
      <c r="L72" s="5">
        <f t="shared" si="4"/>
        <v>-0.65728198051891984</v>
      </c>
    </row>
    <row r="73" spans="1:12" x14ac:dyDescent="0.3">
      <c r="A73" s="2">
        <v>45104</v>
      </c>
      <c r="B73">
        <v>118.040901184082</v>
      </c>
      <c r="C73">
        <f t="shared" si="5"/>
        <v>1.7393451865539197E-2</v>
      </c>
      <c r="K73">
        <f t="shared" si="3"/>
        <v>344.65719604492188</v>
      </c>
      <c r="L73" s="5">
        <f t="shared" si="4"/>
        <v>-0.65751215254273465</v>
      </c>
    </row>
    <row r="74" spans="1:12" x14ac:dyDescent="0.3">
      <c r="A74" s="2">
        <v>45105</v>
      </c>
      <c r="B74">
        <v>120.0940399169922</v>
      </c>
      <c r="C74">
        <f t="shared" si="5"/>
        <v>-8.8371958874700306E-3</v>
      </c>
      <c r="K74">
        <f t="shared" si="3"/>
        <v>344.65719604492188</v>
      </c>
      <c r="L74" s="5">
        <f t="shared" si="4"/>
        <v>-0.65155510665345462</v>
      </c>
    </row>
    <row r="75" spans="1:12" x14ac:dyDescent="0.3">
      <c r="A75" s="2">
        <v>45106</v>
      </c>
      <c r="B75">
        <v>119.0327453613281</v>
      </c>
      <c r="C75">
        <f t="shared" si="5"/>
        <v>7.9993667421708447E-3</v>
      </c>
      <c r="K75">
        <f t="shared" si="3"/>
        <v>344.65719604492188</v>
      </c>
      <c r="L75" s="5">
        <f t="shared" si="4"/>
        <v>-0.6546343824319466</v>
      </c>
    </row>
    <row r="76" spans="1:12" x14ac:dyDescent="0.3">
      <c r="A76" s="2">
        <v>45107</v>
      </c>
      <c r="B76">
        <v>119.9849319458008</v>
      </c>
      <c r="C76">
        <f t="shared" si="5"/>
        <v>-3.3892754757605544E-3</v>
      </c>
      <c r="K76">
        <f t="shared" si="3"/>
        <v>344.65719604492188</v>
      </c>
      <c r="L76" s="5">
        <f t="shared" si="4"/>
        <v>-0.65187167619688346</v>
      </c>
    </row>
    <row r="77" spans="1:12" x14ac:dyDescent="0.3">
      <c r="A77" s="2">
        <v>45110</v>
      </c>
      <c r="B77">
        <v>119.57826995849609</v>
      </c>
      <c r="C77">
        <f t="shared" si="5"/>
        <v>1.7169958993484561E-2</v>
      </c>
      <c r="K77">
        <f t="shared" si="3"/>
        <v>344.65719604492188</v>
      </c>
      <c r="L77" s="5">
        <f t="shared" si="4"/>
        <v>-0.65305157898716693</v>
      </c>
    </row>
    <row r="78" spans="1:12" x14ac:dyDescent="0.3">
      <c r="A78" s="2">
        <v>45112</v>
      </c>
      <c r="B78">
        <v>121.6314239501953</v>
      </c>
      <c r="C78">
        <f t="shared" si="5"/>
        <v>-1.3862967567015678E-2</v>
      </c>
      <c r="K78">
        <f t="shared" si="3"/>
        <v>344.65719604492188</v>
      </c>
      <c r="L78" s="5">
        <f t="shared" si="4"/>
        <v>-0.64709448882552234</v>
      </c>
    </row>
    <row r="79" spans="1:12" x14ac:dyDescent="0.3">
      <c r="A79" s="2">
        <v>45113</v>
      </c>
      <c r="B79">
        <v>119.94525146484381</v>
      </c>
      <c r="C79">
        <f t="shared" si="5"/>
        <v>-6.5326613348480481E-3</v>
      </c>
      <c r="K79">
        <f t="shared" si="3"/>
        <v>344.65719604492188</v>
      </c>
      <c r="L79" s="5">
        <f t="shared" si="4"/>
        <v>-0.65198680648115526</v>
      </c>
    </row>
    <row r="80" spans="1:12" x14ac:dyDescent="0.3">
      <c r="A80" s="2">
        <v>45114</v>
      </c>
      <c r="B80">
        <v>119.1616897583008</v>
      </c>
      <c r="C80">
        <f t="shared" si="5"/>
        <v>-2.7218356180749425E-2</v>
      </c>
      <c r="K80">
        <f t="shared" si="3"/>
        <v>344.65719604492188</v>
      </c>
      <c r="L80" s="5">
        <f t="shared" si="4"/>
        <v>-0.65426025881447281</v>
      </c>
    </row>
    <row r="81" spans="1:12" x14ac:dyDescent="0.3">
      <c r="A81" s="2">
        <v>45117</v>
      </c>
      <c r="B81">
        <v>115.9183044433594</v>
      </c>
      <c r="C81">
        <f t="shared" si="5"/>
        <v>7.187545002370236E-3</v>
      </c>
      <c r="K81">
        <f t="shared" si="3"/>
        <v>344.65719604492188</v>
      </c>
      <c r="L81" s="5">
        <f t="shared" si="4"/>
        <v>-0.66367072623590062</v>
      </c>
    </row>
    <row r="82" spans="1:12" x14ac:dyDescent="0.3">
      <c r="A82" s="2">
        <v>45118</v>
      </c>
      <c r="B82">
        <v>116.7514724731445</v>
      </c>
      <c r="C82">
        <f t="shared" si="5"/>
        <v>1.6226390262362382E-2</v>
      </c>
      <c r="K82">
        <f t="shared" si="3"/>
        <v>344.65719604492188</v>
      </c>
      <c r="L82" s="5">
        <f t="shared" si="4"/>
        <v>-0.66125334444510664</v>
      </c>
    </row>
    <row r="83" spans="1:12" x14ac:dyDescent="0.3">
      <c r="A83" s="2">
        <v>45119</v>
      </c>
      <c r="B83">
        <v>118.6459274291992</v>
      </c>
      <c r="C83">
        <f t="shared" si="5"/>
        <v>4.3554502915185131E-2</v>
      </c>
      <c r="K83">
        <f t="shared" si="3"/>
        <v>344.65719604492188</v>
      </c>
      <c r="L83" s="5">
        <f t="shared" si="4"/>
        <v>-0.65575670901200289</v>
      </c>
    </row>
    <row r="84" spans="1:12" x14ac:dyDescent="0.3">
      <c r="A84" s="2">
        <v>45120</v>
      </c>
      <c r="B84">
        <v>123.81349182128911</v>
      </c>
      <c r="C84">
        <f t="shared" si="5"/>
        <v>6.9695366455096892E-3</v>
      </c>
      <c r="K84">
        <f t="shared" si="3"/>
        <v>344.65719604492188</v>
      </c>
      <c r="L84" s="5">
        <f t="shared" si="4"/>
        <v>-0.64076336359113317</v>
      </c>
    </row>
    <row r="85" spans="1:12" x14ac:dyDescent="0.3">
      <c r="A85" s="2">
        <v>45121</v>
      </c>
      <c r="B85">
        <v>124.67641448974609</v>
      </c>
      <c r="C85">
        <f t="shared" si="5"/>
        <v>-5.0915495539078474E-3</v>
      </c>
      <c r="K85">
        <f t="shared" si="3"/>
        <v>344.65719604492188</v>
      </c>
      <c r="L85" s="5">
        <f t="shared" si="4"/>
        <v>-0.63825965068927204</v>
      </c>
    </row>
    <row r="86" spans="1:12" x14ac:dyDescent="0.3">
      <c r="A86" s="2">
        <v>45124</v>
      </c>
      <c r="B86">
        <v>124.041618347168</v>
      </c>
      <c r="C86">
        <f t="shared" si="5"/>
        <v>-7.8362651439566958E-3</v>
      </c>
      <c r="K86">
        <f t="shared" si="3"/>
        <v>344.65719604492188</v>
      </c>
      <c r="L86" s="5">
        <f t="shared" si="4"/>
        <v>-0.6401014696034355</v>
      </c>
    </row>
    <row r="87" spans="1:12" x14ac:dyDescent="0.3">
      <c r="A87" s="2">
        <v>45125</v>
      </c>
      <c r="B87">
        <v>123.06959533691411</v>
      </c>
      <c r="C87">
        <f t="shared" si="5"/>
        <v>-1.0477046091067754E-2</v>
      </c>
      <c r="K87">
        <f t="shared" si="3"/>
        <v>344.65719604492188</v>
      </c>
      <c r="L87" s="5">
        <f t="shared" si="4"/>
        <v>-0.64292172991254337</v>
      </c>
    </row>
    <row r="88" spans="1:12" x14ac:dyDescent="0.3">
      <c r="A88" s="2">
        <v>45126</v>
      </c>
      <c r="B88">
        <v>121.7801895141602</v>
      </c>
      <c r="C88">
        <f t="shared" si="5"/>
        <v>-2.6470161301488805E-2</v>
      </c>
      <c r="K88">
        <f t="shared" si="3"/>
        <v>344.65719604492188</v>
      </c>
      <c r="L88" s="5">
        <f t="shared" si="4"/>
        <v>-0.64666285540636836</v>
      </c>
    </row>
    <row r="89" spans="1:12" x14ac:dyDescent="0.3">
      <c r="A89" s="2">
        <v>45127</v>
      </c>
      <c r="B89">
        <v>118.5566482543945</v>
      </c>
      <c r="C89">
        <f t="shared" si="5"/>
        <v>6.5256462951053026E-3</v>
      </c>
      <c r="K89">
        <f t="shared" si="3"/>
        <v>344.65719604492188</v>
      </c>
      <c r="L89" s="5">
        <f t="shared" si="4"/>
        <v>-0.65601574661756934</v>
      </c>
    </row>
    <row r="90" spans="1:12" x14ac:dyDescent="0.3">
      <c r="A90" s="2">
        <v>45128</v>
      </c>
      <c r="B90">
        <v>119.33030700683589</v>
      </c>
      <c r="C90">
        <f t="shared" si="5"/>
        <v>1.3049600463197458E-2</v>
      </c>
      <c r="K90">
        <f t="shared" si="3"/>
        <v>344.65719604492188</v>
      </c>
      <c r="L90" s="5">
        <f t="shared" si="4"/>
        <v>-0.65377102704890966</v>
      </c>
    </row>
    <row r="91" spans="1:12" x14ac:dyDescent="0.3">
      <c r="A91" s="2">
        <v>45131</v>
      </c>
      <c r="B91">
        <v>120.8875198364258</v>
      </c>
      <c r="C91">
        <f t="shared" si="5"/>
        <v>7.4664077916464372E-3</v>
      </c>
      <c r="K91">
        <f t="shared" si="3"/>
        <v>344.65719604492188</v>
      </c>
      <c r="L91" s="5">
        <f t="shared" si="4"/>
        <v>-0.64925287728311476</v>
      </c>
    </row>
    <row r="92" spans="1:12" x14ac:dyDescent="0.3">
      <c r="A92" s="2">
        <v>45132</v>
      </c>
      <c r="B92">
        <v>121.7901153564453</v>
      </c>
      <c r="C92">
        <f t="shared" si="5"/>
        <v>5.5949174336041713E-2</v>
      </c>
      <c r="K92">
        <f t="shared" si="3"/>
        <v>344.65719604492188</v>
      </c>
      <c r="L92" s="5">
        <f t="shared" si="4"/>
        <v>-0.64663405623316383</v>
      </c>
    </row>
    <row r="93" spans="1:12" x14ac:dyDescent="0.3">
      <c r="A93" s="2">
        <v>45133</v>
      </c>
      <c r="B93">
        <v>128.60417175292969</v>
      </c>
      <c r="C93">
        <f t="shared" si="5"/>
        <v>1.6194436702585029E-3</v>
      </c>
      <c r="K93">
        <f t="shared" si="3"/>
        <v>344.65719604492188</v>
      </c>
      <c r="L93" s="5">
        <f t="shared" si="4"/>
        <v>-0.62686352344093321</v>
      </c>
    </row>
    <row r="94" spans="1:12" x14ac:dyDescent="0.3">
      <c r="A94" s="2">
        <v>45134</v>
      </c>
      <c r="B94">
        <v>128.81243896484381</v>
      </c>
      <c r="C94">
        <f t="shared" si="5"/>
        <v>2.417810688934089E-2</v>
      </c>
      <c r="K94">
        <f t="shared" si="3"/>
        <v>344.65719604492188</v>
      </c>
      <c r="L94" s="5">
        <f t="shared" si="4"/>
        <v>-0.62625924993582704</v>
      </c>
    </row>
    <row r="95" spans="1:12" x14ac:dyDescent="0.3">
      <c r="A95" s="2">
        <v>45135</v>
      </c>
      <c r="B95">
        <v>131.9268798828125</v>
      </c>
      <c r="C95">
        <f t="shared" si="5"/>
        <v>7.5202753656064363E-4</v>
      </c>
      <c r="K95">
        <f t="shared" si="3"/>
        <v>344.65719604492188</v>
      </c>
      <c r="L95" s="5">
        <f t="shared" si="4"/>
        <v>-0.61722290613187303</v>
      </c>
    </row>
    <row r="96" spans="1:12" x14ac:dyDescent="0.3">
      <c r="A96" s="2">
        <v>45138</v>
      </c>
      <c r="B96">
        <v>132.0260925292969</v>
      </c>
      <c r="C96">
        <f t="shared" si="5"/>
        <v>-9.1654837663545912E-3</v>
      </c>
      <c r="K96">
        <f t="shared" si="3"/>
        <v>344.65719604492188</v>
      </c>
      <c r="L96" s="5">
        <f t="shared" si="4"/>
        <v>-0.6169350472169195</v>
      </c>
    </row>
    <row r="97" spans="1:12" x14ac:dyDescent="0.3">
      <c r="A97" s="2">
        <v>45139</v>
      </c>
      <c r="B97">
        <v>130.8160095214844</v>
      </c>
      <c r="C97">
        <f t="shared" si="5"/>
        <v>-2.4641911417006532E-2</v>
      </c>
      <c r="K97">
        <f t="shared" si="3"/>
        <v>344.65719604492188</v>
      </c>
      <c r="L97" s="5">
        <f t="shared" si="4"/>
        <v>-0.62044602282311223</v>
      </c>
    </row>
    <row r="98" spans="1:12" x14ac:dyDescent="0.3">
      <c r="A98" s="2">
        <v>45140</v>
      </c>
      <c r="B98">
        <v>127.5924530029297</v>
      </c>
      <c r="C98">
        <f t="shared" si="5"/>
        <v>1.0108349789923234E-3</v>
      </c>
      <c r="K98">
        <f t="shared" si="3"/>
        <v>344.65719604492188</v>
      </c>
      <c r="L98" s="5">
        <f t="shared" si="4"/>
        <v>-0.62979895830667765</v>
      </c>
    </row>
    <row r="99" spans="1:12" x14ac:dyDescent="0.3">
      <c r="A99" s="2">
        <v>45141</v>
      </c>
      <c r="B99">
        <v>127.7214279174805</v>
      </c>
      <c r="C99">
        <f t="shared" si="5"/>
        <v>-1.7861854427503698E-3</v>
      </c>
      <c r="K99">
        <f t="shared" si="3"/>
        <v>344.65719604492188</v>
      </c>
      <c r="L99" s="5">
        <f t="shared" si="4"/>
        <v>-0.62942474614447463</v>
      </c>
    </row>
    <row r="100" spans="1:12" x14ac:dyDescent="0.3">
      <c r="A100" s="2">
        <v>45142</v>
      </c>
      <c r="B100">
        <v>127.493293762207</v>
      </c>
      <c r="C100">
        <f t="shared" si="5"/>
        <v>2.6450736861745892E-2</v>
      </c>
      <c r="K100">
        <f t="shared" si="3"/>
        <v>344.65719604492188</v>
      </c>
      <c r="L100" s="5">
        <f t="shared" si="4"/>
        <v>-0.63008666226835497</v>
      </c>
    </row>
    <row r="101" spans="1:12" x14ac:dyDescent="0.3">
      <c r="A101" s="2">
        <v>45145</v>
      </c>
      <c r="B101">
        <v>130.86558532714841</v>
      </c>
      <c r="C101">
        <f t="shared" si="5"/>
        <v>-7.5789313636796145E-4</v>
      </c>
      <c r="K101">
        <f t="shared" si="3"/>
        <v>344.65719604492188</v>
      </c>
      <c r="L101" s="5">
        <f t="shared" si="4"/>
        <v>-0.62030218191036501</v>
      </c>
    </row>
    <row r="102" spans="1:12" x14ac:dyDescent="0.3">
      <c r="A102" s="2">
        <v>45146</v>
      </c>
      <c r="B102">
        <v>130.76640319824219</v>
      </c>
      <c r="C102">
        <f t="shared" si="5"/>
        <v>-1.2818575510796092E-2</v>
      </c>
      <c r="K102">
        <f t="shared" si="3"/>
        <v>344.65719604492188</v>
      </c>
      <c r="L102" s="5">
        <f t="shared" si="4"/>
        <v>-0.62058995228058911</v>
      </c>
    </row>
    <row r="103" spans="1:12" x14ac:dyDescent="0.3">
      <c r="A103" s="2">
        <v>45147</v>
      </c>
      <c r="B103">
        <v>129.09016418457031</v>
      </c>
      <c r="C103">
        <f t="shared" si="5"/>
        <v>4.6110822237143637E-4</v>
      </c>
      <c r="K103">
        <f t="shared" si="3"/>
        <v>344.65719604492188</v>
      </c>
      <c r="L103" s="5">
        <f t="shared" si="4"/>
        <v>-0.62545344862683505</v>
      </c>
    </row>
    <row r="104" spans="1:12" x14ac:dyDescent="0.3">
      <c r="A104" s="2">
        <v>45148</v>
      </c>
      <c r="B104">
        <v>129.1496887207031</v>
      </c>
      <c r="C104">
        <f t="shared" si="5"/>
        <v>-3.0706688623285733E-4</v>
      </c>
      <c r="K104">
        <f t="shared" si="3"/>
        <v>344.65719604492188</v>
      </c>
      <c r="L104" s="5">
        <f t="shared" si="4"/>
        <v>-0.62528074213233609</v>
      </c>
    </row>
    <row r="105" spans="1:12" x14ac:dyDescent="0.3">
      <c r="A105" s="2">
        <v>45149</v>
      </c>
      <c r="B105">
        <v>129.11003112792969</v>
      </c>
      <c r="C105">
        <f t="shared" si="5"/>
        <v>1.2752449223557945E-2</v>
      </c>
      <c r="K105">
        <f t="shared" si="3"/>
        <v>344.65719604492188</v>
      </c>
      <c r="L105" s="5">
        <f t="shared" si="4"/>
        <v>-0.62539580600806088</v>
      </c>
    </row>
    <row r="106" spans="1:12" x14ac:dyDescent="0.3">
      <c r="A106" s="2">
        <v>45152</v>
      </c>
      <c r="B106">
        <v>130.7565002441406</v>
      </c>
      <c r="C106">
        <f t="shared" si="5"/>
        <v>-1.1833463294021056E-2</v>
      </c>
      <c r="K106">
        <f t="shared" si="3"/>
        <v>344.65719604492188</v>
      </c>
      <c r="L106" s="5">
        <f t="shared" si="4"/>
        <v>-0.62061868504524687</v>
      </c>
    </row>
    <row r="107" spans="1:12" x14ac:dyDescent="0.3">
      <c r="A107" s="2">
        <v>45153</v>
      </c>
      <c r="B107">
        <v>129.2091979980469</v>
      </c>
      <c r="C107">
        <f t="shared" si="5"/>
        <v>-8.9044992981699468E-3</v>
      </c>
      <c r="K107">
        <f t="shared" si="3"/>
        <v>344.65719604492188</v>
      </c>
      <c r="L107" s="5">
        <f t="shared" si="4"/>
        <v>-0.62510807991020134</v>
      </c>
    </row>
    <row r="108" spans="1:12" x14ac:dyDescent="0.3">
      <c r="A108" s="2">
        <v>45154</v>
      </c>
      <c r="B108">
        <v>128.05865478515619</v>
      </c>
      <c r="C108">
        <f t="shared" si="5"/>
        <v>1.0456300494778597E-2</v>
      </c>
      <c r="K108">
        <f t="shared" si="3"/>
        <v>344.65719604492188</v>
      </c>
      <c r="L108" s="5">
        <f t="shared" si="4"/>
        <v>-0.62844630474953056</v>
      </c>
    </row>
    <row r="109" spans="1:12" x14ac:dyDescent="0.3">
      <c r="A109" s="2">
        <v>45155</v>
      </c>
      <c r="B109">
        <v>129.3976745605469</v>
      </c>
      <c r="C109">
        <f t="shared" si="5"/>
        <v>-1.8013300620291751E-2</v>
      </c>
      <c r="K109">
        <f t="shared" si="3"/>
        <v>344.65719604492188</v>
      </c>
      <c r="L109" s="5">
        <f t="shared" si="4"/>
        <v>-0.62456122766204625</v>
      </c>
    </row>
    <row r="110" spans="1:12" x14ac:dyDescent="0.3">
      <c r="A110" s="2">
        <v>45156</v>
      </c>
      <c r="B110">
        <v>127.06679534912109</v>
      </c>
      <c r="C110">
        <f t="shared" si="5"/>
        <v>6.4006992777316998E-3</v>
      </c>
      <c r="K110">
        <f t="shared" si="3"/>
        <v>344.65719604492188</v>
      </c>
      <c r="L110" s="5">
        <f t="shared" si="4"/>
        <v>-0.63132411913268305</v>
      </c>
    </row>
    <row r="111" spans="1:12" x14ac:dyDescent="0.3">
      <c r="A111" s="2">
        <v>45159</v>
      </c>
      <c r="B111">
        <v>127.88011169433589</v>
      </c>
      <c r="C111">
        <f t="shared" si="5"/>
        <v>5.8946984584084018E-3</v>
      </c>
      <c r="K111">
        <f t="shared" si="3"/>
        <v>344.65719604492188</v>
      </c>
      <c r="L111" s="5">
        <f t="shared" si="4"/>
        <v>-0.62896433568829857</v>
      </c>
    </row>
    <row r="112" spans="1:12" x14ac:dyDescent="0.3">
      <c r="A112" s="2">
        <v>45160</v>
      </c>
      <c r="B112">
        <v>128.63392639160159</v>
      </c>
      <c r="C112">
        <f t="shared" si="5"/>
        <v>2.7141618900629674E-2</v>
      </c>
      <c r="K112">
        <f t="shared" si="3"/>
        <v>344.65719604492188</v>
      </c>
      <c r="L112" s="5">
        <f t="shared" si="4"/>
        <v>-0.62677719232986595</v>
      </c>
    </row>
    <row r="113" spans="1:12" x14ac:dyDescent="0.3">
      <c r="A113" s="2">
        <v>45161</v>
      </c>
      <c r="B113">
        <v>132.12525939941409</v>
      </c>
      <c r="C113">
        <f t="shared" si="5"/>
        <v>-2.0944545194279292E-2</v>
      </c>
      <c r="K113">
        <f t="shared" si="3"/>
        <v>344.65719604492188</v>
      </c>
      <c r="L113" s="5">
        <f t="shared" si="4"/>
        <v>-0.61664732111906007</v>
      </c>
    </row>
    <row r="114" spans="1:12" x14ac:dyDescent="0.3">
      <c r="A114" s="2">
        <v>45162</v>
      </c>
      <c r="B114">
        <v>129.35795593261719</v>
      </c>
      <c r="C114">
        <f t="shared" si="5"/>
        <v>2.0703965495907275E-3</v>
      </c>
      <c r="K114">
        <f t="shared" si="3"/>
        <v>344.65719604492188</v>
      </c>
      <c r="L114" s="5">
        <f t="shared" si="4"/>
        <v>-0.62467646862722992</v>
      </c>
    </row>
    <row r="115" spans="1:12" x14ac:dyDescent="0.3">
      <c r="A115" s="2">
        <v>45163</v>
      </c>
      <c r="B115">
        <v>129.62577819824219</v>
      </c>
      <c r="C115">
        <f t="shared" si="5"/>
        <v>8.4167975746177511E-3</v>
      </c>
      <c r="K115">
        <f t="shared" si="3"/>
        <v>344.65719604492188</v>
      </c>
      <c r="L115" s="5">
        <f t="shared" si="4"/>
        <v>-0.62389940008289557</v>
      </c>
    </row>
    <row r="116" spans="1:12" x14ac:dyDescent="0.3">
      <c r="A116" s="2">
        <v>45166</v>
      </c>
      <c r="B116">
        <v>130.71681213378909</v>
      </c>
      <c r="C116">
        <f t="shared" si="5"/>
        <v>2.807501222472196E-2</v>
      </c>
      <c r="K116">
        <f t="shared" si="3"/>
        <v>344.65719604492188</v>
      </c>
      <c r="L116" s="5">
        <f t="shared" si="4"/>
        <v>-0.62073383746570099</v>
      </c>
    </row>
    <row r="117" spans="1:12" x14ac:dyDescent="0.3">
      <c r="A117" s="2">
        <v>45167</v>
      </c>
      <c r="B117">
        <v>134.3866882324219</v>
      </c>
      <c r="C117">
        <f t="shared" si="5"/>
        <v>1.0628163475060678E-2</v>
      </c>
      <c r="K117">
        <f t="shared" si="3"/>
        <v>344.65719604492188</v>
      </c>
      <c r="L117" s="5">
        <f t="shared" si="4"/>
        <v>-0.6100859353161272</v>
      </c>
    </row>
    <row r="118" spans="1:12" x14ac:dyDescent="0.3">
      <c r="A118" s="2">
        <v>45168</v>
      </c>
      <c r="B118">
        <v>135.8149719238281</v>
      </c>
      <c r="C118">
        <f t="shared" si="5"/>
        <v>3.0674874196281593E-3</v>
      </c>
      <c r="K118">
        <f t="shared" si="3"/>
        <v>344.65719604492188</v>
      </c>
      <c r="L118" s="5">
        <f t="shared" si="4"/>
        <v>-0.60594186489544155</v>
      </c>
    </row>
    <row r="119" spans="1:12" x14ac:dyDescent="0.3">
      <c r="A119" s="2">
        <v>45169</v>
      </c>
      <c r="B119">
        <v>136.23158264160159</v>
      </c>
      <c r="C119">
        <f t="shared" si="5"/>
        <v>-4.0046715567854021E-3</v>
      </c>
      <c r="K119">
        <f t="shared" si="3"/>
        <v>344.65719604492188</v>
      </c>
      <c r="L119" s="5">
        <f t="shared" si="4"/>
        <v>-0.60473309652340623</v>
      </c>
    </row>
    <row r="120" spans="1:12" x14ac:dyDescent="0.3">
      <c r="A120" s="2">
        <v>45170</v>
      </c>
      <c r="B120">
        <v>135.68601989746091</v>
      </c>
      <c r="C120">
        <f t="shared" si="5"/>
        <v>-6.578711357518931E-4</v>
      </c>
      <c r="K120">
        <f t="shared" si="3"/>
        <v>344.65719604492188</v>
      </c>
      <c r="L120" s="5">
        <f t="shared" si="4"/>
        <v>-0.60631601064909757</v>
      </c>
    </row>
    <row r="121" spans="1:12" x14ac:dyDescent="0.3">
      <c r="A121" s="2">
        <v>45174</v>
      </c>
      <c r="B121">
        <v>135.59675598144531</v>
      </c>
      <c r="C121">
        <f t="shared" si="5"/>
        <v>-9.8017559055231206E-3</v>
      </c>
      <c r="K121">
        <f t="shared" si="3"/>
        <v>344.65719604492188</v>
      </c>
      <c r="L121" s="5">
        <f t="shared" si="4"/>
        <v>-0.60657500398229924</v>
      </c>
    </row>
    <row r="122" spans="1:12" x14ac:dyDescent="0.3">
      <c r="A122" s="2">
        <v>45175</v>
      </c>
      <c r="B122">
        <v>134.2676696777344</v>
      </c>
      <c r="C122">
        <f t="shared" si="5"/>
        <v>6.1313508268663885E-3</v>
      </c>
      <c r="K122">
        <f t="shared" si="3"/>
        <v>344.65719604492188</v>
      </c>
      <c r="L122" s="5">
        <f t="shared" si="4"/>
        <v>-0.61043125976039603</v>
      </c>
    </row>
    <row r="123" spans="1:12" x14ac:dyDescent="0.3">
      <c r="A123" s="2">
        <v>45176</v>
      </c>
      <c r="B123">
        <v>135.0909118652344</v>
      </c>
      <c r="C123">
        <f t="shared" si="5"/>
        <v>7.3423319934962528E-3</v>
      </c>
      <c r="K123">
        <f t="shared" si="3"/>
        <v>344.65719604492188</v>
      </c>
      <c r="L123" s="5">
        <f t="shared" si="4"/>
        <v>-0.60804267714280669</v>
      </c>
    </row>
    <row r="124" spans="1:12" x14ac:dyDescent="0.3">
      <c r="A124" s="2">
        <v>45177</v>
      </c>
      <c r="B124">
        <v>136.0827941894531</v>
      </c>
      <c r="C124">
        <f t="shared" si="5"/>
        <v>3.9358300810399096E-3</v>
      </c>
      <c r="K124">
        <f t="shared" si="3"/>
        <v>344.65719604492188</v>
      </c>
      <c r="L124" s="5">
        <f t="shared" si="4"/>
        <v>-0.6051647963511072</v>
      </c>
    </row>
    <row r="125" spans="1:12" x14ac:dyDescent="0.3">
      <c r="A125" s="2">
        <v>45180</v>
      </c>
      <c r="B125">
        <v>136.61839294433591</v>
      </c>
      <c r="C125">
        <f t="shared" si="5"/>
        <v>-1.2124301510159651E-2</v>
      </c>
      <c r="K125">
        <f t="shared" si="3"/>
        <v>344.65719604492188</v>
      </c>
      <c r="L125" s="5">
        <f t="shared" si="4"/>
        <v>-0.60361079207953239</v>
      </c>
    </row>
    <row r="126" spans="1:12" x14ac:dyDescent="0.3">
      <c r="A126" s="2">
        <v>45181</v>
      </c>
      <c r="B126">
        <v>134.96199035644531</v>
      </c>
      <c r="C126">
        <f t="shared" si="5"/>
        <v>1.0509143775899904E-2</v>
      </c>
      <c r="K126">
        <f t="shared" si="3"/>
        <v>344.65719604492188</v>
      </c>
      <c r="L126" s="5">
        <f t="shared" si="4"/>
        <v>-0.60841673435173349</v>
      </c>
    </row>
    <row r="127" spans="1:12" x14ac:dyDescent="0.3">
      <c r="A127" s="2">
        <v>45182</v>
      </c>
      <c r="B127">
        <v>136.38032531738281</v>
      </c>
      <c r="C127">
        <f t="shared" si="5"/>
        <v>1.0836421986969755E-2</v>
      </c>
      <c r="K127">
        <f t="shared" si="3"/>
        <v>344.65719604492188</v>
      </c>
      <c r="L127" s="5">
        <f t="shared" si="4"/>
        <v>-0.60430152951279947</v>
      </c>
    </row>
    <row r="128" spans="1:12" x14ac:dyDescent="0.3">
      <c r="A128" s="2">
        <v>45183</v>
      </c>
      <c r="B128">
        <v>137.85820007324219</v>
      </c>
      <c r="C128">
        <f t="shared" si="5"/>
        <v>-4.964428714923543E-3</v>
      </c>
      <c r="K128">
        <f t="shared" si="3"/>
        <v>344.65719604492188</v>
      </c>
      <c r="L128" s="5">
        <f t="shared" si="4"/>
        <v>-0.60001357390700161</v>
      </c>
    </row>
    <row r="129" spans="1:12" x14ac:dyDescent="0.3">
      <c r="A129" s="2">
        <v>45184</v>
      </c>
      <c r="B129">
        <v>137.17381286621091</v>
      </c>
      <c r="C129">
        <f t="shared" si="5"/>
        <v>4.7722852830363706E-3</v>
      </c>
      <c r="K129">
        <f t="shared" si="3"/>
        <v>344.65719604492188</v>
      </c>
      <c r="L129" s="5">
        <f t="shared" si="4"/>
        <v>-0.60199927800627739</v>
      </c>
    </row>
    <row r="130" spans="1:12" x14ac:dyDescent="0.3">
      <c r="A130" s="2">
        <v>45187</v>
      </c>
      <c r="B130">
        <v>137.82844543457031</v>
      </c>
      <c r="C130">
        <f t="shared" si="5"/>
        <v>-9.3548735293059408E-4</v>
      </c>
      <c r="K130">
        <f t="shared" ref="K130:K193" si="6">MAX(B130:B869)</f>
        <v>344.65719604492188</v>
      </c>
      <c r="L130" s="5">
        <f t="shared" ref="L130:L193" si="7">B130/K130-1</f>
        <v>-0.60009990501806887</v>
      </c>
    </row>
    <row r="131" spans="1:12" x14ac:dyDescent="0.3">
      <c r="A131" s="2">
        <v>45188</v>
      </c>
      <c r="B131">
        <v>137.69950866699219</v>
      </c>
      <c r="C131">
        <f t="shared" ref="C131:C194" si="8">(B132-B131)/B131</f>
        <v>-3.0540957583850021E-2</v>
      </c>
      <c r="K131">
        <f t="shared" si="6"/>
        <v>344.65719604492188</v>
      </c>
      <c r="L131" s="5">
        <f t="shared" si="7"/>
        <v>-0.60047400649936022</v>
      </c>
    </row>
    <row r="132" spans="1:12" x14ac:dyDescent="0.3">
      <c r="A132" s="2">
        <v>45189</v>
      </c>
      <c r="B132">
        <v>133.49403381347659</v>
      </c>
      <c r="C132">
        <f t="shared" si="8"/>
        <v>-2.3998975843743438E-2</v>
      </c>
      <c r="K132">
        <f t="shared" si="6"/>
        <v>344.65719604492188</v>
      </c>
      <c r="L132" s="5">
        <f t="shared" si="7"/>
        <v>-0.61267591292050883</v>
      </c>
    </row>
    <row r="133" spans="1:12" x14ac:dyDescent="0.3">
      <c r="A133" s="2">
        <v>45190</v>
      </c>
      <c r="B133">
        <v>130.2903137207031</v>
      </c>
      <c r="C133">
        <f t="shared" si="8"/>
        <v>-8.373634131450204E-4</v>
      </c>
      <c r="K133">
        <f t="shared" si="6"/>
        <v>344.65719604492188</v>
      </c>
      <c r="L133" s="5">
        <f t="shared" si="7"/>
        <v>-0.62197129433002951</v>
      </c>
    </row>
    <row r="134" spans="1:12" x14ac:dyDescent="0.3">
      <c r="A134" s="2">
        <v>45191</v>
      </c>
      <c r="B134">
        <v>130.18121337890619</v>
      </c>
      <c r="C134">
        <f t="shared" si="8"/>
        <v>7.0095068238438113E-3</v>
      </c>
      <c r="K134">
        <f t="shared" si="6"/>
        <v>344.65719604492188</v>
      </c>
      <c r="L134" s="5">
        <f t="shared" si="7"/>
        <v>-0.62228784173727614</v>
      </c>
    </row>
    <row r="135" spans="1:12" x14ac:dyDescent="0.3">
      <c r="A135" s="2">
        <v>45194</v>
      </c>
      <c r="B135">
        <v>131.0937194824219</v>
      </c>
      <c r="C135">
        <f t="shared" si="8"/>
        <v>-2.0579517231152727E-2</v>
      </c>
      <c r="K135">
        <f t="shared" si="6"/>
        <v>344.65719604492188</v>
      </c>
      <c r="L135" s="5">
        <f t="shared" si="7"/>
        <v>-0.61964026578648479</v>
      </c>
    </row>
    <row r="136" spans="1:12" x14ac:dyDescent="0.3">
      <c r="A136" s="2">
        <v>45195</v>
      </c>
      <c r="B136">
        <v>128.3958740234375</v>
      </c>
      <c r="C136">
        <f t="shared" si="8"/>
        <v>1.5527386365905161E-2</v>
      </c>
      <c r="K136">
        <f t="shared" si="6"/>
        <v>344.65719604492188</v>
      </c>
      <c r="L136" s="5">
        <f t="shared" si="7"/>
        <v>-0.62746788549076848</v>
      </c>
    </row>
    <row r="137" spans="1:12" x14ac:dyDescent="0.3">
      <c r="A137" s="2">
        <v>45196</v>
      </c>
      <c r="B137">
        <v>130.3895263671875</v>
      </c>
      <c r="C137">
        <f t="shared" si="8"/>
        <v>1.2703494168895378E-2</v>
      </c>
      <c r="K137">
        <f t="shared" si="6"/>
        <v>344.65719604492188</v>
      </c>
      <c r="L137" s="5">
        <f t="shared" si="7"/>
        <v>-0.62168343541507598</v>
      </c>
    </row>
    <row r="138" spans="1:12" x14ac:dyDescent="0.3">
      <c r="A138" s="2">
        <v>45197</v>
      </c>
      <c r="B138">
        <v>132.0459289550781</v>
      </c>
      <c r="C138">
        <f t="shared" si="8"/>
        <v>-9.6146623861391167E-3</v>
      </c>
      <c r="K138">
        <f t="shared" si="6"/>
        <v>344.65719604492188</v>
      </c>
      <c r="L138" s="5">
        <f t="shared" si="7"/>
        <v>-0.61687749314287488</v>
      </c>
    </row>
    <row r="139" spans="1:12" x14ac:dyDescent="0.3">
      <c r="A139" s="2">
        <v>45198</v>
      </c>
      <c r="B139">
        <v>130.77635192871091</v>
      </c>
      <c r="C139">
        <f t="shared" si="8"/>
        <v>2.5180154526676737E-2</v>
      </c>
      <c r="K139">
        <f t="shared" si="6"/>
        <v>344.65719604492188</v>
      </c>
      <c r="L139" s="5">
        <f t="shared" si="7"/>
        <v>-0.62056108669883736</v>
      </c>
    </row>
    <row r="140" spans="1:12" x14ac:dyDescent="0.3">
      <c r="A140" s="2">
        <v>45201</v>
      </c>
      <c r="B140">
        <v>134.06932067871091</v>
      </c>
      <c r="C140">
        <f t="shared" si="8"/>
        <v>-1.3834728278479607E-2</v>
      </c>
      <c r="K140">
        <f t="shared" si="6"/>
        <v>344.65719604492188</v>
      </c>
      <c r="L140" s="5">
        <f t="shared" si="7"/>
        <v>-0.61100675622847977</v>
      </c>
    </row>
    <row r="141" spans="1:12" x14ac:dyDescent="0.3">
      <c r="A141" s="2">
        <v>45202</v>
      </c>
      <c r="B141">
        <v>132.2145080566406</v>
      </c>
      <c r="C141">
        <f t="shared" si="8"/>
        <v>2.228081169696761E-2</v>
      </c>
      <c r="K141">
        <f t="shared" si="6"/>
        <v>344.65719604492188</v>
      </c>
      <c r="L141" s="5">
        <f t="shared" si="7"/>
        <v>-0.61638837205822328</v>
      </c>
    </row>
    <row r="142" spans="1:12" x14ac:dyDescent="0.3">
      <c r="A142" s="2">
        <v>45203</v>
      </c>
      <c r="B142">
        <v>135.16035461425781</v>
      </c>
      <c r="C142">
        <f t="shared" si="8"/>
        <v>-2.0547831538266963E-3</v>
      </c>
      <c r="K142">
        <f t="shared" si="6"/>
        <v>344.65719604492188</v>
      </c>
      <c r="L142" s="5">
        <f t="shared" si="7"/>
        <v>-0.6078411936112853</v>
      </c>
    </row>
    <row r="143" spans="1:12" x14ac:dyDescent="0.3">
      <c r="A143" s="2">
        <v>45204</v>
      </c>
      <c r="B143">
        <v>134.88262939453119</v>
      </c>
      <c r="C143">
        <f t="shared" si="8"/>
        <v>2.014826801187641E-2</v>
      </c>
      <c r="K143">
        <f t="shared" si="6"/>
        <v>344.65719604492188</v>
      </c>
      <c r="L143" s="5">
        <f t="shared" si="7"/>
        <v>-0.60864699492027752</v>
      </c>
    </row>
    <row r="144" spans="1:12" x14ac:dyDescent="0.3">
      <c r="A144" s="2">
        <v>45205</v>
      </c>
      <c r="B144">
        <v>137.60028076171881</v>
      </c>
      <c r="C144">
        <f t="shared" si="8"/>
        <v>5.5505949806664429E-3</v>
      </c>
      <c r="K144">
        <f t="shared" si="6"/>
        <v>344.65719604492188</v>
      </c>
      <c r="L144" s="5">
        <f t="shared" si="7"/>
        <v>-0.60076190968667809</v>
      </c>
    </row>
    <row r="145" spans="1:12" x14ac:dyDescent="0.3">
      <c r="A145" s="2">
        <v>45208</v>
      </c>
      <c r="B145">
        <v>138.3640441894531</v>
      </c>
      <c r="C145">
        <f t="shared" si="8"/>
        <v>-2.1504603198160485E-3</v>
      </c>
      <c r="K145">
        <f t="shared" si="6"/>
        <v>344.65719604492188</v>
      </c>
      <c r="L145" s="5">
        <f t="shared" si="7"/>
        <v>-0.59854590074649416</v>
      </c>
    </row>
    <row r="146" spans="1:12" x14ac:dyDescent="0.3">
      <c r="A146" s="2">
        <v>45209</v>
      </c>
      <c r="B146">
        <v>138.0664978027344</v>
      </c>
      <c r="C146">
        <f t="shared" si="8"/>
        <v>1.7959675635028649E-2</v>
      </c>
      <c r="K146">
        <f t="shared" si="6"/>
        <v>344.65719604492188</v>
      </c>
      <c r="L146" s="5">
        <f t="shared" si="7"/>
        <v>-0.59940921185716634</v>
      </c>
    </row>
    <row r="147" spans="1:12" x14ac:dyDescent="0.3">
      <c r="A147" s="2">
        <v>45210</v>
      </c>
      <c r="B147">
        <v>140.54612731933591</v>
      </c>
      <c r="C147">
        <f t="shared" si="8"/>
        <v>-9.9507851137425225E-3</v>
      </c>
      <c r="K147">
        <f t="shared" si="6"/>
        <v>344.65719604492188</v>
      </c>
      <c r="L147" s="5">
        <f t="shared" si="7"/>
        <v>-0.59221473123974055</v>
      </c>
    </row>
    <row r="148" spans="1:12" x14ac:dyDescent="0.3">
      <c r="A148" s="2">
        <v>45211</v>
      </c>
      <c r="B148">
        <v>139.1475830078125</v>
      </c>
      <c r="C148">
        <f t="shared" si="8"/>
        <v>-1.218903988693695E-2</v>
      </c>
      <c r="K148">
        <f t="shared" si="6"/>
        <v>344.65719604492188</v>
      </c>
      <c r="L148" s="5">
        <f t="shared" si="7"/>
        <v>-0.59627251482172361</v>
      </c>
    </row>
    <row r="149" spans="1:12" x14ac:dyDescent="0.3">
      <c r="A149" s="2">
        <v>45212</v>
      </c>
      <c r="B149">
        <v>137.4515075683594</v>
      </c>
      <c r="C149">
        <f t="shared" si="8"/>
        <v>1.3782937031015035E-2</v>
      </c>
      <c r="K149">
        <f t="shared" si="6"/>
        <v>344.65719604492188</v>
      </c>
      <c r="L149" s="5">
        <f t="shared" si="7"/>
        <v>-0.60119356524201439</v>
      </c>
    </row>
    <row r="150" spans="1:12" x14ac:dyDescent="0.3">
      <c r="A150" s="2">
        <v>45215</v>
      </c>
      <c r="B150">
        <v>139.34599304199219</v>
      </c>
      <c r="C150">
        <f t="shared" si="8"/>
        <v>3.5589534545917246E-3</v>
      </c>
      <c r="K150">
        <f t="shared" si="6"/>
        <v>344.65719604492188</v>
      </c>
      <c r="L150" s="5">
        <f t="shared" si="7"/>
        <v>-0.59569684126418143</v>
      </c>
    </row>
    <row r="151" spans="1:12" x14ac:dyDescent="0.3">
      <c r="A151" s="2">
        <v>45216</v>
      </c>
      <c r="B151">
        <v>139.8419189453125</v>
      </c>
      <c r="C151">
        <f t="shared" si="8"/>
        <v>-1.2128737719156995E-2</v>
      </c>
      <c r="K151">
        <f t="shared" si="6"/>
        <v>344.65719604492188</v>
      </c>
      <c r="L151" s="5">
        <f t="shared" si="7"/>
        <v>-0.59425794514069619</v>
      </c>
    </row>
    <row r="152" spans="1:12" x14ac:dyDescent="0.3">
      <c r="A152" s="2">
        <v>45217</v>
      </c>
      <c r="B152">
        <v>138.14581298828119</v>
      </c>
      <c r="C152">
        <f t="shared" si="8"/>
        <v>-2.1536365287150223E-3</v>
      </c>
      <c r="K152">
        <f t="shared" si="6"/>
        <v>344.65719604492188</v>
      </c>
      <c r="L152" s="5">
        <f t="shared" si="7"/>
        <v>-0.59917908410571652</v>
      </c>
    </row>
    <row r="153" spans="1:12" x14ac:dyDescent="0.3">
      <c r="A153" s="2">
        <v>45218</v>
      </c>
      <c r="B153">
        <v>137.8482971191406</v>
      </c>
      <c r="C153">
        <f t="shared" si="8"/>
        <v>-1.6117509513477367E-2</v>
      </c>
      <c r="K153">
        <f t="shared" si="6"/>
        <v>344.65719604492188</v>
      </c>
      <c r="L153" s="5">
        <f t="shared" si="7"/>
        <v>-0.60004230667165948</v>
      </c>
    </row>
    <row r="154" spans="1:12" x14ac:dyDescent="0.3">
      <c r="A154" s="2">
        <v>45219</v>
      </c>
      <c r="B154">
        <v>135.62652587890619</v>
      </c>
      <c r="C154">
        <f t="shared" si="8"/>
        <v>8.4831724873493403E-3</v>
      </c>
      <c r="K154">
        <f t="shared" si="6"/>
        <v>344.65719604492188</v>
      </c>
      <c r="L154" s="5">
        <f t="shared" si="7"/>
        <v>-0.60648862859886754</v>
      </c>
    </row>
    <row r="155" spans="1:12" x14ac:dyDescent="0.3">
      <c r="A155" s="2">
        <v>45222</v>
      </c>
      <c r="B155">
        <v>136.7770690917969</v>
      </c>
      <c r="C155">
        <f t="shared" si="8"/>
        <v>1.6098490130660781E-2</v>
      </c>
      <c r="K155">
        <f t="shared" si="6"/>
        <v>344.65719604492188</v>
      </c>
      <c r="L155" s="5">
        <f t="shared" si="7"/>
        <v>-0.60315040375953832</v>
      </c>
    </row>
    <row r="156" spans="1:12" x14ac:dyDescent="0.3">
      <c r="A156" s="2">
        <v>45223</v>
      </c>
      <c r="B156">
        <v>138.9789733886719</v>
      </c>
      <c r="C156">
        <f t="shared" si="8"/>
        <v>-9.5989010253042156E-2</v>
      </c>
      <c r="K156">
        <f t="shared" si="6"/>
        <v>344.65719604492188</v>
      </c>
      <c r="L156" s="5">
        <f t="shared" si="7"/>
        <v>-0.59676172445110454</v>
      </c>
    </row>
    <row r="157" spans="1:12" x14ac:dyDescent="0.3">
      <c r="A157" s="2">
        <v>45224</v>
      </c>
      <c r="B157">
        <v>125.6385192871094</v>
      </c>
      <c r="C157">
        <f t="shared" si="8"/>
        <v>-2.5499323159554318E-2</v>
      </c>
      <c r="K157">
        <f t="shared" si="6"/>
        <v>344.65719604492188</v>
      </c>
      <c r="L157" s="5">
        <f t="shared" si="7"/>
        <v>-0.63546816741718648</v>
      </c>
    </row>
    <row r="158" spans="1:12" x14ac:dyDescent="0.3">
      <c r="A158" s="2">
        <v>45225</v>
      </c>
      <c r="B158">
        <v>122.4348220825195</v>
      </c>
      <c r="C158">
        <f t="shared" si="8"/>
        <v>-3.240324189450041E-4</v>
      </c>
      <c r="K158">
        <f t="shared" si="6"/>
        <v>344.65719604492188</v>
      </c>
      <c r="L158" s="5">
        <f t="shared" si="7"/>
        <v>-0.64476348241816017</v>
      </c>
    </row>
    <row r="159" spans="1:12" x14ac:dyDescent="0.3">
      <c r="A159" s="2">
        <v>45226</v>
      </c>
      <c r="B159">
        <v>122.395149230957</v>
      </c>
      <c r="C159">
        <f t="shared" si="8"/>
        <v>1.9043636193861228E-2</v>
      </c>
      <c r="K159">
        <f t="shared" si="6"/>
        <v>344.65719604492188</v>
      </c>
      <c r="L159" s="5">
        <f t="shared" si="7"/>
        <v>-0.64487859056624974</v>
      </c>
    </row>
    <row r="160" spans="1:12" x14ac:dyDescent="0.3">
      <c r="A160" s="2">
        <v>45229</v>
      </c>
      <c r="B160">
        <v>124.7259979248047</v>
      </c>
      <c r="C160">
        <f t="shared" si="8"/>
        <v>-3.5783393848063836E-3</v>
      </c>
      <c r="K160">
        <f t="shared" si="6"/>
        <v>344.65719604492188</v>
      </c>
      <c r="L160" s="5">
        <f t="shared" si="7"/>
        <v>-0.63811578764034227</v>
      </c>
    </row>
    <row r="161" spans="1:12" x14ac:dyDescent="0.3">
      <c r="A161" s="2">
        <v>45230</v>
      </c>
      <c r="B161">
        <v>124.27968597412109</v>
      </c>
      <c r="C161">
        <f t="shared" si="8"/>
        <v>1.8116358628367812E-2</v>
      </c>
      <c r="K161">
        <f t="shared" si="6"/>
        <v>344.65719604492188</v>
      </c>
      <c r="L161" s="5">
        <f t="shared" si="7"/>
        <v>-0.63941073217016853</v>
      </c>
    </row>
    <row r="162" spans="1:12" x14ac:dyDescent="0.3">
      <c r="A162" s="2">
        <v>45231</v>
      </c>
      <c r="B162">
        <v>126.5311813354492</v>
      </c>
      <c r="C162">
        <f t="shared" si="8"/>
        <v>7.9172393583362179E-3</v>
      </c>
      <c r="K162">
        <f t="shared" si="6"/>
        <v>344.65719604492188</v>
      </c>
      <c r="L162" s="5">
        <f t="shared" si="7"/>
        <v>-0.63287816767662264</v>
      </c>
    </row>
    <row r="163" spans="1:12" x14ac:dyDescent="0.3">
      <c r="A163" s="2">
        <v>45232</v>
      </c>
      <c r="B163">
        <v>127.532958984375</v>
      </c>
      <c r="C163">
        <f t="shared" si="8"/>
        <v>1.3921273031825573E-2</v>
      </c>
      <c r="K163">
        <f t="shared" si="6"/>
        <v>344.65719604492188</v>
      </c>
      <c r="L163" s="5">
        <f t="shared" si="7"/>
        <v>-0.62997157625644751</v>
      </c>
    </row>
    <row r="164" spans="1:12" x14ac:dyDescent="0.3">
      <c r="A164" s="2">
        <v>45233</v>
      </c>
      <c r="B164">
        <v>129.3083801269531</v>
      </c>
      <c r="C164">
        <f t="shared" si="8"/>
        <v>8.2840532741499349E-3</v>
      </c>
      <c r="K164">
        <f t="shared" si="6"/>
        <v>344.65719604492188</v>
      </c>
      <c r="L164" s="5">
        <f t="shared" si="7"/>
        <v>-0.62482030953997747</v>
      </c>
    </row>
    <row r="165" spans="1:12" x14ac:dyDescent="0.3">
      <c r="A165" s="2">
        <v>45236</v>
      </c>
      <c r="B165">
        <v>130.37957763671881</v>
      </c>
      <c r="C165">
        <f t="shared" si="8"/>
        <v>7.227057789777786E-3</v>
      </c>
      <c r="K165">
        <f t="shared" si="6"/>
        <v>344.65719604492188</v>
      </c>
      <c r="L165" s="5">
        <f t="shared" si="7"/>
        <v>-0.6217123009968275</v>
      </c>
    </row>
    <row r="166" spans="1:12" x14ac:dyDescent="0.3">
      <c r="A166" s="2">
        <v>45237</v>
      </c>
      <c r="B166">
        <v>131.32183837890619</v>
      </c>
      <c r="C166">
        <f t="shared" si="8"/>
        <v>6.4954682077380784E-3</v>
      </c>
      <c r="K166">
        <f t="shared" si="6"/>
        <v>344.65719604492188</v>
      </c>
      <c r="L166" s="5">
        <f t="shared" si="7"/>
        <v>-0.61897839393496956</v>
      </c>
    </row>
    <row r="167" spans="1:12" x14ac:dyDescent="0.3">
      <c r="A167" s="2">
        <v>45238</v>
      </c>
      <c r="B167">
        <v>132.1748352050781</v>
      </c>
      <c r="C167">
        <f t="shared" si="8"/>
        <v>-1.1781289070571632E-2</v>
      </c>
      <c r="K167">
        <f t="shared" si="6"/>
        <v>344.65719604492188</v>
      </c>
      <c r="L167" s="5">
        <f t="shared" si="7"/>
        <v>-0.61650348020631285</v>
      </c>
    </row>
    <row r="168" spans="1:12" x14ac:dyDescent="0.3">
      <c r="A168" s="2">
        <v>45239</v>
      </c>
      <c r="B168">
        <v>130.6176452636719</v>
      </c>
      <c r="C168">
        <f t="shared" si="8"/>
        <v>1.7996747256300422E-2</v>
      </c>
      <c r="K168">
        <f t="shared" si="6"/>
        <v>344.65719604492188</v>
      </c>
      <c r="L168" s="5">
        <f t="shared" si="7"/>
        <v>-0.62102156356356053</v>
      </c>
    </row>
    <row r="169" spans="1:12" x14ac:dyDescent="0.3">
      <c r="A169" s="2">
        <v>45240</v>
      </c>
      <c r="B169">
        <v>132.96833801269531</v>
      </c>
      <c r="C169">
        <f t="shared" si="8"/>
        <v>-3.1330425363715417E-3</v>
      </c>
      <c r="K169">
        <f t="shared" si="6"/>
        <v>344.65719604492188</v>
      </c>
      <c r="L169" s="5">
        <f t="shared" si="7"/>
        <v>-0.61420118442742599</v>
      </c>
    </row>
    <row r="170" spans="1:12" x14ac:dyDescent="0.3">
      <c r="A170" s="2">
        <v>45243</v>
      </c>
      <c r="B170">
        <v>132.55174255371091</v>
      </c>
      <c r="C170">
        <f t="shared" si="8"/>
        <v>1.339428940851357E-2</v>
      </c>
      <c r="K170">
        <f t="shared" si="6"/>
        <v>344.65719604492188</v>
      </c>
      <c r="L170" s="5">
        <f t="shared" si="7"/>
        <v>-0.61540990852709654</v>
      </c>
    </row>
    <row r="171" spans="1:12" x14ac:dyDescent="0.3">
      <c r="A171" s="2">
        <v>45244</v>
      </c>
      <c r="B171">
        <v>134.3271789550781</v>
      </c>
      <c r="C171">
        <f t="shared" si="8"/>
        <v>7.0146693284060726E-3</v>
      </c>
      <c r="K171">
        <f t="shared" si="6"/>
        <v>344.65719604492188</v>
      </c>
      <c r="L171" s="5">
        <f t="shared" si="7"/>
        <v>-0.61025859753826173</v>
      </c>
    </row>
    <row r="172" spans="1:12" x14ac:dyDescent="0.3">
      <c r="A172" s="2">
        <v>45245</v>
      </c>
      <c r="B172">
        <v>135.2694396972656</v>
      </c>
      <c r="C172">
        <f t="shared" si="8"/>
        <v>1.7011358578177947E-2</v>
      </c>
      <c r="K172">
        <f t="shared" si="6"/>
        <v>344.65719604492188</v>
      </c>
      <c r="L172" s="5">
        <f t="shared" si="7"/>
        <v>-0.60752469047640356</v>
      </c>
    </row>
    <row r="173" spans="1:12" x14ac:dyDescent="0.3">
      <c r="A173" s="2">
        <v>45246</v>
      </c>
      <c r="B173">
        <v>137.570556640625</v>
      </c>
      <c r="C173">
        <f t="shared" si="8"/>
        <v>-1.2689355959033805E-2</v>
      </c>
      <c r="K173">
        <f t="shared" si="6"/>
        <v>344.65719604492188</v>
      </c>
      <c r="L173" s="5">
        <f t="shared" si="7"/>
        <v>-0.60084815225301624</v>
      </c>
    </row>
    <row r="174" spans="1:12" x14ac:dyDescent="0.3">
      <c r="A174" s="2">
        <v>45247</v>
      </c>
      <c r="B174">
        <v>135.82487487792969</v>
      </c>
      <c r="C174">
        <f t="shared" si="8"/>
        <v>7.1563870883958906E-3</v>
      </c>
      <c r="K174">
        <f t="shared" si="6"/>
        <v>344.65719604492188</v>
      </c>
      <c r="L174" s="5">
        <f t="shared" si="7"/>
        <v>-0.60591313213078379</v>
      </c>
    </row>
    <row r="175" spans="1:12" x14ac:dyDescent="0.3">
      <c r="A175" s="2">
        <v>45250</v>
      </c>
      <c r="B175">
        <v>136.79689025878909</v>
      </c>
      <c r="C175">
        <f t="shared" si="8"/>
        <v>5.0753358487855308E-3</v>
      </c>
      <c r="K175">
        <f t="shared" si="6"/>
        <v>344.65719604492188</v>
      </c>
      <c r="L175" s="5">
        <f t="shared" si="7"/>
        <v>-0.60309289395785814</v>
      </c>
    </row>
    <row r="176" spans="1:12" x14ac:dyDescent="0.3">
      <c r="A176" s="2">
        <v>45251</v>
      </c>
      <c r="B176">
        <v>137.4911804199219</v>
      </c>
      <c r="C176">
        <f t="shared" si="8"/>
        <v>1.0099746721147343E-2</v>
      </c>
      <c r="K176">
        <f t="shared" si="6"/>
        <v>344.65719604492188</v>
      </c>
      <c r="L176" s="5">
        <f t="shared" si="7"/>
        <v>-0.60107845709392471</v>
      </c>
    </row>
    <row r="177" spans="1:12" x14ac:dyDescent="0.3">
      <c r="A177" s="2">
        <v>45252</v>
      </c>
      <c r="B177">
        <v>138.87980651855469</v>
      </c>
      <c r="C177">
        <f t="shared" si="8"/>
        <v>-1.2855393876281476E-2</v>
      </c>
      <c r="K177">
        <f t="shared" si="6"/>
        <v>344.65719604492188</v>
      </c>
      <c r="L177" s="5">
        <f t="shared" si="7"/>
        <v>-0.59704945054896408</v>
      </c>
    </row>
    <row r="178" spans="1:12" x14ac:dyDescent="0.3">
      <c r="A178" s="2">
        <v>45254</v>
      </c>
      <c r="B178">
        <v>137.0944519042969</v>
      </c>
      <c r="C178">
        <f t="shared" si="8"/>
        <v>-1.2297679301368338E-3</v>
      </c>
      <c r="K178">
        <f t="shared" si="6"/>
        <v>344.65719604492188</v>
      </c>
      <c r="L178" s="5">
        <f t="shared" si="7"/>
        <v>-0.60222953857482109</v>
      </c>
    </row>
    <row r="179" spans="1:12" x14ac:dyDescent="0.3">
      <c r="A179" s="2">
        <v>45257</v>
      </c>
      <c r="B179">
        <v>136.92585754394531</v>
      </c>
      <c r="C179">
        <f t="shared" si="8"/>
        <v>4.1286787325407462E-3</v>
      </c>
      <c r="K179">
        <f t="shared" si="6"/>
        <v>344.65719604492188</v>
      </c>
      <c r="L179" s="5">
        <f t="shared" si="7"/>
        <v>-0.60271870393183757</v>
      </c>
    </row>
    <row r="180" spans="1:12" x14ac:dyDescent="0.3">
      <c r="A180" s="2">
        <v>45258</v>
      </c>
      <c r="B180">
        <v>137.4911804199219</v>
      </c>
      <c r="C180">
        <f t="shared" si="8"/>
        <v>-1.6014987644582344E-2</v>
      </c>
      <c r="K180">
        <f t="shared" si="6"/>
        <v>344.65719604492188</v>
      </c>
      <c r="L180" s="5">
        <f t="shared" si="7"/>
        <v>-0.60107845709392471</v>
      </c>
    </row>
    <row r="181" spans="1:12" x14ac:dyDescent="0.3">
      <c r="A181" s="2">
        <v>45259</v>
      </c>
      <c r="B181">
        <v>135.28926086425781</v>
      </c>
      <c r="C181">
        <f t="shared" si="8"/>
        <v>-1.8181619267616772E-2</v>
      </c>
      <c r="K181">
        <f t="shared" si="6"/>
        <v>344.65719604492188</v>
      </c>
      <c r="L181" s="5">
        <f t="shared" si="7"/>
        <v>-0.60746718067472316</v>
      </c>
    </row>
    <row r="182" spans="1:12" x14ac:dyDescent="0.3">
      <c r="A182" s="2">
        <v>45260</v>
      </c>
      <c r="B182">
        <v>132.82948303222659</v>
      </c>
      <c r="C182">
        <f t="shared" si="8"/>
        <v>-4.4803553957316481E-3</v>
      </c>
      <c r="K182">
        <f t="shared" si="6"/>
        <v>344.65719604492188</v>
      </c>
      <c r="L182" s="5">
        <f t="shared" si="7"/>
        <v>-0.61460406294573966</v>
      </c>
    </row>
    <row r="183" spans="1:12" x14ac:dyDescent="0.3">
      <c r="A183" s="2">
        <v>45261</v>
      </c>
      <c r="B183">
        <v>132.23435974121091</v>
      </c>
      <c r="C183">
        <f t="shared" si="8"/>
        <v>-2.0176985962907703E-2</v>
      </c>
      <c r="K183">
        <f t="shared" si="6"/>
        <v>344.65719604492188</v>
      </c>
      <c r="L183" s="5">
        <f t="shared" si="7"/>
        <v>-0.61633077371181377</v>
      </c>
    </row>
    <row r="184" spans="1:12" x14ac:dyDescent="0.3">
      <c r="A184" s="2">
        <v>45264</v>
      </c>
      <c r="B184">
        <v>129.56626892089841</v>
      </c>
      <c r="C184">
        <f t="shared" si="8"/>
        <v>1.3473155617161644E-2</v>
      </c>
      <c r="K184">
        <f t="shared" si="6"/>
        <v>344.65719604492188</v>
      </c>
      <c r="L184" s="5">
        <f t="shared" si="7"/>
        <v>-0.6240720623050301</v>
      </c>
    </row>
    <row r="185" spans="1:12" x14ac:dyDescent="0.3">
      <c r="A185" s="2">
        <v>45265</v>
      </c>
      <c r="B185">
        <v>131.31193542480469</v>
      </c>
      <c r="C185">
        <f t="shared" si="8"/>
        <v>-7.2513912066466957E-3</v>
      </c>
      <c r="K185">
        <f t="shared" si="6"/>
        <v>344.65719604492188</v>
      </c>
      <c r="L185" s="5">
        <f t="shared" si="7"/>
        <v>-0.6190071266996271</v>
      </c>
    </row>
    <row r="186" spans="1:12" x14ac:dyDescent="0.3">
      <c r="A186" s="2">
        <v>45266</v>
      </c>
      <c r="B186">
        <v>130.3597412109375</v>
      </c>
      <c r="C186">
        <f t="shared" si="8"/>
        <v>5.3412539668716473E-2</v>
      </c>
      <c r="K186">
        <f t="shared" si="6"/>
        <v>344.65719604492188</v>
      </c>
      <c r="L186" s="5">
        <f t="shared" si="7"/>
        <v>-0.62176985507087257</v>
      </c>
    </row>
    <row r="187" spans="1:12" x14ac:dyDescent="0.3">
      <c r="A187" s="2">
        <v>45267</v>
      </c>
      <c r="B187">
        <v>137.32258605957031</v>
      </c>
      <c r="C187">
        <f t="shared" si="8"/>
        <v>-1.3073286921501927E-2</v>
      </c>
      <c r="K187">
        <f t="shared" si="6"/>
        <v>344.65719604492188</v>
      </c>
      <c r="L187" s="5">
        <f t="shared" si="7"/>
        <v>-0.6015676224509412</v>
      </c>
    </row>
    <row r="188" spans="1:12" x14ac:dyDescent="0.3">
      <c r="A188" s="2">
        <v>45268</v>
      </c>
      <c r="B188">
        <v>135.52732849121091</v>
      </c>
      <c r="C188">
        <f t="shared" si="8"/>
        <v>-1.4197832698091484E-2</v>
      </c>
      <c r="K188">
        <f t="shared" si="6"/>
        <v>344.65719604492188</v>
      </c>
      <c r="L188" s="5">
        <f t="shared" si="7"/>
        <v>-0.60677644324145619</v>
      </c>
    </row>
    <row r="189" spans="1:12" x14ac:dyDescent="0.3">
      <c r="A189" s="2">
        <v>45271</v>
      </c>
      <c r="B189">
        <v>133.60313415527341</v>
      </c>
      <c r="C189">
        <f t="shared" si="8"/>
        <v>-7.8695130036438663E-3</v>
      </c>
      <c r="K189">
        <f t="shared" si="6"/>
        <v>344.65719604492188</v>
      </c>
      <c r="L189" s="5">
        <f t="shared" si="7"/>
        <v>-0.61235936551326242</v>
      </c>
    </row>
    <row r="190" spans="1:12" x14ac:dyDescent="0.3">
      <c r="A190" s="2">
        <v>45272</v>
      </c>
      <c r="B190">
        <v>132.55174255371091</v>
      </c>
      <c r="C190">
        <f t="shared" si="8"/>
        <v>2.4695775057446303E-3</v>
      </c>
      <c r="K190">
        <f t="shared" si="6"/>
        <v>344.65719604492188</v>
      </c>
      <c r="L190" s="5">
        <f t="shared" si="7"/>
        <v>-0.61540990852709654</v>
      </c>
    </row>
    <row r="191" spans="1:12" x14ac:dyDescent="0.3">
      <c r="A191" s="2">
        <v>45273</v>
      </c>
      <c r="B191">
        <v>132.87908935546881</v>
      </c>
      <c r="C191">
        <f t="shared" si="8"/>
        <v>-5.7475778458506909E-3</v>
      </c>
      <c r="K191">
        <f t="shared" si="6"/>
        <v>344.65719604492188</v>
      </c>
      <c r="L191" s="5">
        <f t="shared" si="7"/>
        <v>-0.61446013348826289</v>
      </c>
    </row>
    <row r="192" spans="1:12" x14ac:dyDescent="0.3">
      <c r="A192" s="2">
        <v>45274</v>
      </c>
      <c r="B192">
        <v>132.1153564453125</v>
      </c>
      <c r="C192">
        <f t="shared" si="8"/>
        <v>4.8046316649249876E-3</v>
      </c>
      <c r="K192">
        <f t="shared" si="6"/>
        <v>344.65719604492188</v>
      </c>
      <c r="L192" s="5">
        <f t="shared" si="7"/>
        <v>-0.61667605388371793</v>
      </c>
    </row>
    <row r="193" spans="1:12" x14ac:dyDescent="0.3">
      <c r="A193" s="2">
        <v>45275</v>
      </c>
      <c r="B193">
        <v>132.7501220703125</v>
      </c>
      <c r="C193">
        <f t="shared" si="8"/>
        <v>2.5029908348498452E-2</v>
      </c>
      <c r="K193">
        <f t="shared" si="6"/>
        <v>344.65719604492188</v>
      </c>
      <c r="L193" s="5">
        <f t="shared" si="7"/>
        <v>-0.61483432351428369</v>
      </c>
    </row>
    <row r="194" spans="1:12" x14ac:dyDescent="0.3">
      <c r="A194" s="2">
        <v>45278</v>
      </c>
      <c r="B194">
        <v>136.0728454589844</v>
      </c>
      <c r="C194">
        <f t="shared" si="8"/>
        <v>6.6332349145007902E-3</v>
      </c>
      <c r="K194">
        <f t="shared" ref="K194:K257" si="9">MAX(B194:B933)</f>
        <v>344.65719604492188</v>
      </c>
      <c r="L194" s="5">
        <f t="shared" ref="L194:L257" si="10">B194/K194-1</f>
        <v>-0.60519366193285873</v>
      </c>
    </row>
    <row r="195" spans="1:12" x14ac:dyDescent="0.3">
      <c r="A195" s="2">
        <v>45279</v>
      </c>
      <c r="B195">
        <v>136.97544860839841</v>
      </c>
      <c r="C195">
        <f t="shared" ref="C195:C258" si="11">(B196-B195)/B195</f>
        <v>1.1296089941842455E-2</v>
      </c>
      <c r="K195">
        <f t="shared" si="9"/>
        <v>344.65719604492188</v>
      </c>
      <c r="L195" s="5">
        <f t="shared" si="10"/>
        <v>-0.60257481874672558</v>
      </c>
    </row>
    <row r="196" spans="1:12" x14ac:dyDescent="0.3">
      <c r="A196" s="2">
        <v>45280</v>
      </c>
      <c r="B196">
        <v>138.5227355957031</v>
      </c>
      <c r="C196">
        <f t="shared" si="11"/>
        <v>1.5322927629252884E-2</v>
      </c>
      <c r="K196">
        <f t="shared" si="9"/>
        <v>344.65719604492188</v>
      </c>
      <c r="L196" s="5">
        <f t="shared" si="10"/>
        <v>-0.59808546815413555</v>
      </c>
    </row>
    <row r="197" spans="1:12" x14ac:dyDescent="0.3">
      <c r="A197" s="2">
        <v>45281</v>
      </c>
      <c r="B197">
        <v>140.64530944824219</v>
      </c>
      <c r="C197">
        <f t="shared" si="11"/>
        <v>6.4879952775917455E-3</v>
      </c>
      <c r="K197">
        <f t="shared" si="9"/>
        <v>344.65719604492188</v>
      </c>
      <c r="L197" s="5">
        <f t="shared" si="10"/>
        <v>-0.59192696086951635</v>
      </c>
    </row>
    <row r="198" spans="1:12" x14ac:dyDescent="0.3">
      <c r="A198" s="2">
        <v>45282</v>
      </c>
      <c r="B198">
        <v>141.55781555175781</v>
      </c>
      <c r="C198">
        <f t="shared" si="11"/>
        <v>7.0064749529858664E-4</v>
      </c>
      <c r="K198">
        <f t="shared" si="9"/>
        <v>344.65719604492188</v>
      </c>
      <c r="L198" s="5">
        <f t="shared" si="10"/>
        <v>-0.58927938491872522</v>
      </c>
    </row>
    <row r="199" spans="1:12" x14ac:dyDescent="0.3">
      <c r="A199" s="2">
        <v>45286</v>
      </c>
      <c r="B199">
        <v>141.65699768066409</v>
      </c>
      <c r="C199">
        <f t="shared" si="11"/>
        <v>-9.662488812300498E-3</v>
      </c>
      <c r="K199">
        <f t="shared" si="9"/>
        <v>344.65719604492188</v>
      </c>
      <c r="L199" s="5">
        <f t="shared" si="10"/>
        <v>-0.58899161454850102</v>
      </c>
    </row>
    <row r="200" spans="1:12" x14ac:dyDescent="0.3">
      <c r="A200" s="2">
        <v>45287</v>
      </c>
      <c r="B200">
        <v>140.2882385253906</v>
      </c>
      <c r="C200">
        <f t="shared" si="11"/>
        <v>-1.1310723488212483E-3</v>
      </c>
      <c r="K200">
        <f t="shared" si="9"/>
        <v>344.65719604492188</v>
      </c>
      <c r="L200" s="5">
        <f t="shared" si="10"/>
        <v>-0.59296297847468782</v>
      </c>
    </row>
    <row r="201" spans="1:12" x14ac:dyDescent="0.3">
      <c r="A201" s="2">
        <v>45288</v>
      </c>
      <c r="B201">
        <v>140.12956237792969</v>
      </c>
      <c r="C201">
        <f t="shared" si="11"/>
        <v>-2.4774784339487719E-3</v>
      </c>
      <c r="K201">
        <f t="shared" si="9"/>
        <v>344.65719604492188</v>
      </c>
      <c r="L201" s="5">
        <f t="shared" si="10"/>
        <v>-0.59342336679468166</v>
      </c>
    </row>
    <row r="202" spans="1:12" x14ac:dyDescent="0.3">
      <c r="A202" s="2">
        <v>45289</v>
      </c>
      <c r="B202">
        <v>139.78239440917969</v>
      </c>
      <c r="C202">
        <f t="shared" si="11"/>
        <v>-9.7213348340786602E-3</v>
      </c>
      <c r="K202">
        <f t="shared" si="9"/>
        <v>344.65719604492188</v>
      </c>
      <c r="L202" s="5">
        <f t="shared" si="10"/>
        <v>-0.59443065163519537</v>
      </c>
    </row>
    <row r="203" spans="1:12" x14ac:dyDescent="0.3">
      <c r="A203" s="2">
        <v>45293</v>
      </c>
      <c r="B203">
        <v>138.42352294921881</v>
      </c>
      <c r="C203">
        <f t="shared" si="11"/>
        <v>5.7325377182987766E-3</v>
      </c>
      <c r="K203">
        <f t="shared" si="9"/>
        <v>344.65719604492188</v>
      </c>
      <c r="L203" s="5">
        <f t="shared" si="10"/>
        <v>-0.59837332706908875</v>
      </c>
    </row>
    <row r="204" spans="1:12" x14ac:dyDescent="0.3">
      <c r="A204" s="2">
        <v>45294</v>
      </c>
      <c r="B204">
        <v>139.217041015625</v>
      </c>
      <c r="C204">
        <f t="shared" si="11"/>
        <v>-1.6529098631611786E-2</v>
      </c>
      <c r="K204">
        <f t="shared" si="9"/>
        <v>344.65719604492188</v>
      </c>
      <c r="L204" s="5">
        <f t="shared" si="10"/>
        <v>-0.59607098701783745</v>
      </c>
    </row>
    <row r="205" spans="1:12" x14ac:dyDescent="0.3">
      <c r="A205" s="2">
        <v>45295</v>
      </c>
      <c r="B205">
        <v>136.91590881347659</v>
      </c>
      <c r="C205">
        <f t="shared" si="11"/>
        <v>-4.708500163993626E-3</v>
      </c>
      <c r="K205">
        <f t="shared" si="9"/>
        <v>344.65719604492188</v>
      </c>
      <c r="L205" s="5">
        <f t="shared" si="10"/>
        <v>-0.60274756951358921</v>
      </c>
    </row>
    <row r="206" spans="1:12" x14ac:dyDescent="0.3">
      <c r="A206" s="2">
        <v>45296</v>
      </c>
      <c r="B206">
        <v>136.271240234375</v>
      </c>
      <c r="C206">
        <f t="shared" si="11"/>
        <v>2.2854271212737406E-2</v>
      </c>
      <c r="K206">
        <f t="shared" si="9"/>
        <v>344.65719604492188</v>
      </c>
      <c r="L206" s="5">
        <f t="shared" si="10"/>
        <v>-0.60461803264768132</v>
      </c>
    </row>
    <row r="207" spans="1:12" x14ac:dyDescent="0.3">
      <c r="A207" s="2">
        <v>45299</v>
      </c>
      <c r="B207">
        <v>139.3856201171875</v>
      </c>
      <c r="C207">
        <f t="shared" si="11"/>
        <v>1.4445564948719049E-2</v>
      </c>
      <c r="K207">
        <f t="shared" si="9"/>
        <v>344.65719604492188</v>
      </c>
      <c r="L207" s="5">
        <f t="shared" si="10"/>
        <v>-0.59558186593318574</v>
      </c>
    </row>
    <row r="208" spans="1:12" x14ac:dyDescent="0.3">
      <c r="A208" s="2">
        <v>45300</v>
      </c>
      <c r="B208">
        <v>141.39912414550781</v>
      </c>
      <c r="C208">
        <f t="shared" si="11"/>
        <v>8.6982111171220611E-3</v>
      </c>
      <c r="K208">
        <f t="shared" si="9"/>
        <v>344.65719604492188</v>
      </c>
      <c r="L208" s="5">
        <f t="shared" si="10"/>
        <v>-0.58973981751108373</v>
      </c>
    </row>
    <row r="209" spans="1:12" x14ac:dyDescent="0.3">
      <c r="A209" s="2">
        <v>45301</v>
      </c>
      <c r="B209">
        <v>142.62904357910159</v>
      </c>
      <c r="C209">
        <f t="shared" si="11"/>
        <v>-9.0410776887577698E-4</v>
      </c>
      <c r="K209">
        <f t="shared" si="9"/>
        <v>344.65719604492188</v>
      </c>
      <c r="L209" s="5">
        <f t="shared" si="10"/>
        <v>-0.58617128783084627</v>
      </c>
    </row>
    <row r="210" spans="1:12" x14ac:dyDescent="0.3">
      <c r="A210" s="2">
        <v>45302</v>
      </c>
      <c r="B210">
        <v>142.5000915527344</v>
      </c>
      <c r="C210">
        <f t="shared" si="11"/>
        <v>3.9673896865214968E-3</v>
      </c>
      <c r="K210">
        <f t="shared" si="9"/>
        <v>344.65719604492188</v>
      </c>
      <c r="L210" s="5">
        <f t="shared" si="10"/>
        <v>-0.58654543358450217</v>
      </c>
    </row>
    <row r="211" spans="1:12" x14ac:dyDescent="0.3">
      <c r="A211" s="2">
        <v>45303</v>
      </c>
      <c r="B211">
        <v>143.06544494628909</v>
      </c>
      <c r="C211">
        <f t="shared" si="11"/>
        <v>-1.1093291262517934E-3</v>
      </c>
      <c r="K211">
        <f t="shared" si="9"/>
        <v>344.65719604492188</v>
      </c>
      <c r="L211" s="5">
        <f t="shared" si="10"/>
        <v>-0.5849050982018601</v>
      </c>
    </row>
    <row r="212" spans="1:12" x14ac:dyDescent="0.3">
      <c r="A212" s="2">
        <v>45307</v>
      </c>
      <c r="B212">
        <v>142.90673828125</v>
      </c>
      <c r="C212">
        <f t="shared" si="11"/>
        <v>-8.2592176251311197E-3</v>
      </c>
      <c r="K212">
        <f t="shared" si="9"/>
        <v>344.65719604492188</v>
      </c>
      <c r="L212" s="5">
        <f t="shared" si="10"/>
        <v>-0.58536557506658338</v>
      </c>
    </row>
    <row r="213" spans="1:12" x14ac:dyDescent="0.3">
      <c r="A213" s="2">
        <v>45308</v>
      </c>
      <c r="B213">
        <v>141.7264404296875</v>
      </c>
      <c r="C213">
        <f t="shared" si="11"/>
        <v>1.4696737273938387E-2</v>
      </c>
      <c r="K213">
        <f t="shared" si="9"/>
        <v>344.65719604492188</v>
      </c>
      <c r="L213" s="5">
        <f t="shared" si="10"/>
        <v>-0.58879013101697963</v>
      </c>
    </row>
    <row r="214" spans="1:12" x14ac:dyDescent="0.3">
      <c r="A214" s="2">
        <v>45309</v>
      </c>
      <c r="B214">
        <v>143.8093566894531</v>
      </c>
      <c r="C214">
        <f t="shared" si="11"/>
        <v>2.0553036757708278E-2</v>
      </c>
      <c r="K214">
        <f t="shared" si="9"/>
        <v>344.65719604492188</v>
      </c>
      <c r="L214" s="5">
        <f t="shared" si="10"/>
        <v>-0.58274668760808557</v>
      </c>
    </row>
    <row r="215" spans="1:12" x14ac:dyDescent="0.3">
      <c r="A215" s="2">
        <v>45310</v>
      </c>
      <c r="B215">
        <v>146.76507568359381</v>
      </c>
      <c r="C215">
        <f t="shared" si="11"/>
        <v>-1.7572576550187635E-3</v>
      </c>
      <c r="K215">
        <f t="shared" si="9"/>
        <v>344.65719604492188</v>
      </c>
      <c r="L215" s="5">
        <f t="shared" si="10"/>
        <v>-0.57417086494121894</v>
      </c>
    </row>
    <row r="216" spans="1:12" x14ac:dyDescent="0.3">
      <c r="A216" s="2">
        <v>45313</v>
      </c>
      <c r="B216">
        <v>146.5071716308594</v>
      </c>
      <c r="C216">
        <f t="shared" si="11"/>
        <v>6.5667905432217101E-3</v>
      </c>
      <c r="K216">
        <f t="shared" si="9"/>
        <v>344.65719604492188</v>
      </c>
      <c r="L216" s="5">
        <f t="shared" si="10"/>
        <v>-0.57491915644853098</v>
      </c>
    </row>
    <row r="217" spans="1:12" x14ac:dyDescent="0.3">
      <c r="A217" s="2">
        <v>45314</v>
      </c>
      <c r="B217">
        <v>147.46925354003909</v>
      </c>
      <c r="C217">
        <f t="shared" si="11"/>
        <v>1.1232499822805934E-2</v>
      </c>
      <c r="K217">
        <f t="shared" si="9"/>
        <v>344.65719604492188</v>
      </c>
      <c r="L217" s="5">
        <f t="shared" si="10"/>
        <v>-0.57212773958499252</v>
      </c>
    </row>
    <row r="218" spans="1:12" x14ac:dyDescent="0.3">
      <c r="A218" s="2">
        <v>45315</v>
      </c>
      <c r="B218">
        <v>149.1257019042969</v>
      </c>
      <c r="C218">
        <f t="shared" si="11"/>
        <v>2.1882100483551686E-2</v>
      </c>
      <c r="K218">
        <f t="shared" si="9"/>
        <v>344.65719604492188</v>
      </c>
      <c r="L218" s="5">
        <f t="shared" si="10"/>
        <v>-0.56732166449569732</v>
      </c>
    </row>
    <row r="219" spans="1:12" x14ac:dyDescent="0.3">
      <c r="A219" s="2">
        <v>45316</v>
      </c>
      <c r="B219">
        <v>152.3888854980469</v>
      </c>
      <c r="C219">
        <f t="shared" si="11"/>
        <v>9.7627325557936762E-4</v>
      </c>
      <c r="K219">
        <f t="shared" si="9"/>
        <v>344.65719604492188</v>
      </c>
      <c r="L219" s="5">
        <f t="shared" si="10"/>
        <v>-0.55785375368113632</v>
      </c>
    </row>
    <row r="220" spans="1:12" x14ac:dyDescent="0.3">
      <c r="A220" s="2">
        <v>45317</v>
      </c>
      <c r="B220">
        <v>152.53765869140619</v>
      </c>
      <c r="C220">
        <f t="shared" si="11"/>
        <v>6.827547628679923E-3</v>
      </c>
      <c r="K220">
        <f t="shared" si="9"/>
        <v>344.65719604492188</v>
      </c>
      <c r="L220" s="5">
        <f t="shared" si="10"/>
        <v>-0.55742209812580046</v>
      </c>
    </row>
    <row r="221" spans="1:12" x14ac:dyDescent="0.3">
      <c r="A221" s="2">
        <v>45320</v>
      </c>
      <c r="B221">
        <v>153.57911682128909</v>
      </c>
      <c r="C221">
        <f t="shared" si="11"/>
        <v>-1.1560303114935439E-2</v>
      </c>
      <c r="K221">
        <f t="shared" si="9"/>
        <v>344.65719604492188</v>
      </c>
      <c r="L221" s="5">
        <f t="shared" si="10"/>
        <v>-0.55440037642135309</v>
      </c>
    </row>
    <row r="222" spans="1:12" x14ac:dyDescent="0.3">
      <c r="A222" s="2">
        <v>45321</v>
      </c>
      <c r="B222">
        <v>151.80369567871091</v>
      </c>
      <c r="C222">
        <f t="shared" si="11"/>
        <v>-7.3505366128142194E-2</v>
      </c>
      <c r="K222">
        <f t="shared" si="9"/>
        <v>344.65719604492188</v>
      </c>
      <c r="L222" s="5">
        <f t="shared" si="10"/>
        <v>-0.55955164313782335</v>
      </c>
    </row>
    <row r="223" spans="1:12" x14ac:dyDescent="0.3">
      <c r="A223" s="2">
        <v>45322</v>
      </c>
      <c r="B223">
        <v>140.64530944824219</v>
      </c>
      <c r="C223">
        <f t="shared" si="11"/>
        <v>6.4175844395732646E-3</v>
      </c>
      <c r="K223">
        <f t="shared" si="9"/>
        <v>344.65719604492188</v>
      </c>
      <c r="L223" s="5">
        <f t="shared" si="10"/>
        <v>-0.59192696086951635</v>
      </c>
    </row>
    <row r="224" spans="1:12" x14ac:dyDescent="0.3">
      <c r="A224" s="2">
        <v>45323</v>
      </c>
      <c r="B224">
        <v>141.54791259765619</v>
      </c>
      <c r="C224">
        <f t="shared" si="11"/>
        <v>5.8157810653262469E-3</v>
      </c>
      <c r="K224">
        <f t="shared" si="9"/>
        <v>344.65719604492188</v>
      </c>
      <c r="L224" s="5">
        <f t="shared" si="10"/>
        <v>-0.5893081176833832</v>
      </c>
    </row>
    <row r="225" spans="1:12" x14ac:dyDescent="0.3">
      <c r="A225" s="2">
        <v>45324</v>
      </c>
      <c r="B225">
        <v>142.3711242675781</v>
      </c>
      <c r="C225">
        <f t="shared" si="11"/>
        <v>9.6837939156954704E-3</v>
      </c>
      <c r="K225">
        <f t="shared" si="9"/>
        <v>344.65719604492188</v>
      </c>
      <c r="L225" s="5">
        <f t="shared" si="10"/>
        <v>-0.58691962361052297</v>
      </c>
    </row>
    <row r="226" spans="1:12" x14ac:dyDescent="0.3">
      <c r="A226" s="2">
        <v>45327</v>
      </c>
      <c r="B226">
        <v>143.74981689453119</v>
      </c>
      <c r="C226">
        <f t="shared" si="11"/>
        <v>3.3121433154001422E-3</v>
      </c>
      <c r="K226">
        <f t="shared" si="9"/>
        <v>344.65719604492188</v>
      </c>
      <c r="L226" s="5">
        <f t="shared" si="10"/>
        <v>-0.58291943837494942</v>
      </c>
    </row>
    <row r="227" spans="1:12" x14ac:dyDescent="0.3">
      <c r="A227" s="2">
        <v>45328</v>
      </c>
      <c r="B227">
        <v>144.22593688964841</v>
      </c>
      <c r="C227">
        <f t="shared" si="11"/>
        <v>8.7337154679901566E-3</v>
      </c>
      <c r="K227">
        <f t="shared" si="9"/>
        <v>344.65719604492188</v>
      </c>
      <c r="L227" s="5">
        <f t="shared" si="10"/>
        <v>-0.58153800778077969</v>
      </c>
    </row>
    <row r="228" spans="1:12" x14ac:dyDescent="0.3">
      <c r="A228" s="2">
        <v>45329</v>
      </c>
      <c r="B228">
        <v>145.4855651855469</v>
      </c>
      <c r="C228">
        <f t="shared" si="11"/>
        <v>3.6815612118549436E-3</v>
      </c>
      <c r="K228">
        <f t="shared" si="9"/>
        <v>344.65719604492188</v>
      </c>
      <c r="L228" s="5">
        <f t="shared" si="10"/>
        <v>-0.57788327980656862</v>
      </c>
    </row>
    <row r="229" spans="1:12" x14ac:dyDescent="0.3">
      <c r="A229" s="2">
        <v>45330</v>
      </c>
      <c r="B229">
        <v>146.02117919921881</v>
      </c>
      <c r="C229">
        <f t="shared" si="11"/>
        <v>2.0377665041666774E-2</v>
      </c>
      <c r="K229">
        <f t="shared" si="9"/>
        <v>344.65719604492188</v>
      </c>
      <c r="L229" s="5">
        <f t="shared" si="10"/>
        <v>-0.57632923126262914</v>
      </c>
    </row>
    <row r="230" spans="1:12" x14ac:dyDescent="0.3">
      <c r="A230" s="2">
        <v>45331</v>
      </c>
      <c r="B230">
        <v>148.99674987792969</v>
      </c>
      <c r="C230">
        <f t="shared" si="11"/>
        <v>-9.9188388811847963E-3</v>
      </c>
      <c r="K230">
        <f t="shared" si="9"/>
        <v>344.65719604492188</v>
      </c>
      <c r="L230" s="5">
        <f t="shared" si="10"/>
        <v>-0.56769581024935345</v>
      </c>
    </row>
    <row r="231" spans="1:12" x14ac:dyDescent="0.3">
      <c r="A231" s="2">
        <v>45334</v>
      </c>
      <c r="B231">
        <v>147.51887512207031</v>
      </c>
      <c r="C231">
        <f t="shared" si="11"/>
        <v>-1.5867523904359818E-2</v>
      </c>
      <c r="K231">
        <f t="shared" si="9"/>
        <v>344.65719604492188</v>
      </c>
      <c r="L231" s="5">
        <f t="shared" si="10"/>
        <v>-0.5719837658551512</v>
      </c>
    </row>
    <row r="232" spans="1:12" x14ac:dyDescent="0.3">
      <c r="A232" s="2">
        <v>45335</v>
      </c>
      <c r="B232">
        <v>145.17811584472659</v>
      </c>
      <c r="C232">
        <f t="shared" si="11"/>
        <v>5.2605562961296481E-3</v>
      </c>
      <c r="K232">
        <f t="shared" si="9"/>
        <v>344.65719604492188</v>
      </c>
      <c r="L232" s="5">
        <f t="shared" si="10"/>
        <v>-0.57877532368189866</v>
      </c>
    </row>
    <row r="233" spans="1:12" x14ac:dyDescent="0.3">
      <c r="A233" s="2">
        <v>45336</v>
      </c>
      <c r="B233">
        <v>145.94183349609381</v>
      </c>
      <c r="C233">
        <f t="shared" si="11"/>
        <v>-2.1747944783826811E-2</v>
      </c>
      <c r="K233">
        <f t="shared" si="9"/>
        <v>344.65719604492188</v>
      </c>
      <c r="L233" s="5">
        <f t="shared" si="10"/>
        <v>-0.57655944755880839</v>
      </c>
    </row>
    <row r="234" spans="1:12" x14ac:dyDescent="0.3">
      <c r="A234" s="2">
        <v>45337</v>
      </c>
      <c r="B234">
        <v>142.76789855957031</v>
      </c>
      <c r="C234">
        <f t="shared" si="11"/>
        <v>-1.5145295158830226E-2</v>
      </c>
      <c r="K234">
        <f t="shared" si="9"/>
        <v>344.65719604492188</v>
      </c>
      <c r="L234" s="5">
        <f t="shared" si="10"/>
        <v>-0.5857684093125326</v>
      </c>
    </row>
    <row r="235" spans="1:12" x14ac:dyDescent="0.3">
      <c r="A235" s="2">
        <v>45338</v>
      </c>
      <c r="B235">
        <v>140.60563659667969</v>
      </c>
      <c r="C235">
        <f t="shared" si="11"/>
        <v>3.1038345015167858E-3</v>
      </c>
      <c r="K235">
        <f t="shared" si="9"/>
        <v>344.65719604492188</v>
      </c>
      <c r="L235" s="5">
        <f t="shared" si="10"/>
        <v>-0.59204206901760603</v>
      </c>
    </row>
    <row r="236" spans="1:12" x14ac:dyDescent="0.3">
      <c r="A236" s="2">
        <v>45342</v>
      </c>
      <c r="B236">
        <v>141.04205322265619</v>
      </c>
      <c r="C236">
        <f t="shared" si="11"/>
        <v>1.1533070542094969E-2</v>
      </c>
      <c r="K236">
        <f t="shared" si="9"/>
        <v>344.65719604492188</v>
      </c>
      <c r="L236" s="5">
        <f t="shared" si="10"/>
        <v>-0.59077583511625542</v>
      </c>
    </row>
    <row r="237" spans="1:12" x14ac:dyDescent="0.3">
      <c r="A237" s="2">
        <v>45343</v>
      </c>
      <c r="B237">
        <v>142.668701171875</v>
      </c>
      <c r="C237">
        <f t="shared" si="11"/>
        <v>1.0289161337574931E-2</v>
      </c>
      <c r="K237">
        <f t="shared" si="9"/>
        <v>344.65719604492188</v>
      </c>
      <c r="L237" s="5">
        <f t="shared" si="10"/>
        <v>-0.58605622395512125</v>
      </c>
    </row>
    <row r="238" spans="1:12" x14ac:dyDescent="0.3">
      <c r="A238" s="2">
        <v>45344</v>
      </c>
      <c r="B238">
        <v>144.13664245605469</v>
      </c>
      <c r="C238">
        <f t="shared" si="11"/>
        <v>-2.0643354919930778E-4</v>
      </c>
      <c r="K238">
        <f t="shared" si="9"/>
        <v>344.65719604492188</v>
      </c>
      <c r="L238" s="5">
        <f t="shared" si="10"/>
        <v>-0.58179708965871058</v>
      </c>
    </row>
    <row r="239" spans="1:12" x14ac:dyDescent="0.3">
      <c r="A239" s="2">
        <v>45345</v>
      </c>
      <c r="B239">
        <v>144.10688781738281</v>
      </c>
      <c r="C239">
        <f t="shared" si="11"/>
        <v>-4.5013288065285435E-2</v>
      </c>
      <c r="K239">
        <f t="shared" si="9"/>
        <v>344.65719604492188</v>
      </c>
      <c r="L239" s="5">
        <f t="shared" si="10"/>
        <v>-0.58188342076977784</v>
      </c>
    </row>
    <row r="240" spans="1:12" x14ac:dyDescent="0.3">
      <c r="A240" s="2">
        <v>45348</v>
      </c>
      <c r="B240">
        <v>137.62016296386719</v>
      </c>
      <c r="C240">
        <f t="shared" si="11"/>
        <v>9.7296008737037896E-3</v>
      </c>
      <c r="K240">
        <f t="shared" si="9"/>
        <v>344.65719604492188</v>
      </c>
      <c r="L240" s="5">
        <f t="shared" si="10"/>
        <v>-0.60070422279553948</v>
      </c>
    </row>
    <row r="241" spans="1:12" x14ac:dyDescent="0.3">
      <c r="A241" s="2">
        <v>45349</v>
      </c>
      <c r="B241">
        <v>138.95915222167969</v>
      </c>
      <c r="C241">
        <f t="shared" si="11"/>
        <v>-1.9057790380777175E-2</v>
      </c>
      <c r="K241">
        <f t="shared" si="9"/>
        <v>344.65719604492188</v>
      </c>
      <c r="L241" s="5">
        <f t="shared" si="10"/>
        <v>-0.59681923425278471</v>
      </c>
    </row>
    <row r="242" spans="1:12" x14ac:dyDescent="0.3">
      <c r="A242" s="2">
        <v>45350</v>
      </c>
      <c r="B242">
        <v>136.31089782714841</v>
      </c>
      <c r="C242">
        <f t="shared" si="11"/>
        <v>1.7099559612598791E-2</v>
      </c>
      <c r="K242">
        <f t="shared" si="9"/>
        <v>344.65719604492188</v>
      </c>
      <c r="L242" s="5">
        <f t="shared" si="10"/>
        <v>-0.60450296877195642</v>
      </c>
    </row>
    <row r="243" spans="1:12" x14ac:dyDescent="0.3">
      <c r="A243" s="2">
        <v>45351</v>
      </c>
      <c r="B243">
        <v>138.6417541503906</v>
      </c>
      <c r="C243">
        <f t="shared" si="11"/>
        <v>-1.2162192800240518E-2</v>
      </c>
      <c r="K243">
        <f t="shared" si="9"/>
        <v>344.65719604492188</v>
      </c>
      <c r="L243" s="5">
        <f t="shared" si="10"/>
        <v>-0.59774014370986661</v>
      </c>
    </row>
    <row r="244" spans="1:12" x14ac:dyDescent="0.3">
      <c r="A244" s="2">
        <v>45352</v>
      </c>
      <c r="B244">
        <v>136.95556640625</v>
      </c>
      <c r="C244">
        <f t="shared" si="11"/>
        <v>-2.8099207622511009E-2</v>
      </c>
      <c r="K244">
        <f t="shared" si="9"/>
        <v>344.65719604492188</v>
      </c>
      <c r="L244" s="5">
        <f t="shared" si="10"/>
        <v>-0.6026325056378643</v>
      </c>
    </row>
    <row r="245" spans="1:12" x14ac:dyDescent="0.3">
      <c r="A245" s="2">
        <v>45355</v>
      </c>
      <c r="B245">
        <v>133.10722351074219</v>
      </c>
      <c r="C245">
        <f t="shared" si="11"/>
        <v>-3.1298881216597447E-3</v>
      </c>
      <c r="K245">
        <f t="shared" si="9"/>
        <v>344.65719604492188</v>
      </c>
      <c r="L245" s="5">
        <f t="shared" si="10"/>
        <v>-0.61379821736438289</v>
      </c>
    </row>
    <row r="246" spans="1:12" x14ac:dyDescent="0.3">
      <c r="A246" s="2">
        <v>45356</v>
      </c>
      <c r="B246">
        <v>132.69061279296881</v>
      </c>
      <c r="C246">
        <f t="shared" si="11"/>
        <v>-9.1194676364296286E-3</v>
      </c>
      <c r="K246">
        <f t="shared" si="9"/>
        <v>344.65719604492188</v>
      </c>
      <c r="L246" s="5">
        <f t="shared" si="10"/>
        <v>-0.61500698573641799</v>
      </c>
    </row>
    <row r="247" spans="1:12" x14ac:dyDescent="0.3">
      <c r="A247" s="2">
        <v>45357</v>
      </c>
      <c r="B247">
        <v>131.48054504394531</v>
      </c>
      <c r="C247">
        <f t="shared" si="11"/>
        <v>2.0217463535092111E-2</v>
      </c>
      <c r="K247">
        <f t="shared" si="9"/>
        <v>344.65719604492188</v>
      </c>
      <c r="L247" s="5">
        <f t="shared" si="10"/>
        <v>-0.61851791707024617</v>
      </c>
    </row>
    <row r="248" spans="1:12" x14ac:dyDescent="0.3">
      <c r="A248" s="2">
        <v>45358</v>
      </c>
      <c r="B248">
        <v>134.13874816894531</v>
      </c>
      <c r="C248">
        <f t="shared" si="11"/>
        <v>7.7638089405234973E-3</v>
      </c>
      <c r="K248">
        <f t="shared" si="9"/>
        <v>344.65719604492188</v>
      </c>
      <c r="L248" s="5">
        <f t="shared" si="10"/>
        <v>-0.61080531696932283</v>
      </c>
    </row>
    <row r="249" spans="1:12" x14ac:dyDescent="0.3">
      <c r="A249" s="2">
        <v>45359</v>
      </c>
      <c r="B249">
        <v>135.18017578125</v>
      </c>
      <c r="C249">
        <f t="shared" si="11"/>
        <v>1.944392520832677E-2</v>
      </c>
      <c r="K249">
        <f t="shared" si="9"/>
        <v>344.65719604492188</v>
      </c>
      <c r="L249" s="5">
        <f t="shared" si="10"/>
        <v>-0.60778368380960512</v>
      </c>
    </row>
    <row r="250" spans="1:12" x14ac:dyDescent="0.3">
      <c r="A250" s="2">
        <v>45362</v>
      </c>
      <c r="B250">
        <v>137.80860900878909</v>
      </c>
      <c r="C250">
        <f t="shared" si="11"/>
        <v>4.8941335392804859E-3</v>
      </c>
      <c r="K250">
        <f t="shared" si="9"/>
        <v>344.65719604492188</v>
      </c>
      <c r="L250" s="5">
        <f t="shared" si="10"/>
        <v>-0.6001574590921136</v>
      </c>
    </row>
    <row r="251" spans="1:12" x14ac:dyDescent="0.3">
      <c r="A251" s="2">
        <v>45363</v>
      </c>
      <c r="B251">
        <v>138.4830627441406</v>
      </c>
      <c r="C251">
        <f t="shared" si="11"/>
        <v>8.2365668219470493E-3</v>
      </c>
      <c r="K251">
        <f t="shared" si="9"/>
        <v>344.65719604492188</v>
      </c>
      <c r="L251" s="5">
        <f t="shared" si="10"/>
        <v>-0.59820057630222523</v>
      </c>
    </row>
    <row r="252" spans="1:12" x14ac:dyDescent="0.3">
      <c r="A252" s="2">
        <v>45364</v>
      </c>
      <c r="B252">
        <v>139.6236877441406</v>
      </c>
      <c r="C252">
        <f t="shared" si="11"/>
        <v>2.5360373090598215E-2</v>
      </c>
      <c r="K252">
        <f t="shared" si="9"/>
        <v>344.65719604492188</v>
      </c>
      <c r="L252" s="5">
        <f t="shared" si="10"/>
        <v>-0.59489112849991865</v>
      </c>
    </row>
    <row r="253" spans="1:12" x14ac:dyDescent="0.3">
      <c r="A253" s="2">
        <v>45365</v>
      </c>
      <c r="B253">
        <v>143.16459655761719</v>
      </c>
      <c r="C253">
        <f t="shared" si="11"/>
        <v>-1.5033730582732323E-2</v>
      </c>
      <c r="K253">
        <f t="shared" si="9"/>
        <v>344.65719604492188</v>
      </c>
      <c r="L253" s="5">
        <f t="shared" si="10"/>
        <v>-0.58461741637636533</v>
      </c>
    </row>
    <row r="254" spans="1:12" x14ac:dyDescent="0.3">
      <c r="A254" s="2">
        <v>45366</v>
      </c>
      <c r="B254">
        <v>141.0122985839844</v>
      </c>
      <c r="C254">
        <f t="shared" si="11"/>
        <v>4.4383513201813114E-2</v>
      </c>
      <c r="K254">
        <f t="shared" si="9"/>
        <v>344.65719604492188</v>
      </c>
      <c r="L254" s="5">
        <f t="shared" si="10"/>
        <v>-0.59086216622732235</v>
      </c>
    </row>
    <row r="255" spans="1:12" x14ac:dyDescent="0.3">
      <c r="A255" s="2">
        <v>45369</v>
      </c>
      <c r="B255">
        <v>147.27091979980469</v>
      </c>
      <c r="C255">
        <f t="shared" si="11"/>
        <v>-3.7716233470135034E-3</v>
      </c>
      <c r="K255">
        <f t="shared" si="9"/>
        <v>344.65719604492188</v>
      </c>
      <c r="L255" s="5">
        <f t="shared" si="10"/>
        <v>-0.5727031917807115</v>
      </c>
    </row>
    <row r="256" spans="1:12" x14ac:dyDescent="0.3">
      <c r="A256" s="2">
        <v>45370</v>
      </c>
      <c r="B256">
        <v>146.71546936035159</v>
      </c>
      <c r="C256">
        <f t="shared" si="11"/>
        <v>1.1898208503356095E-2</v>
      </c>
      <c r="K256">
        <f t="shared" si="9"/>
        <v>344.65719604492188</v>
      </c>
      <c r="L256" s="5">
        <f t="shared" si="10"/>
        <v>-0.5743147943986957</v>
      </c>
    </row>
    <row r="257" spans="1:12" x14ac:dyDescent="0.3">
      <c r="A257" s="2">
        <v>45371</v>
      </c>
      <c r="B257">
        <v>148.46112060546881</v>
      </c>
      <c r="C257">
        <f t="shared" si="11"/>
        <v>-6.2798395156695563E-3</v>
      </c>
      <c r="K257">
        <f t="shared" si="9"/>
        <v>344.65719604492188</v>
      </c>
      <c r="L257" s="5">
        <f t="shared" si="10"/>
        <v>-0.56924990306565748</v>
      </c>
    </row>
    <row r="258" spans="1:12" x14ac:dyDescent="0.3">
      <c r="A258" s="2">
        <v>45372</v>
      </c>
      <c r="B258">
        <v>147.52880859375</v>
      </c>
      <c r="C258">
        <f t="shared" si="11"/>
        <v>2.037100473623106E-2</v>
      </c>
      <c r="K258">
        <f t="shared" ref="K258:K321" si="12">MAX(B258:B997)</f>
        <v>344.65719604492188</v>
      </c>
      <c r="L258" s="5">
        <f t="shared" ref="L258:L321" si="13">B258/K258-1</f>
        <v>-0.57195494454576423</v>
      </c>
    </row>
    <row r="259" spans="1:12" x14ac:dyDescent="0.3">
      <c r="A259" s="2">
        <v>45373</v>
      </c>
      <c r="B259">
        <v>150.53411865234381</v>
      </c>
      <c r="C259">
        <f t="shared" ref="C259:C322" si="14">(B260-B259)/B259</f>
        <v>-4.0849822267799386E-3</v>
      </c>
      <c r="K259">
        <f t="shared" si="12"/>
        <v>344.65719604492188</v>
      </c>
      <c r="L259" s="5">
        <f t="shared" si="13"/>
        <v>-0.56323523669378561</v>
      </c>
    </row>
    <row r="260" spans="1:12" x14ac:dyDescent="0.3">
      <c r="A260" s="2">
        <v>45376</v>
      </c>
      <c r="B260">
        <v>149.919189453125</v>
      </c>
      <c r="C260">
        <f t="shared" si="14"/>
        <v>3.6386383289176241E-3</v>
      </c>
      <c r="K260">
        <f t="shared" si="12"/>
        <v>344.65719604492188</v>
      </c>
      <c r="L260" s="5">
        <f t="shared" si="13"/>
        <v>-0.56501941298917524</v>
      </c>
    </row>
    <row r="261" spans="1:12" x14ac:dyDescent="0.3">
      <c r="A261" s="2">
        <v>45377</v>
      </c>
      <c r="B261">
        <v>150.4646911621094</v>
      </c>
      <c r="C261">
        <f t="shared" si="14"/>
        <v>1.5820130791917208E-3</v>
      </c>
      <c r="K261">
        <f t="shared" si="12"/>
        <v>344.65719604492188</v>
      </c>
      <c r="L261" s="5">
        <f t="shared" si="13"/>
        <v>-0.56343667595294267</v>
      </c>
    </row>
    <row r="262" spans="1:12" x14ac:dyDescent="0.3">
      <c r="A262" s="2">
        <v>45378</v>
      </c>
      <c r="B262">
        <v>150.7027282714844</v>
      </c>
      <c r="C262">
        <f t="shared" si="14"/>
        <v>2.1060190226168214E-3</v>
      </c>
      <c r="K262">
        <f t="shared" si="12"/>
        <v>344.65719604492188</v>
      </c>
      <c r="L262" s="5">
        <f t="shared" si="13"/>
        <v>-0.5627460270644048</v>
      </c>
    </row>
    <row r="263" spans="1:12" x14ac:dyDescent="0.3">
      <c r="A263" s="2">
        <v>45379</v>
      </c>
      <c r="B263">
        <v>151.0201110839844</v>
      </c>
      <c r="C263">
        <f t="shared" si="14"/>
        <v>2.7847117998588102E-2</v>
      </c>
      <c r="K263">
        <f t="shared" si="12"/>
        <v>344.65719604492188</v>
      </c>
      <c r="L263" s="5">
        <f t="shared" si="13"/>
        <v>-0.56182516187968767</v>
      </c>
    </row>
    <row r="264" spans="1:12" x14ac:dyDescent="0.3">
      <c r="A264" s="2">
        <v>45383</v>
      </c>
      <c r="B264">
        <v>155.2255859375</v>
      </c>
      <c r="C264">
        <f t="shared" si="14"/>
        <v>-4.025415065020221E-3</v>
      </c>
      <c r="K264">
        <f t="shared" si="12"/>
        <v>344.65719604492188</v>
      </c>
      <c r="L264" s="5">
        <f t="shared" si="13"/>
        <v>-0.54962325545853907</v>
      </c>
    </row>
    <row r="265" spans="1:12" x14ac:dyDescent="0.3">
      <c r="A265" s="2">
        <v>45384</v>
      </c>
      <c r="B265">
        <v>154.6007385253906</v>
      </c>
      <c r="C265">
        <f t="shared" si="14"/>
        <v>3.2077848272300778E-3</v>
      </c>
      <c r="K265">
        <f t="shared" si="12"/>
        <v>344.65719604492188</v>
      </c>
      <c r="L265" s="5">
        <f t="shared" si="13"/>
        <v>-0.55143620879095101</v>
      </c>
    </row>
    <row r="266" spans="1:12" x14ac:dyDescent="0.3">
      <c r="A266" s="2">
        <v>45385</v>
      </c>
      <c r="B266">
        <v>155.09666442871091</v>
      </c>
      <c r="C266">
        <f t="shared" si="14"/>
        <v>-2.8330307253294589E-2</v>
      </c>
      <c r="K266">
        <f t="shared" si="12"/>
        <v>344.65719604492188</v>
      </c>
      <c r="L266" s="5">
        <f t="shared" si="13"/>
        <v>-0.54999731266746577</v>
      </c>
    </row>
    <row r="267" spans="1:12" x14ac:dyDescent="0.3">
      <c r="A267" s="2">
        <v>45386</v>
      </c>
      <c r="B267">
        <v>150.7027282714844</v>
      </c>
      <c r="C267">
        <f t="shared" si="14"/>
        <v>1.3163327647756788E-2</v>
      </c>
      <c r="K267">
        <f t="shared" si="12"/>
        <v>344.65719604492188</v>
      </c>
      <c r="L267" s="5">
        <f t="shared" si="13"/>
        <v>-0.5627460270644048</v>
      </c>
    </row>
    <row r="268" spans="1:12" x14ac:dyDescent="0.3">
      <c r="A268" s="2">
        <v>45387</v>
      </c>
      <c r="B268">
        <v>152.68647766113281</v>
      </c>
      <c r="C268">
        <f t="shared" si="14"/>
        <v>1.4291066541907274E-2</v>
      </c>
      <c r="K268">
        <f t="shared" si="12"/>
        <v>344.65719604492188</v>
      </c>
      <c r="L268" s="5">
        <f t="shared" si="13"/>
        <v>-0.55699030975337016</v>
      </c>
    </row>
    <row r="269" spans="1:12" x14ac:dyDescent="0.3">
      <c r="A269" s="2">
        <v>45390</v>
      </c>
      <c r="B269">
        <v>154.8685302734375</v>
      </c>
      <c r="C269">
        <f t="shared" si="14"/>
        <v>1.2809149330447585E-2</v>
      </c>
      <c r="K269">
        <f t="shared" si="12"/>
        <v>344.65719604492188</v>
      </c>
      <c r="L269" s="5">
        <f t="shared" si="13"/>
        <v>-0.55065922879134588</v>
      </c>
    </row>
    <row r="270" spans="1:12" x14ac:dyDescent="0.3">
      <c r="A270" s="2">
        <v>45391</v>
      </c>
      <c r="B270">
        <v>156.8522644042969</v>
      </c>
      <c r="C270">
        <f t="shared" si="14"/>
        <v>-3.03527321933931E-3</v>
      </c>
      <c r="K270">
        <f t="shared" si="12"/>
        <v>344.65719604492188</v>
      </c>
      <c r="L270" s="5">
        <f t="shared" si="13"/>
        <v>-0.54490355575267579</v>
      </c>
    </row>
    <row r="271" spans="1:12" x14ac:dyDescent="0.3">
      <c r="A271" s="2">
        <v>45392</v>
      </c>
      <c r="B271">
        <v>156.37617492675781</v>
      </c>
      <c r="C271">
        <f t="shared" si="14"/>
        <v>1.9852718542028903E-2</v>
      </c>
      <c r="K271">
        <f t="shared" si="12"/>
        <v>344.65719604492188</v>
      </c>
      <c r="L271" s="5">
        <f t="shared" si="13"/>
        <v>-0.5462848978021162</v>
      </c>
    </row>
    <row r="272" spans="1:12" x14ac:dyDescent="0.3">
      <c r="A272" s="2">
        <v>45393</v>
      </c>
      <c r="B272">
        <v>159.48066711425781</v>
      </c>
      <c r="C272">
        <f t="shared" si="14"/>
        <v>-9.9507975956123866E-3</v>
      </c>
      <c r="K272">
        <f t="shared" si="12"/>
        <v>344.65719604492188</v>
      </c>
      <c r="L272" s="5">
        <f t="shared" si="13"/>
        <v>-0.53727741957991371</v>
      </c>
    </row>
    <row r="273" spans="1:12" x14ac:dyDescent="0.3">
      <c r="A273" s="2">
        <v>45394</v>
      </c>
      <c r="B273">
        <v>157.8937072753906</v>
      </c>
      <c r="C273">
        <f t="shared" si="14"/>
        <v>-1.7965886598035604E-2</v>
      </c>
      <c r="K273">
        <f t="shared" si="12"/>
        <v>344.65719604492188</v>
      </c>
      <c r="L273" s="5">
        <f t="shared" si="13"/>
        <v>-0.54188187832059342</v>
      </c>
    </row>
    <row r="274" spans="1:12" x14ac:dyDescent="0.3">
      <c r="A274" s="2">
        <v>45397</v>
      </c>
      <c r="B274">
        <v>155.0570068359375</v>
      </c>
      <c r="C274">
        <f t="shared" si="14"/>
        <v>-2.1110399952130872E-3</v>
      </c>
      <c r="K274">
        <f t="shared" si="12"/>
        <v>344.65719604492188</v>
      </c>
      <c r="L274" s="5">
        <f t="shared" si="13"/>
        <v>-0.55011237654319078</v>
      </c>
    </row>
    <row r="275" spans="1:12" x14ac:dyDescent="0.3">
      <c r="A275" s="2">
        <v>45398</v>
      </c>
      <c r="B275">
        <v>154.72967529296881</v>
      </c>
      <c r="C275">
        <f t="shared" si="14"/>
        <v>5.6411189973056578E-3</v>
      </c>
      <c r="K275">
        <f t="shared" si="12"/>
        <v>344.65719604492188</v>
      </c>
      <c r="L275" s="5">
        <f t="shared" si="13"/>
        <v>-0.55106210730965943</v>
      </c>
    </row>
    <row r="276" spans="1:12" x14ac:dyDescent="0.3">
      <c r="A276" s="2">
        <v>45399</v>
      </c>
      <c r="B276">
        <v>155.60252380371091</v>
      </c>
      <c r="C276">
        <f t="shared" si="14"/>
        <v>3.6969602651300915E-3</v>
      </c>
      <c r="K276">
        <f t="shared" si="12"/>
        <v>344.65719604492188</v>
      </c>
      <c r="L276" s="5">
        <f t="shared" si="13"/>
        <v>-0.54852959523459366</v>
      </c>
    </row>
    <row r="277" spans="1:12" x14ac:dyDescent="0.3">
      <c r="A277" s="2">
        <v>45400</v>
      </c>
      <c r="B277">
        <v>156.17778015136719</v>
      </c>
      <c r="C277">
        <f t="shared" si="14"/>
        <v>-1.1050322380452188E-2</v>
      </c>
      <c r="K277">
        <f t="shared" si="12"/>
        <v>344.65719604492188</v>
      </c>
      <c r="L277" s="5">
        <f t="shared" si="13"/>
        <v>-0.54686052708729371</v>
      </c>
    </row>
    <row r="278" spans="1:12" x14ac:dyDescent="0.3">
      <c r="A278" s="2">
        <v>45401</v>
      </c>
      <c r="B278">
        <v>154.45196533203119</v>
      </c>
      <c r="C278">
        <f t="shared" si="14"/>
        <v>1.4320554379478727E-2</v>
      </c>
      <c r="K278">
        <f t="shared" si="12"/>
        <v>344.65719604492188</v>
      </c>
      <c r="L278" s="5">
        <f t="shared" si="13"/>
        <v>-0.55186786434628732</v>
      </c>
    </row>
    <row r="279" spans="1:12" x14ac:dyDescent="0.3">
      <c r="A279" s="2">
        <v>45404</v>
      </c>
      <c r="B279">
        <v>156.66380310058591</v>
      </c>
      <c r="C279">
        <f t="shared" si="14"/>
        <v>1.2472145301909734E-2</v>
      </c>
      <c r="K279">
        <f t="shared" si="12"/>
        <v>344.65719604492188</v>
      </c>
      <c r="L279" s="5">
        <f t="shared" si="13"/>
        <v>-0.54545036372846634</v>
      </c>
    </row>
    <row r="280" spans="1:12" x14ac:dyDescent="0.3">
      <c r="A280" s="2">
        <v>45405</v>
      </c>
      <c r="B280">
        <v>158.61773681640619</v>
      </c>
      <c r="C280">
        <f t="shared" si="14"/>
        <v>7.3789062845716989E-3</v>
      </c>
      <c r="K280">
        <f t="shared" si="12"/>
        <v>344.65719604492188</v>
      </c>
      <c r="L280" s="5">
        <f t="shared" si="13"/>
        <v>-0.53978115461795761</v>
      </c>
    </row>
    <row r="281" spans="1:12" x14ac:dyDescent="0.3">
      <c r="A281" s="2">
        <v>45406</v>
      </c>
      <c r="B281">
        <v>159.78816223144531</v>
      </c>
      <c r="C281">
        <f t="shared" si="14"/>
        <v>-1.9553132642791914E-2</v>
      </c>
      <c r="K281">
        <f t="shared" si="12"/>
        <v>344.65719604492188</v>
      </c>
      <c r="L281" s="5">
        <f t="shared" si="13"/>
        <v>-0.53638524288748968</v>
      </c>
    </row>
    <row r="282" spans="1:12" x14ac:dyDescent="0.3">
      <c r="A282" s="2">
        <v>45407</v>
      </c>
      <c r="B282">
        <v>156.66380310058591</v>
      </c>
      <c r="C282">
        <f t="shared" si="14"/>
        <v>9.9651908193525748E-2</v>
      </c>
      <c r="K282">
        <f t="shared" si="12"/>
        <v>344.65719604492188</v>
      </c>
      <c r="L282" s="5">
        <f t="shared" si="13"/>
        <v>-0.54545036372846634</v>
      </c>
    </row>
    <row r="283" spans="1:12" x14ac:dyDescent="0.3">
      <c r="A283" s="2">
        <v>45408</v>
      </c>
      <c r="B283">
        <v>172.27565002441409</v>
      </c>
      <c r="C283">
        <f t="shared" si="14"/>
        <v>-3.3335379345218227E-2</v>
      </c>
      <c r="K283">
        <f t="shared" si="12"/>
        <v>344.65719604492188</v>
      </c>
      <c r="L283" s="5">
        <f t="shared" si="13"/>
        <v>-0.5001536251053349</v>
      </c>
    </row>
    <row r="284" spans="1:12" x14ac:dyDescent="0.3">
      <c r="A284" s="2">
        <v>45411</v>
      </c>
      <c r="B284">
        <v>166.53277587890619</v>
      </c>
      <c r="C284">
        <f t="shared" si="14"/>
        <v>-1.9416263235882716E-2</v>
      </c>
      <c r="K284">
        <f t="shared" si="12"/>
        <v>344.65719604492188</v>
      </c>
      <c r="L284" s="5">
        <f t="shared" si="13"/>
        <v>-0.51681619362678077</v>
      </c>
    </row>
    <row r="285" spans="1:12" x14ac:dyDescent="0.3">
      <c r="A285" s="2">
        <v>45412</v>
      </c>
      <c r="B285">
        <v>163.29933166503909</v>
      </c>
      <c r="C285">
        <f t="shared" si="14"/>
        <v>5.6485782777675733E-3</v>
      </c>
      <c r="K285">
        <f t="shared" si="12"/>
        <v>344.65719604492188</v>
      </c>
      <c r="L285" s="5">
        <f t="shared" si="13"/>
        <v>-0.52619781760263895</v>
      </c>
    </row>
    <row r="286" spans="1:12" x14ac:dyDescent="0.3">
      <c r="A286" s="2">
        <v>45413</v>
      </c>
      <c r="B286">
        <v>164.22174072265619</v>
      </c>
      <c r="C286">
        <f t="shared" si="14"/>
        <v>1.7454970231646966E-2</v>
      </c>
      <c r="K286">
        <f t="shared" si="12"/>
        <v>344.65719604492188</v>
      </c>
      <c r="L286" s="5">
        <f t="shared" si="13"/>
        <v>-0.52352150888719029</v>
      </c>
    </row>
    <row r="287" spans="1:12" x14ac:dyDescent="0.3">
      <c r="A287" s="2">
        <v>45414</v>
      </c>
      <c r="B287">
        <v>167.0882263183594</v>
      </c>
      <c r="C287">
        <f t="shared" si="14"/>
        <v>3.1460342525961521E-3</v>
      </c>
      <c r="K287">
        <f t="shared" si="12"/>
        <v>344.65719604492188</v>
      </c>
      <c r="L287" s="5">
        <f t="shared" si="13"/>
        <v>-0.51520459100879623</v>
      </c>
    </row>
    <row r="288" spans="1:12" x14ac:dyDescent="0.3">
      <c r="A288" s="2">
        <v>45415</v>
      </c>
      <c r="B288">
        <v>167.6138916015625</v>
      </c>
      <c r="C288">
        <f t="shared" si="14"/>
        <v>4.9707121076283745E-3</v>
      </c>
      <c r="K288">
        <f t="shared" si="12"/>
        <v>344.65719604492188</v>
      </c>
      <c r="L288" s="5">
        <f t="shared" si="13"/>
        <v>-0.5136794080466085</v>
      </c>
    </row>
    <row r="289" spans="1:12" x14ac:dyDescent="0.3">
      <c r="A289" s="2">
        <v>45418</v>
      </c>
      <c r="B289">
        <v>168.4470520019531</v>
      </c>
      <c r="C289">
        <f t="shared" si="14"/>
        <v>1.854801905837555E-2</v>
      </c>
      <c r="K289">
        <f t="shared" si="12"/>
        <v>344.65719604492188</v>
      </c>
      <c r="L289" s="5">
        <f t="shared" si="13"/>
        <v>-0.51126204839199674</v>
      </c>
    </row>
    <row r="290" spans="1:12" x14ac:dyDescent="0.3">
      <c r="A290" s="2">
        <v>45419</v>
      </c>
      <c r="B290">
        <v>171.5714111328125</v>
      </c>
      <c r="C290">
        <f t="shared" si="14"/>
        <v>-1.0521336337692904E-2</v>
      </c>
      <c r="K290">
        <f t="shared" si="12"/>
        <v>344.65719604492188</v>
      </c>
      <c r="L290" s="5">
        <f t="shared" si="13"/>
        <v>-0.50219692755102008</v>
      </c>
    </row>
    <row r="291" spans="1:12" x14ac:dyDescent="0.3">
      <c r="A291" s="2">
        <v>45420</v>
      </c>
      <c r="B291">
        <v>169.76625061035159</v>
      </c>
      <c r="C291">
        <f t="shared" si="14"/>
        <v>2.4538457950128711E-3</v>
      </c>
      <c r="K291">
        <f t="shared" si="12"/>
        <v>344.65719604492188</v>
      </c>
      <c r="L291" s="5">
        <f t="shared" si="13"/>
        <v>-0.50743448110619283</v>
      </c>
    </row>
    <row r="292" spans="1:12" x14ac:dyDescent="0.3">
      <c r="A292" s="2">
        <v>45421</v>
      </c>
      <c r="B292">
        <v>170.1828308105469</v>
      </c>
      <c r="C292">
        <f t="shared" si="14"/>
        <v>-7.5185360987466724E-3</v>
      </c>
      <c r="K292">
        <f t="shared" si="12"/>
        <v>344.65719604492188</v>
      </c>
      <c r="L292" s="5">
        <f t="shared" si="13"/>
        <v>-0.50622580127888683</v>
      </c>
    </row>
    <row r="293" spans="1:12" x14ac:dyDescent="0.3">
      <c r="A293" s="2">
        <v>45422</v>
      </c>
      <c r="B293">
        <v>168.90330505371091</v>
      </c>
      <c r="C293">
        <f t="shared" si="14"/>
        <v>3.5821768183510469E-3</v>
      </c>
      <c r="K293">
        <f t="shared" si="12"/>
        <v>344.65719604492188</v>
      </c>
      <c r="L293" s="5">
        <f t="shared" si="13"/>
        <v>-0.50993826041660129</v>
      </c>
    </row>
    <row r="294" spans="1:12" x14ac:dyDescent="0.3">
      <c r="A294" s="2">
        <v>45425</v>
      </c>
      <c r="B294">
        <v>169.50834655761719</v>
      </c>
      <c r="C294">
        <f t="shared" si="14"/>
        <v>6.0269699094396053E-3</v>
      </c>
      <c r="K294">
        <f t="shared" si="12"/>
        <v>344.65719604492188</v>
      </c>
      <c r="L294" s="5">
        <f t="shared" si="13"/>
        <v>-0.50818277261350486</v>
      </c>
    </row>
    <row r="295" spans="1:12" x14ac:dyDescent="0.3">
      <c r="A295" s="2">
        <v>45426</v>
      </c>
      <c r="B295">
        <v>170.52996826171881</v>
      </c>
      <c r="C295">
        <f t="shared" si="14"/>
        <v>1.1341775105826212E-2</v>
      </c>
      <c r="K295">
        <f t="shared" si="12"/>
        <v>344.65719604492188</v>
      </c>
      <c r="L295" s="5">
        <f t="shared" si="13"/>
        <v>-0.50521860498310245</v>
      </c>
    </row>
    <row r="296" spans="1:12" x14ac:dyDescent="0.3">
      <c r="A296" s="2">
        <v>45427</v>
      </c>
      <c r="B296">
        <v>172.4640808105469</v>
      </c>
      <c r="C296">
        <f t="shared" si="14"/>
        <v>8.9142273914527437E-3</v>
      </c>
      <c r="K296">
        <f t="shared" si="12"/>
        <v>344.65719604492188</v>
      </c>
      <c r="L296" s="5">
        <f t="shared" si="13"/>
        <v>-0.49960690567427379</v>
      </c>
    </row>
    <row r="297" spans="1:12" x14ac:dyDescent="0.3">
      <c r="A297" s="2">
        <v>45428</v>
      </c>
      <c r="B297">
        <v>174.00146484375</v>
      </c>
      <c r="C297">
        <f t="shared" si="14"/>
        <v>1.0602401397482683E-2</v>
      </c>
      <c r="K297">
        <f t="shared" si="12"/>
        <v>344.65719604492188</v>
      </c>
      <c r="L297" s="5">
        <f t="shared" si="13"/>
        <v>-0.49514628784634163</v>
      </c>
    </row>
    <row r="298" spans="1:12" x14ac:dyDescent="0.3">
      <c r="A298" s="2">
        <v>45429</v>
      </c>
      <c r="B298">
        <v>175.84629821777341</v>
      </c>
      <c r="C298">
        <f t="shared" si="14"/>
        <v>6.5995543489422047E-3</v>
      </c>
      <c r="K298">
        <f t="shared" si="12"/>
        <v>344.65719604492188</v>
      </c>
      <c r="L298" s="5">
        <f t="shared" si="13"/>
        <v>-0.48979362614307931</v>
      </c>
    </row>
    <row r="299" spans="1:12" x14ac:dyDescent="0.3">
      <c r="A299" s="2">
        <v>45432</v>
      </c>
      <c r="B299">
        <v>177.0068054199219</v>
      </c>
      <c r="C299">
        <f t="shared" si="14"/>
        <v>6.0516444462984775E-3</v>
      </c>
      <c r="K299">
        <f t="shared" si="12"/>
        <v>344.65719604492188</v>
      </c>
      <c r="L299" s="5">
        <f t="shared" si="13"/>
        <v>-0.4864264914496339</v>
      </c>
    </row>
    <row r="300" spans="1:12" x14ac:dyDescent="0.3">
      <c r="A300" s="2">
        <v>45433</v>
      </c>
      <c r="B300">
        <v>178.07798767089841</v>
      </c>
      <c r="C300">
        <f t="shared" si="14"/>
        <v>-8.5773391911701854E-3</v>
      </c>
      <c r="K300">
        <f t="shared" si="12"/>
        <v>344.65719604492188</v>
      </c>
      <c r="L300" s="5">
        <f t="shared" si="13"/>
        <v>-0.48331852717884904</v>
      </c>
    </row>
    <row r="301" spans="1:12" x14ac:dyDescent="0.3">
      <c r="A301" s="2">
        <v>45434</v>
      </c>
      <c r="B301">
        <v>176.55055236816409</v>
      </c>
      <c r="C301">
        <f t="shared" si="14"/>
        <v>-1.6516950080537447E-2</v>
      </c>
      <c r="K301">
        <f t="shared" si="12"/>
        <v>344.65719604492188</v>
      </c>
      <c r="L301" s="5">
        <f t="shared" si="13"/>
        <v>-0.48775027942502935</v>
      </c>
    </row>
    <row r="302" spans="1:12" x14ac:dyDescent="0.3">
      <c r="A302" s="2">
        <v>45435</v>
      </c>
      <c r="B302">
        <v>173.63447570800781</v>
      </c>
      <c r="C302">
        <f t="shared" si="14"/>
        <v>7.2546584331264633E-3</v>
      </c>
      <c r="K302">
        <f t="shared" si="12"/>
        <v>344.65719604492188</v>
      </c>
      <c r="L302" s="5">
        <f t="shared" si="13"/>
        <v>-0.4962110824885354</v>
      </c>
    </row>
    <row r="303" spans="1:12" x14ac:dyDescent="0.3">
      <c r="A303" s="2">
        <v>45436</v>
      </c>
      <c r="B303">
        <v>174.8941345214844</v>
      </c>
      <c r="C303">
        <f t="shared" si="14"/>
        <v>9.584393879458513E-3</v>
      </c>
      <c r="K303">
        <f t="shared" si="12"/>
        <v>344.65719604492188</v>
      </c>
      <c r="L303" s="5">
        <f t="shared" si="13"/>
        <v>-0.49255626596959523</v>
      </c>
    </row>
    <row r="304" spans="1:12" x14ac:dyDescent="0.3">
      <c r="A304" s="2">
        <v>45440</v>
      </c>
      <c r="B304">
        <v>176.57038879394531</v>
      </c>
      <c r="C304">
        <f t="shared" si="14"/>
        <v>-3.482888494421194E-3</v>
      </c>
      <c r="K304">
        <f t="shared" si="12"/>
        <v>344.65719604492188</v>
      </c>
      <c r="L304" s="5">
        <f t="shared" si="13"/>
        <v>-0.48769272535098462</v>
      </c>
    </row>
    <row r="305" spans="1:12" x14ac:dyDescent="0.3">
      <c r="A305" s="2">
        <v>45441</v>
      </c>
      <c r="B305">
        <v>175.9554138183594</v>
      </c>
      <c r="C305">
        <f t="shared" si="14"/>
        <v>-2.1646087808485419E-2</v>
      </c>
      <c r="K305">
        <f t="shared" si="12"/>
        <v>344.65719604492188</v>
      </c>
      <c r="L305" s="5">
        <f t="shared" si="13"/>
        <v>-0.48947703446346802</v>
      </c>
    </row>
    <row r="306" spans="1:12" x14ac:dyDescent="0.3">
      <c r="A306" s="2">
        <v>45442</v>
      </c>
      <c r="B306">
        <v>172.14666748046881</v>
      </c>
      <c r="C306">
        <f t="shared" si="14"/>
        <v>2.304773243711567E-3</v>
      </c>
      <c r="K306">
        <f t="shared" si="12"/>
        <v>344.65719604492188</v>
      </c>
      <c r="L306" s="5">
        <f t="shared" si="13"/>
        <v>-0.50052785940372013</v>
      </c>
    </row>
    <row r="307" spans="1:12" x14ac:dyDescent="0.3">
      <c r="A307" s="2">
        <v>45443</v>
      </c>
      <c r="B307">
        <v>172.5434265136719</v>
      </c>
      <c r="C307">
        <f t="shared" si="14"/>
        <v>2.6441911012619309E-3</v>
      </c>
      <c r="K307">
        <f t="shared" si="12"/>
        <v>344.65719604492188</v>
      </c>
      <c r="L307" s="5">
        <f t="shared" si="13"/>
        <v>-0.49937668937809454</v>
      </c>
    </row>
    <row r="308" spans="1:12" x14ac:dyDescent="0.3">
      <c r="A308" s="2">
        <v>45446</v>
      </c>
      <c r="B308">
        <v>172.9996643066406</v>
      </c>
      <c r="C308">
        <f t="shared" si="14"/>
        <v>4.0708411384100225E-3</v>
      </c>
      <c r="K308">
        <f t="shared" si="12"/>
        <v>344.65719604492188</v>
      </c>
      <c r="L308" s="5">
        <f t="shared" si="13"/>
        <v>-0.49805294567506375</v>
      </c>
    </row>
    <row r="309" spans="1:12" x14ac:dyDescent="0.3">
      <c r="A309" s="2">
        <v>45447</v>
      </c>
      <c r="B309">
        <v>173.70391845703119</v>
      </c>
      <c r="C309">
        <f t="shared" si="14"/>
        <v>1.1077349861997932E-2</v>
      </c>
      <c r="K309">
        <f t="shared" si="12"/>
        <v>344.65719604492188</v>
      </c>
      <c r="L309" s="5">
        <f t="shared" si="13"/>
        <v>-0.49600959895701413</v>
      </c>
    </row>
    <row r="310" spans="1:12" x14ac:dyDescent="0.3">
      <c r="A310" s="2">
        <v>45448</v>
      </c>
      <c r="B310">
        <v>175.62809753417969</v>
      </c>
      <c r="C310">
        <f t="shared" si="14"/>
        <v>7.2288677209473339E-3</v>
      </c>
      <c r="K310">
        <f t="shared" si="12"/>
        <v>344.65719604492188</v>
      </c>
      <c r="L310" s="5">
        <f t="shared" si="13"/>
        <v>-0.49042672095757234</v>
      </c>
    </row>
    <row r="311" spans="1:12" x14ac:dyDescent="0.3">
      <c r="A311" s="2">
        <v>45449</v>
      </c>
      <c r="B311">
        <v>176.89768981933591</v>
      </c>
      <c r="C311">
        <f t="shared" si="14"/>
        <v>-1.3456806065158741E-2</v>
      </c>
      <c r="K311">
        <f t="shared" si="12"/>
        <v>344.65719604492188</v>
      </c>
      <c r="L311" s="5">
        <f t="shared" si="13"/>
        <v>-0.48674308312924519</v>
      </c>
    </row>
    <row r="312" spans="1:12" x14ac:dyDescent="0.3">
      <c r="A312" s="2">
        <v>45450</v>
      </c>
      <c r="B312">
        <v>174.5172119140625</v>
      </c>
      <c r="C312">
        <f t="shared" si="14"/>
        <v>5.0071870988955061E-3</v>
      </c>
      <c r="K312">
        <f t="shared" si="12"/>
        <v>344.65719604492188</v>
      </c>
      <c r="L312" s="5">
        <f t="shared" si="13"/>
        <v>-0.4936498819211762</v>
      </c>
    </row>
    <row r="313" spans="1:12" x14ac:dyDescent="0.3">
      <c r="A313" s="2">
        <v>45453</v>
      </c>
      <c r="B313">
        <v>175.39105224609381</v>
      </c>
      <c r="C313">
        <f t="shared" si="14"/>
        <v>8.8321054340416046E-3</v>
      </c>
      <c r="K313">
        <f t="shared" si="12"/>
        <v>344.65719604492188</v>
      </c>
      <c r="L313" s="5">
        <f t="shared" si="13"/>
        <v>-0.49111449214240777</v>
      </c>
    </row>
    <row r="314" spans="1:12" x14ac:dyDescent="0.3">
      <c r="A314" s="2">
        <v>45454</v>
      </c>
      <c r="B314">
        <v>176.94012451171881</v>
      </c>
      <c r="C314">
        <f t="shared" si="14"/>
        <v>7.6883752841939365E-3</v>
      </c>
      <c r="K314">
        <f t="shared" si="12"/>
        <v>344.65719604492188</v>
      </c>
      <c r="L314" s="5">
        <f t="shared" si="13"/>
        <v>-0.48661996168315369</v>
      </c>
    </row>
    <row r="315" spans="1:12" x14ac:dyDescent="0.3">
      <c r="A315" s="2">
        <v>45455</v>
      </c>
      <c r="B315">
        <v>178.3005065917969</v>
      </c>
      <c r="C315">
        <f t="shared" si="14"/>
        <v>-1.5705211644707933E-2</v>
      </c>
      <c r="K315">
        <f t="shared" si="12"/>
        <v>344.65719604492188</v>
      </c>
      <c r="L315" s="5">
        <f t="shared" si="13"/>
        <v>-0.48267290328515988</v>
      </c>
    </row>
    <row r="316" spans="1:12" x14ac:dyDescent="0.3">
      <c r="A316" s="2">
        <v>45456</v>
      </c>
      <c r="B316">
        <v>175.50025939941409</v>
      </c>
      <c r="C316">
        <f t="shared" si="14"/>
        <v>9.2226419228307963E-3</v>
      </c>
      <c r="K316">
        <f t="shared" si="12"/>
        <v>344.65719604492188</v>
      </c>
      <c r="L316" s="5">
        <f t="shared" si="13"/>
        <v>-0.49079763482860872</v>
      </c>
    </row>
    <row r="317" spans="1:12" x14ac:dyDescent="0.3">
      <c r="A317" s="2">
        <v>45457</v>
      </c>
      <c r="B317">
        <v>177.11883544921881</v>
      </c>
      <c r="C317">
        <f t="shared" si="14"/>
        <v>2.298568359169399E-3</v>
      </c>
      <c r="K317">
        <f t="shared" si="12"/>
        <v>344.65719604492188</v>
      </c>
      <c r="L317" s="5">
        <f t="shared" si="13"/>
        <v>-0.4861014437483745</v>
      </c>
    </row>
    <row r="318" spans="1:12" x14ac:dyDescent="0.3">
      <c r="A318" s="2">
        <v>45460</v>
      </c>
      <c r="B318">
        <v>177.52595520019531</v>
      </c>
      <c r="C318">
        <f t="shared" si="14"/>
        <v>-1.303271066234021E-2</v>
      </c>
      <c r="K318">
        <f t="shared" si="12"/>
        <v>344.65719604492188</v>
      </c>
      <c r="L318" s="5">
        <f t="shared" si="13"/>
        <v>-0.48492021278715169</v>
      </c>
    </row>
    <row r="319" spans="1:12" x14ac:dyDescent="0.3">
      <c r="A319" s="2">
        <v>45461</v>
      </c>
      <c r="B319">
        <v>175.2123107910156</v>
      </c>
      <c r="C319">
        <f t="shared" si="14"/>
        <v>7.1409076286320476E-3</v>
      </c>
      <c r="K319">
        <f t="shared" si="12"/>
        <v>344.65719604492188</v>
      </c>
      <c r="L319" s="5">
        <f t="shared" si="13"/>
        <v>-0.49163309862191651</v>
      </c>
    </row>
    <row r="320" spans="1:12" x14ac:dyDescent="0.3">
      <c r="A320" s="2">
        <v>45463</v>
      </c>
      <c r="B320">
        <v>176.46348571777341</v>
      </c>
      <c r="C320">
        <f t="shared" si="14"/>
        <v>1.4349169642025645E-2</v>
      </c>
      <c r="K320">
        <f t="shared" si="12"/>
        <v>344.65719604492188</v>
      </c>
      <c r="L320" s="5">
        <f t="shared" si="13"/>
        <v>-0.48800289753772164</v>
      </c>
    </row>
    <row r="321" spans="1:12" x14ac:dyDescent="0.3">
      <c r="A321" s="2">
        <v>45464</v>
      </c>
      <c r="B321">
        <v>178.99559020996091</v>
      </c>
      <c r="C321">
        <f t="shared" si="14"/>
        <v>2.9401597779496313E-3</v>
      </c>
      <c r="K321">
        <f t="shared" si="12"/>
        <v>344.65719604492188</v>
      </c>
      <c r="L321" s="5">
        <f t="shared" si="13"/>
        <v>-0.48065616425826485</v>
      </c>
    </row>
    <row r="322" spans="1:12" x14ac:dyDescent="0.3">
      <c r="A322" s="2">
        <v>45467</v>
      </c>
      <c r="B322">
        <v>179.52186584472659</v>
      </c>
      <c r="C322">
        <f t="shared" si="14"/>
        <v>2.6494786082109638E-2</v>
      </c>
      <c r="K322">
        <f t="shared" ref="K322:K385" si="15">MAX(B322:B1061)</f>
        <v>344.65719604492188</v>
      </c>
      <c r="L322" s="5">
        <f t="shared" ref="L322:L385" si="16">B322/K322-1</f>
        <v>-0.47912921040149092</v>
      </c>
    </row>
    <row r="323" spans="1:12" x14ac:dyDescent="0.3">
      <c r="A323" s="2">
        <v>45468</v>
      </c>
      <c r="B323">
        <v>184.27825927734381</v>
      </c>
      <c r="C323">
        <f t="shared" ref="C323:C386" si="17">(B324-B323)/B323</f>
        <v>-1.1315855280267871E-3</v>
      </c>
      <c r="K323">
        <f t="shared" si="15"/>
        <v>344.65719604492188</v>
      </c>
      <c r="L323" s="5">
        <f t="shared" si="16"/>
        <v>-0.46532885025465887</v>
      </c>
    </row>
    <row r="324" spans="1:12" x14ac:dyDescent="0.3">
      <c r="A324" s="2">
        <v>45469</v>
      </c>
      <c r="B324">
        <v>184.0697326660156</v>
      </c>
      <c r="C324">
        <f t="shared" si="17"/>
        <v>8.0380038653116038E-3</v>
      </c>
      <c r="K324">
        <f t="shared" si="15"/>
        <v>344.65719604492188</v>
      </c>
      <c r="L324" s="5">
        <f t="shared" si="16"/>
        <v>-0.4659338763899642</v>
      </c>
    </row>
    <row r="325" spans="1:12" x14ac:dyDescent="0.3">
      <c r="A325" s="2">
        <v>45470</v>
      </c>
      <c r="B325">
        <v>185.5492858886719</v>
      </c>
      <c r="C325">
        <f t="shared" si="17"/>
        <v>-1.8409546981215514E-2</v>
      </c>
      <c r="K325">
        <f t="shared" si="15"/>
        <v>344.65719604492188</v>
      </c>
      <c r="L325" s="5">
        <f t="shared" si="16"/>
        <v>-0.46164105082405471</v>
      </c>
    </row>
    <row r="326" spans="1:12" x14ac:dyDescent="0.3">
      <c r="A326" s="2">
        <v>45471</v>
      </c>
      <c r="B326">
        <v>182.13340759277341</v>
      </c>
      <c r="C326">
        <f t="shared" si="17"/>
        <v>5.8337197597748613E-3</v>
      </c>
      <c r="K326">
        <f t="shared" si="15"/>
        <v>344.65719604492188</v>
      </c>
      <c r="L326" s="5">
        <f t="shared" si="16"/>
        <v>-0.47155199519166713</v>
      </c>
    </row>
    <row r="327" spans="1:12" x14ac:dyDescent="0.3">
      <c r="A327" s="2">
        <v>45474</v>
      </c>
      <c r="B327">
        <v>183.1959228515625</v>
      </c>
      <c r="C327">
        <f t="shared" si="17"/>
        <v>1.1491073409735746E-2</v>
      </c>
      <c r="K327">
        <f t="shared" si="15"/>
        <v>344.65719604492188</v>
      </c>
      <c r="L327" s="5">
        <f t="shared" si="16"/>
        <v>-0.46846917762400309</v>
      </c>
    </row>
    <row r="328" spans="1:12" x14ac:dyDescent="0.3">
      <c r="A328" s="2">
        <v>45475</v>
      </c>
      <c r="B328">
        <v>185.30104064941409</v>
      </c>
      <c r="C328">
        <f t="shared" si="17"/>
        <v>4.1798801026590405E-3</v>
      </c>
      <c r="K328">
        <f t="shared" si="15"/>
        <v>344.65719604492188</v>
      </c>
      <c r="L328" s="5">
        <f t="shared" si="16"/>
        <v>-0.46236131792454338</v>
      </c>
    </row>
    <row r="329" spans="1:12" x14ac:dyDescent="0.3">
      <c r="A329" s="2">
        <v>45476</v>
      </c>
      <c r="B329">
        <v>186.07557678222659</v>
      </c>
      <c r="C329">
        <f t="shared" si="17"/>
        <v>2.4387581799197026E-2</v>
      </c>
      <c r="K329">
        <f t="shared" si="15"/>
        <v>344.65719604492188</v>
      </c>
      <c r="L329" s="5">
        <f t="shared" si="16"/>
        <v>-0.46011405269491634</v>
      </c>
    </row>
    <row r="330" spans="1:12" x14ac:dyDescent="0.3">
      <c r="A330" s="2">
        <v>45478</v>
      </c>
      <c r="B330">
        <v>190.61351013183591</v>
      </c>
      <c r="C330">
        <f t="shared" si="17"/>
        <v>-7.7099453756455036E-3</v>
      </c>
      <c r="K330">
        <f t="shared" si="15"/>
        <v>344.65719604492188</v>
      </c>
      <c r="L330" s="5">
        <f t="shared" si="16"/>
        <v>-0.44694753999277659</v>
      </c>
    </row>
    <row r="331" spans="1:12" x14ac:dyDescent="0.3">
      <c r="A331" s="2">
        <v>45481</v>
      </c>
      <c r="B331">
        <v>189.1438903808594</v>
      </c>
      <c r="C331">
        <f t="shared" si="17"/>
        <v>-2.0991092580706692E-4</v>
      </c>
      <c r="K331">
        <f t="shared" si="15"/>
        <v>344.65719604492188</v>
      </c>
      <c r="L331" s="5">
        <f t="shared" si="16"/>
        <v>-0.45121154424929866</v>
      </c>
    </row>
    <row r="332" spans="1:12" x14ac:dyDescent="0.3">
      <c r="A332" s="2">
        <v>45482</v>
      </c>
      <c r="B332">
        <v>189.10418701171881</v>
      </c>
      <c r="C332">
        <f t="shared" si="17"/>
        <v>1.1657182381338156E-2</v>
      </c>
      <c r="K332">
        <f t="shared" si="15"/>
        <v>344.65719604492188</v>
      </c>
      <c r="L332" s="5">
        <f t="shared" si="16"/>
        <v>-0.45132674094211755</v>
      </c>
    </row>
    <row r="333" spans="1:12" x14ac:dyDescent="0.3">
      <c r="A333" s="2">
        <v>45483</v>
      </c>
      <c r="B333">
        <v>191.30860900878909</v>
      </c>
      <c r="C333">
        <f t="shared" si="17"/>
        <v>-2.7821032109731504E-2</v>
      </c>
      <c r="K333">
        <f t="shared" si="15"/>
        <v>344.65719604492188</v>
      </c>
      <c r="L333" s="5">
        <f t="shared" si="16"/>
        <v>-0.44493075669351656</v>
      </c>
    </row>
    <row r="334" spans="1:12" x14ac:dyDescent="0.3">
      <c r="A334" s="2">
        <v>45484</v>
      </c>
      <c r="B334">
        <v>185.9862060546875</v>
      </c>
      <c r="C334">
        <f t="shared" si="17"/>
        <v>-2.7763210661072893E-3</v>
      </c>
      <c r="K334">
        <f t="shared" si="15"/>
        <v>344.65719604492188</v>
      </c>
      <c r="L334" s="5">
        <f t="shared" si="16"/>
        <v>-0.46037335593467066</v>
      </c>
    </row>
    <row r="335" spans="1:12" x14ac:dyDescent="0.3">
      <c r="A335" s="2">
        <v>45485</v>
      </c>
      <c r="B335">
        <v>185.4698486328125</v>
      </c>
      <c r="C335">
        <f t="shared" si="17"/>
        <v>7.5491042663104009E-3</v>
      </c>
      <c r="K335">
        <f t="shared" si="15"/>
        <v>344.65719604492188</v>
      </c>
      <c r="L335" s="5">
        <f t="shared" si="16"/>
        <v>-0.46187153275442194</v>
      </c>
    </row>
    <row r="336" spans="1:12" x14ac:dyDescent="0.3">
      <c r="A336" s="2">
        <v>45488</v>
      </c>
      <c r="B336">
        <v>186.86997985839841</v>
      </c>
      <c r="C336">
        <f t="shared" si="17"/>
        <v>-1.4294205195174142E-2</v>
      </c>
      <c r="K336">
        <f t="shared" si="15"/>
        <v>344.65719604492188</v>
      </c>
      <c r="L336" s="5">
        <f t="shared" si="16"/>
        <v>-0.45780914484651536</v>
      </c>
    </row>
    <row r="337" spans="1:12" x14ac:dyDescent="0.3">
      <c r="A337" s="2">
        <v>45489</v>
      </c>
      <c r="B337">
        <v>184.1988220214844</v>
      </c>
      <c r="C337">
        <f t="shared" si="17"/>
        <v>-1.5525544386875388E-2</v>
      </c>
      <c r="K337">
        <f t="shared" si="15"/>
        <v>344.65719604492188</v>
      </c>
      <c r="L337" s="5">
        <f t="shared" si="16"/>
        <v>-0.46555933218502621</v>
      </c>
    </row>
    <row r="338" spans="1:12" x14ac:dyDescent="0.3">
      <c r="A338" s="2">
        <v>45490</v>
      </c>
      <c r="B338">
        <v>181.33903503417969</v>
      </c>
      <c r="C338">
        <f t="shared" si="17"/>
        <v>-1.8617858027883159E-2</v>
      </c>
      <c r="K338">
        <f t="shared" si="15"/>
        <v>344.65719604492188</v>
      </c>
      <c r="L338" s="5">
        <f t="shared" si="16"/>
        <v>-0.4738568144953389</v>
      </c>
    </row>
    <row r="339" spans="1:12" x14ac:dyDescent="0.3">
      <c r="A339" s="2">
        <v>45491</v>
      </c>
      <c r="B339">
        <v>177.962890625</v>
      </c>
      <c r="C339">
        <f t="shared" si="17"/>
        <v>9.4847147074656271E-4</v>
      </c>
      <c r="K339">
        <f t="shared" si="15"/>
        <v>344.65719604492188</v>
      </c>
      <c r="L339" s="5">
        <f t="shared" si="16"/>
        <v>-0.48365247362540287</v>
      </c>
    </row>
    <row r="340" spans="1:12" x14ac:dyDescent="0.3">
      <c r="A340" s="2">
        <v>45492</v>
      </c>
      <c r="B340">
        <v>178.1316833496094</v>
      </c>
      <c r="C340">
        <f t="shared" si="17"/>
        <v>2.2074881030882211E-2</v>
      </c>
      <c r="K340">
        <f t="shared" si="15"/>
        <v>344.65719604492188</v>
      </c>
      <c r="L340" s="5">
        <f t="shared" si="16"/>
        <v>-0.48316273272764598</v>
      </c>
    </row>
    <row r="341" spans="1:12" x14ac:dyDescent="0.3">
      <c r="A341" s="2">
        <v>45495</v>
      </c>
      <c r="B341">
        <v>182.06391906738281</v>
      </c>
      <c r="C341">
        <f t="shared" si="17"/>
        <v>1.3635059627927003E-3</v>
      </c>
      <c r="K341">
        <f t="shared" si="15"/>
        <v>344.65719604492188</v>
      </c>
      <c r="L341" s="5">
        <f t="shared" si="16"/>
        <v>-0.4717536115402825</v>
      </c>
    </row>
    <row r="342" spans="1:12" x14ac:dyDescent="0.3">
      <c r="A342" s="2">
        <v>45496</v>
      </c>
      <c r="B342">
        <v>182.3121643066406</v>
      </c>
      <c r="C342">
        <f t="shared" si="17"/>
        <v>-5.0272388456320191E-2</v>
      </c>
      <c r="K342">
        <f t="shared" si="15"/>
        <v>344.65719604492188</v>
      </c>
      <c r="L342" s="5">
        <f t="shared" si="16"/>
        <v>-0.47103334443979394</v>
      </c>
    </row>
    <row r="343" spans="1:12" x14ac:dyDescent="0.3">
      <c r="A343" s="2">
        <v>45497</v>
      </c>
      <c r="B343">
        <v>173.14689636230469</v>
      </c>
      <c r="C343">
        <f t="shared" si="17"/>
        <v>-2.98789453577511E-2</v>
      </c>
      <c r="K343">
        <f t="shared" si="15"/>
        <v>344.65719604492188</v>
      </c>
      <c r="L343" s="5">
        <f t="shared" si="16"/>
        <v>-0.49762576162855721</v>
      </c>
    </row>
    <row r="344" spans="1:12" x14ac:dyDescent="0.3">
      <c r="A344" s="2">
        <v>45498</v>
      </c>
      <c r="B344">
        <v>167.97344970703119</v>
      </c>
      <c r="C344">
        <f t="shared" si="17"/>
        <v>-2.8375841228277902E-3</v>
      </c>
      <c r="K344">
        <f t="shared" si="15"/>
        <v>344.65719604492188</v>
      </c>
      <c r="L344" s="5">
        <f t="shared" si="16"/>
        <v>-0.51263617404599926</v>
      </c>
    </row>
    <row r="345" spans="1:12" x14ac:dyDescent="0.3">
      <c r="A345" s="2">
        <v>45499</v>
      </c>
      <c r="B345">
        <v>167.49681091308591</v>
      </c>
      <c r="C345">
        <f t="shared" si="17"/>
        <v>1.4524730686355564E-2</v>
      </c>
      <c r="K345">
        <f t="shared" si="15"/>
        <v>344.65719604492188</v>
      </c>
      <c r="L345" s="5">
        <f t="shared" si="16"/>
        <v>-0.51401910990056698</v>
      </c>
    </row>
    <row r="346" spans="1:12" x14ac:dyDescent="0.3">
      <c r="A346" s="2">
        <v>45502</v>
      </c>
      <c r="B346">
        <v>169.9296569824219</v>
      </c>
      <c r="C346">
        <f t="shared" si="17"/>
        <v>4.2656092438295296E-3</v>
      </c>
      <c r="K346">
        <f t="shared" si="15"/>
        <v>344.65719604492188</v>
      </c>
      <c r="L346" s="5">
        <f t="shared" si="16"/>
        <v>-0.50696036835315739</v>
      </c>
    </row>
    <row r="347" spans="1:12" x14ac:dyDescent="0.3">
      <c r="A347" s="2">
        <v>45503</v>
      </c>
      <c r="B347">
        <v>170.6545104980469</v>
      </c>
      <c r="C347">
        <f t="shared" si="17"/>
        <v>7.5060707184376073E-3</v>
      </c>
      <c r="K347">
        <f t="shared" si="15"/>
        <v>344.65719604492188</v>
      </c>
      <c r="L347" s="5">
        <f t="shared" si="16"/>
        <v>-0.50485725394283032</v>
      </c>
    </row>
    <row r="348" spans="1:12" x14ac:dyDescent="0.3">
      <c r="A348" s="2">
        <v>45504</v>
      </c>
      <c r="B348">
        <v>171.9354553222656</v>
      </c>
      <c r="C348">
        <f t="shared" si="17"/>
        <v>-4.0427008894772885E-3</v>
      </c>
      <c r="K348">
        <f t="shared" si="15"/>
        <v>344.65719604492188</v>
      </c>
      <c r="L348" s="5">
        <f t="shared" si="16"/>
        <v>-0.50114067747520386</v>
      </c>
    </row>
    <row r="349" spans="1:12" x14ac:dyDescent="0.3">
      <c r="A349" s="2">
        <v>45505</v>
      </c>
      <c r="B349">
        <v>171.24037170410159</v>
      </c>
      <c r="C349">
        <f t="shared" si="17"/>
        <v>-2.3485242785216777E-2</v>
      </c>
      <c r="K349">
        <f t="shared" si="15"/>
        <v>344.65719604492188</v>
      </c>
      <c r="L349" s="5">
        <f t="shared" si="16"/>
        <v>-0.50315741650209889</v>
      </c>
    </row>
    <row r="350" spans="1:12" x14ac:dyDescent="0.3">
      <c r="A350" s="2">
        <v>45506</v>
      </c>
      <c r="B350">
        <v>167.21875</v>
      </c>
      <c r="C350">
        <f t="shared" si="17"/>
        <v>-4.6080573432536145E-2</v>
      </c>
      <c r="K350">
        <f t="shared" si="15"/>
        <v>344.65719604492188</v>
      </c>
      <c r="L350" s="5">
        <f t="shared" si="16"/>
        <v>-0.51482588520158135</v>
      </c>
    </row>
    <row r="351" spans="1:12" x14ac:dyDescent="0.3">
      <c r="A351" s="2">
        <v>45509</v>
      </c>
      <c r="B351">
        <v>159.5132141113281</v>
      </c>
      <c r="C351">
        <f t="shared" si="17"/>
        <v>-6.2264094270250649E-4</v>
      </c>
      <c r="K351">
        <f t="shared" si="15"/>
        <v>344.65719604492188</v>
      </c>
      <c r="L351" s="5">
        <f t="shared" si="16"/>
        <v>-0.53718298662611563</v>
      </c>
    </row>
    <row r="352" spans="1:12" x14ac:dyDescent="0.3">
      <c r="A352" s="2">
        <v>45510</v>
      </c>
      <c r="B352">
        <v>159.41389465332031</v>
      </c>
      <c r="C352">
        <f t="shared" si="17"/>
        <v>1.308274472308895E-3</v>
      </c>
      <c r="K352">
        <f t="shared" si="15"/>
        <v>344.65719604492188</v>
      </c>
      <c r="L352" s="5">
        <f t="shared" si="16"/>
        <v>-0.53747115544762147</v>
      </c>
    </row>
    <row r="353" spans="1:12" x14ac:dyDescent="0.3">
      <c r="A353" s="2">
        <v>45511</v>
      </c>
      <c r="B353">
        <v>159.62245178222659</v>
      </c>
      <c r="C353">
        <f t="shared" si="17"/>
        <v>1.9222222848887263E-2</v>
      </c>
      <c r="K353">
        <f t="shared" si="15"/>
        <v>344.65719604492188</v>
      </c>
      <c r="L353" s="5">
        <f t="shared" si="16"/>
        <v>-0.53686604076758715</v>
      </c>
    </row>
    <row r="354" spans="1:12" x14ac:dyDescent="0.3">
      <c r="A354" s="2">
        <v>45512</v>
      </c>
      <c r="B354">
        <v>162.69075012207031</v>
      </c>
      <c r="C354">
        <f t="shared" si="17"/>
        <v>9.4605181474081076E-3</v>
      </c>
      <c r="K354">
        <f t="shared" si="15"/>
        <v>344.65719604492188</v>
      </c>
      <c r="L354" s="5">
        <f t="shared" si="16"/>
        <v>-0.52796357659433424</v>
      </c>
    </row>
    <row r="355" spans="1:12" x14ac:dyDescent="0.3">
      <c r="A355" s="2">
        <v>45513</v>
      </c>
      <c r="B355">
        <v>164.2298889160156</v>
      </c>
      <c r="C355">
        <f t="shared" si="17"/>
        <v>-8.706797473187991E-3</v>
      </c>
      <c r="K355">
        <f t="shared" si="15"/>
        <v>344.65719604492188</v>
      </c>
      <c r="L355" s="5">
        <f t="shared" si="16"/>
        <v>-0.52349786744446725</v>
      </c>
    </row>
    <row r="356" spans="1:12" x14ac:dyDescent="0.3">
      <c r="A356" s="2">
        <v>45516</v>
      </c>
      <c r="B356">
        <v>162.79997253417969</v>
      </c>
      <c r="C356">
        <f t="shared" si="17"/>
        <v>1.2076846198972381E-2</v>
      </c>
      <c r="K356">
        <f t="shared" si="15"/>
        <v>344.65719604492188</v>
      </c>
      <c r="L356" s="5">
        <f t="shared" si="16"/>
        <v>-0.52764667500817053</v>
      </c>
    </row>
    <row r="357" spans="1:12" x14ac:dyDescent="0.3">
      <c r="A357" s="2">
        <v>45517</v>
      </c>
      <c r="B357">
        <v>164.7660827636719</v>
      </c>
      <c r="C357">
        <f t="shared" si="17"/>
        <v>-2.3503835393416064E-2</v>
      </c>
      <c r="K357">
        <f t="shared" si="15"/>
        <v>344.65719604492188</v>
      </c>
      <c r="L357" s="5">
        <f t="shared" si="16"/>
        <v>-0.5219421365506709</v>
      </c>
    </row>
    <row r="358" spans="1:12" x14ac:dyDescent="0.3">
      <c r="A358" s="2">
        <v>45518</v>
      </c>
      <c r="B358">
        <v>160.89344787597659</v>
      </c>
      <c r="C358">
        <f t="shared" si="17"/>
        <v>7.0357357563261254E-3</v>
      </c>
      <c r="K358">
        <f t="shared" si="15"/>
        <v>344.65719604492188</v>
      </c>
      <c r="L358" s="5">
        <f t="shared" si="16"/>
        <v>-0.5331783298817121</v>
      </c>
    </row>
    <row r="359" spans="1:12" x14ac:dyDescent="0.3">
      <c r="A359" s="2">
        <v>45519</v>
      </c>
      <c r="B359">
        <v>162.02545166015619</v>
      </c>
      <c r="C359">
        <f t="shared" si="17"/>
        <v>9.6219805057213264E-3</v>
      </c>
      <c r="K359">
        <f t="shared" si="15"/>
        <v>344.65719604492188</v>
      </c>
      <c r="L359" s="5">
        <f t="shared" si="16"/>
        <v>-0.52989389596543301</v>
      </c>
    </row>
    <row r="360" spans="1:12" x14ac:dyDescent="0.3">
      <c r="A360" s="2">
        <v>45520</v>
      </c>
      <c r="B360">
        <v>163.58445739746091</v>
      </c>
      <c r="C360">
        <f t="shared" si="17"/>
        <v>2.2216613120578172E-2</v>
      </c>
      <c r="K360">
        <f t="shared" si="15"/>
        <v>344.65719604492188</v>
      </c>
      <c r="L360" s="5">
        <f t="shared" si="16"/>
        <v>-0.52537054419679174</v>
      </c>
    </row>
    <row r="361" spans="1:12" x14ac:dyDescent="0.3">
      <c r="A361" s="2">
        <v>45523</v>
      </c>
      <c r="B361">
        <v>167.21875</v>
      </c>
      <c r="C361">
        <f t="shared" si="17"/>
        <v>3.3255320267243167E-3</v>
      </c>
      <c r="K361">
        <f t="shared" si="15"/>
        <v>344.65719604492188</v>
      </c>
      <c r="L361" s="5">
        <f t="shared" si="16"/>
        <v>-0.51482588520158135</v>
      </c>
    </row>
    <row r="362" spans="1:12" x14ac:dyDescent="0.3">
      <c r="A362" s="2">
        <v>45524</v>
      </c>
      <c r="B362">
        <v>167.77484130859381</v>
      </c>
      <c r="C362">
        <f t="shared" si="17"/>
        <v>-7.8716417899591662E-3</v>
      </c>
      <c r="K362">
        <f t="shared" si="15"/>
        <v>344.65719604492188</v>
      </c>
      <c r="L362" s="5">
        <f t="shared" si="16"/>
        <v>-0.51321242314428162</v>
      </c>
    </row>
    <row r="363" spans="1:12" x14ac:dyDescent="0.3">
      <c r="A363" s="2">
        <v>45525</v>
      </c>
      <c r="B363">
        <v>166.45417785644531</v>
      </c>
      <c r="C363">
        <f t="shared" si="17"/>
        <v>-1.2766184475366876E-2</v>
      </c>
      <c r="K363">
        <f t="shared" si="15"/>
        <v>344.65719604492188</v>
      </c>
      <c r="L363" s="5">
        <f t="shared" si="16"/>
        <v>-0.51704424057709208</v>
      </c>
    </row>
    <row r="364" spans="1:12" x14ac:dyDescent="0.3">
      <c r="A364" s="2">
        <v>45526</v>
      </c>
      <c r="B364">
        <v>164.3291931152344</v>
      </c>
      <c r="C364">
        <f t="shared" si="17"/>
        <v>1.1722759450365187E-2</v>
      </c>
      <c r="K364">
        <f t="shared" si="15"/>
        <v>344.65719604492188</v>
      </c>
      <c r="L364" s="5">
        <f t="shared" si="16"/>
        <v>-0.52320974289532574</v>
      </c>
    </row>
    <row r="365" spans="1:12" x14ac:dyDescent="0.3">
      <c r="A365" s="2">
        <v>45527</v>
      </c>
      <c r="B365">
        <v>166.2555847167969</v>
      </c>
      <c r="C365">
        <f t="shared" si="17"/>
        <v>2.9863085764085967E-3</v>
      </c>
      <c r="K365">
        <f t="shared" si="15"/>
        <v>344.65719604492188</v>
      </c>
      <c r="L365" s="5">
        <f t="shared" si="16"/>
        <v>-0.51762044540301</v>
      </c>
    </row>
    <row r="366" spans="1:12" x14ac:dyDescent="0.3">
      <c r="A366" s="2">
        <v>45530</v>
      </c>
      <c r="B366">
        <v>166.7520751953125</v>
      </c>
      <c r="C366">
        <f t="shared" si="17"/>
        <v>-9.2299197749981157E-3</v>
      </c>
      <c r="K366">
        <f t="shared" si="15"/>
        <v>344.65719604492188</v>
      </c>
      <c r="L366" s="5">
        <f t="shared" si="16"/>
        <v>-0.51617991120203277</v>
      </c>
    </row>
    <row r="367" spans="1:12" x14ac:dyDescent="0.3">
      <c r="A367" s="2">
        <v>45531</v>
      </c>
      <c r="B367">
        <v>165.21296691894531</v>
      </c>
      <c r="C367">
        <f t="shared" si="17"/>
        <v>-1.12995764355917E-2</v>
      </c>
      <c r="K367">
        <f t="shared" si="15"/>
        <v>344.65719604492188</v>
      </c>
      <c r="L367" s="5">
        <f t="shared" si="16"/>
        <v>-0.52064553180717055</v>
      </c>
    </row>
    <row r="368" spans="1:12" x14ac:dyDescent="0.3">
      <c r="A368" s="2">
        <v>45532</v>
      </c>
      <c r="B368">
        <v>163.34613037109381</v>
      </c>
      <c r="C368">
        <f t="shared" si="17"/>
        <v>-6.686842810292159E-3</v>
      </c>
      <c r="K368">
        <f t="shared" si="15"/>
        <v>344.65719604492188</v>
      </c>
      <c r="L368" s="5">
        <f t="shared" si="16"/>
        <v>-0.52606203426025777</v>
      </c>
    </row>
    <row r="369" spans="1:12" x14ac:dyDescent="0.3">
      <c r="A369" s="2">
        <v>45533</v>
      </c>
      <c r="B369">
        <v>162.25386047363281</v>
      </c>
      <c r="C369">
        <f t="shared" si="17"/>
        <v>1.0465070241893779E-2</v>
      </c>
      <c r="K369">
        <f t="shared" si="15"/>
        <v>344.65719604492188</v>
      </c>
      <c r="L369" s="5">
        <f t="shared" si="16"/>
        <v>-0.52923118293898908</v>
      </c>
    </row>
    <row r="370" spans="1:12" x14ac:dyDescent="0.3">
      <c r="A370" s="2">
        <v>45534</v>
      </c>
      <c r="B370">
        <v>163.95185852050781</v>
      </c>
      <c r="C370">
        <f t="shared" si="17"/>
        <v>-3.9367694861927267E-2</v>
      </c>
      <c r="K370">
        <f t="shared" si="15"/>
        <v>344.65719604492188</v>
      </c>
      <c r="L370" s="5">
        <f t="shared" si="16"/>
        <v>-0.52430455420075228</v>
      </c>
    </row>
    <row r="371" spans="1:12" x14ac:dyDescent="0.3">
      <c r="A371" s="2">
        <v>45538</v>
      </c>
      <c r="B371">
        <v>157.49745178222659</v>
      </c>
      <c r="C371">
        <f t="shared" si="17"/>
        <v>-5.0439106612996699E-3</v>
      </c>
      <c r="K371">
        <f t="shared" si="15"/>
        <v>344.65719604492188</v>
      </c>
      <c r="L371" s="5">
        <f t="shared" si="16"/>
        <v>-0.54303158735818557</v>
      </c>
    </row>
    <row r="372" spans="1:12" x14ac:dyDescent="0.3">
      <c r="A372" s="2">
        <v>45539</v>
      </c>
      <c r="B372">
        <v>156.70304870605469</v>
      </c>
      <c r="C372">
        <f t="shared" si="17"/>
        <v>5.0060902514011242E-3</v>
      </c>
      <c r="K372">
        <f t="shared" si="15"/>
        <v>344.65719604492188</v>
      </c>
      <c r="L372" s="5">
        <f t="shared" si="16"/>
        <v>-0.54533649520658678</v>
      </c>
    </row>
    <row r="373" spans="1:12" x14ac:dyDescent="0.3">
      <c r="A373" s="2">
        <v>45540</v>
      </c>
      <c r="B373">
        <v>157.4875183105469</v>
      </c>
      <c r="C373">
        <f t="shared" si="17"/>
        <v>-4.0794384165566987E-2</v>
      </c>
      <c r="K373">
        <f t="shared" si="15"/>
        <v>344.65719604492188</v>
      </c>
      <c r="L373" s="5">
        <f t="shared" si="16"/>
        <v>-0.54306040866757266</v>
      </c>
    </row>
    <row r="374" spans="1:12" x14ac:dyDescent="0.3">
      <c r="A374" s="2">
        <v>45541</v>
      </c>
      <c r="B374">
        <v>151.06291198730469</v>
      </c>
      <c r="C374">
        <f t="shared" si="17"/>
        <v>-1.5731118370102642E-2</v>
      </c>
      <c r="K374">
        <f t="shared" si="15"/>
        <v>344.65719604492188</v>
      </c>
      <c r="L374" s="5">
        <f t="shared" si="16"/>
        <v>-0.56170097789684492</v>
      </c>
    </row>
    <row r="375" spans="1:12" x14ac:dyDescent="0.3">
      <c r="A375" s="2">
        <v>45544</v>
      </c>
      <c r="B375">
        <v>148.6865234375</v>
      </c>
      <c r="C375">
        <f t="shared" si="17"/>
        <v>3.1429591803222943E-3</v>
      </c>
      <c r="K375">
        <f t="shared" si="15"/>
        <v>344.65719604492188</v>
      </c>
      <c r="L375" s="5">
        <f t="shared" si="16"/>
        <v>-0.56859591169504986</v>
      </c>
    </row>
    <row r="376" spans="1:12" x14ac:dyDescent="0.3">
      <c r="A376" s="2">
        <v>45545</v>
      </c>
      <c r="B376">
        <v>149.1538391113281</v>
      </c>
      <c r="C376">
        <f t="shared" si="17"/>
        <v>1.4265756557632518E-2</v>
      </c>
      <c r="K376">
        <f t="shared" si="15"/>
        <v>344.65719604492188</v>
      </c>
      <c r="L376" s="5">
        <f t="shared" si="16"/>
        <v>-0.56724002625528325</v>
      </c>
    </row>
    <row r="377" spans="1:12" x14ac:dyDescent="0.3">
      <c r="A377" s="2">
        <v>45546</v>
      </c>
      <c r="B377">
        <v>151.28163146972659</v>
      </c>
      <c r="C377">
        <f t="shared" si="17"/>
        <v>2.228073871995977E-2</v>
      </c>
      <c r="K377">
        <f t="shared" si="15"/>
        <v>344.65719604492188</v>
      </c>
      <c r="L377" s="5">
        <f t="shared" si="16"/>
        <v>-0.56106637782195357</v>
      </c>
    </row>
    <row r="378" spans="1:12" x14ac:dyDescent="0.3">
      <c r="A378" s="2">
        <v>45547</v>
      </c>
      <c r="B378">
        <v>154.65229797363281</v>
      </c>
      <c r="C378">
        <f t="shared" si="17"/>
        <v>1.8194639266965445E-2</v>
      </c>
      <c r="K378">
        <f t="shared" si="15"/>
        <v>344.65719604492188</v>
      </c>
      <c r="L378" s="5">
        <f t="shared" si="16"/>
        <v>-0.55128661247079913</v>
      </c>
    </row>
    <row r="379" spans="1:12" x14ac:dyDescent="0.3">
      <c r="A379" s="2">
        <v>45548</v>
      </c>
      <c r="B379">
        <v>157.46614074707031</v>
      </c>
      <c r="C379">
        <f t="shared" si="17"/>
        <v>3.9150359104394728E-3</v>
      </c>
      <c r="K379">
        <f t="shared" si="15"/>
        <v>344.65719604492188</v>
      </c>
      <c r="L379" s="5">
        <f t="shared" si="16"/>
        <v>-0.54312243425044715</v>
      </c>
    </row>
    <row r="380" spans="1:12" x14ac:dyDescent="0.3">
      <c r="A380" s="2">
        <v>45551</v>
      </c>
      <c r="B380">
        <v>158.08262634277341</v>
      </c>
      <c r="C380">
        <f t="shared" si="17"/>
        <v>8.1135293732120112E-3</v>
      </c>
      <c r="K380">
        <f t="shared" si="15"/>
        <v>344.65719604492188</v>
      </c>
      <c r="L380" s="5">
        <f t="shared" si="16"/>
        <v>-0.54133374217386354</v>
      </c>
    </row>
    <row r="381" spans="1:12" x14ac:dyDescent="0.3">
      <c r="A381" s="2">
        <v>45552</v>
      </c>
      <c r="B381">
        <v>159.365234375</v>
      </c>
      <c r="C381">
        <f t="shared" si="17"/>
        <v>3.306632606164415E-3</v>
      </c>
      <c r="K381">
        <f t="shared" si="15"/>
        <v>344.65719604492188</v>
      </c>
      <c r="L381" s="5">
        <f t="shared" si="16"/>
        <v>-0.5376123400184899</v>
      </c>
    </row>
    <row r="382" spans="1:12" x14ac:dyDescent="0.3">
      <c r="A382" s="2">
        <v>45553</v>
      </c>
      <c r="B382">
        <v>159.89219665527341</v>
      </c>
      <c r="C382">
        <f t="shared" si="17"/>
        <v>1.5111232839585821E-2</v>
      </c>
      <c r="K382">
        <f t="shared" si="15"/>
        <v>344.65719604492188</v>
      </c>
      <c r="L382" s="5">
        <f t="shared" si="16"/>
        <v>-0.5360833939053069</v>
      </c>
    </row>
    <row r="383" spans="1:12" x14ac:dyDescent="0.3">
      <c r="A383" s="2">
        <v>45554</v>
      </c>
      <c r="B383">
        <v>162.30836486816409</v>
      </c>
      <c r="C383">
        <f t="shared" si="17"/>
        <v>8.5763512615963256E-3</v>
      </c>
      <c r="K383">
        <f t="shared" si="15"/>
        <v>344.65719604492188</v>
      </c>
      <c r="L383" s="5">
        <f t="shared" si="16"/>
        <v>-0.52907304205245964</v>
      </c>
    </row>
    <row r="384" spans="1:12" x14ac:dyDescent="0.3">
      <c r="A384" s="2">
        <v>45555</v>
      </c>
      <c r="B384">
        <v>163.70037841796881</v>
      </c>
      <c r="C384">
        <f t="shared" si="17"/>
        <v>-9.5360220307698952E-3</v>
      </c>
      <c r="K384">
        <f t="shared" si="15"/>
        <v>344.65719604492188</v>
      </c>
      <c r="L384" s="5">
        <f t="shared" si="16"/>
        <v>-0.52503420704254655</v>
      </c>
    </row>
    <row r="385" spans="1:12" x14ac:dyDescent="0.3">
      <c r="A385" s="2">
        <v>45558</v>
      </c>
      <c r="B385">
        <v>162.13932800292969</v>
      </c>
      <c r="C385">
        <f t="shared" si="17"/>
        <v>3.4954008403757725E-3</v>
      </c>
      <c r="K385">
        <f t="shared" si="15"/>
        <v>344.65719604492188</v>
      </c>
      <c r="L385" s="5">
        <f t="shared" si="16"/>
        <v>-0.52956349130805092</v>
      </c>
    </row>
    <row r="386" spans="1:12" x14ac:dyDescent="0.3">
      <c r="A386" s="2">
        <v>45559</v>
      </c>
      <c r="B386">
        <v>162.70606994628909</v>
      </c>
      <c r="C386">
        <f t="shared" si="17"/>
        <v>-3.9722013428548112E-3</v>
      </c>
      <c r="K386">
        <f t="shared" ref="K386:K449" si="18">MAX(B386:B1125)</f>
        <v>344.65719604492188</v>
      </c>
      <c r="L386" s="5">
        <f t="shared" ref="L386:L449" si="19">B386/K386-1</f>
        <v>-0.52791912714022571</v>
      </c>
    </row>
    <row r="387" spans="1:12" x14ac:dyDescent="0.3">
      <c r="A387" s="2">
        <v>45560</v>
      </c>
      <c r="B387">
        <v>162.05976867675781</v>
      </c>
      <c r="C387">
        <f t="shared" ref="C387:C450" si="20">(B388-B387)/B387</f>
        <v>5.1536854886599804E-3</v>
      </c>
      <c r="K387">
        <f t="shared" si="18"/>
        <v>344.65719604492188</v>
      </c>
      <c r="L387" s="5">
        <f t="shared" si="19"/>
        <v>-0.52979432741733534</v>
      </c>
    </row>
    <row r="388" spans="1:12" x14ac:dyDescent="0.3">
      <c r="A388" s="2">
        <v>45561</v>
      </c>
      <c r="B388">
        <v>162.89497375488281</v>
      </c>
      <c r="C388">
        <f t="shared" si="20"/>
        <v>8.9117262588071511E-3</v>
      </c>
      <c r="K388">
        <f t="shared" si="18"/>
        <v>344.65719604492188</v>
      </c>
      <c r="L388" s="5">
        <f t="shared" si="19"/>
        <v>-0.52737103526586049</v>
      </c>
    </row>
    <row r="389" spans="1:12" x14ac:dyDescent="0.3">
      <c r="A389" s="2">
        <v>45562</v>
      </c>
      <c r="B389">
        <v>164.3466491699219</v>
      </c>
      <c r="C389">
        <f t="shared" si="20"/>
        <v>1.1494972156668387E-2</v>
      </c>
      <c r="K389">
        <f t="shared" si="18"/>
        <v>344.65719604492188</v>
      </c>
      <c r="L389" s="5">
        <f t="shared" si="19"/>
        <v>-0.52315909531016636</v>
      </c>
    </row>
    <row r="390" spans="1:12" x14ac:dyDescent="0.3">
      <c r="A390" s="2">
        <v>45565</v>
      </c>
      <c r="B390">
        <v>166.2358093261719</v>
      </c>
      <c r="C390">
        <f t="shared" si="20"/>
        <v>7.3568786985641404E-3</v>
      </c>
      <c r="K390">
        <f t="shared" si="18"/>
        <v>344.65719604492188</v>
      </c>
      <c r="L390" s="5">
        <f t="shared" si="19"/>
        <v>-0.51767782238759619</v>
      </c>
    </row>
    <row r="391" spans="1:12" x14ac:dyDescent="0.3">
      <c r="A391" s="2">
        <v>45566</v>
      </c>
      <c r="B391">
        <v>167.45878601074219</v>
      </c>
      <c r="C391">
        <f t="shared" si="20"/>
        <v>-6.5905945002538921E-3</v>
      </c>
      <c r="K391">
        <f t="shared" si="18"/>
        <v>344.65719604492188</v>
      </c>
      <c r="L391" s="5">
        <f t="shared" si="19"/>
        <v>-0.51412943663327437</v>
      </c>
    </row>
    <row r="392" spans="1:12" x14ac:dyDescent="0.3">
      <c r="A392" s="2">
        <v>45567</v>
      </c>
      <c r="B392">
        <v>166.3551330566406</v>
      </c>
      <c r="C392">
        <f t="shared" si="20"/>
        <v>-5.9776651608595827E-4</v>
      </c>
      <c r="K392">
        <f t="shared" si="18"/>
        <v>344.65719604492188</v>
      </c>
      <c r="L392" s="5">
        <f t="shared" si="19"/>
        <v>-0.51733161249603432</v>
      </c>
    </row>
    <row r="393" spans="1:12" x14ac:dyDescent="0.3">
      <c r="A393" s="2">
        <v>45568</v>
      </c>
      <c r="B393">
        <v>166.25569152832031</v>
      </c>
      <c r="C393">
        <f t="shared" si="20"/>
        <v>8.0738028363945905E-3</v>
      </c>
      <c r="K393">
        <f t="shared" si="18"/>
        <v>344.65719604492188</v>
      </c>
      <c r="L393" s="5">
        <f t="shared" si="19"/>
        <v>-0.51762013549645747</v>
      </c>
    </row>
    <row r="394" spans="1:12" x14ac:dyDescent="0.3">
      <c r="A394" s="2">
        <v>45569</v>
      </c>
      <c r="B394">
        <v>167.59800720214841</v>
      </c>
      <c r="C394">
        <f t="shared" si="20"/>
        <v>-2.4739197700447659E-2</v>
      </c>
      <c r="K394">
        <f t="shared" si="18"/>
        <v>344.65719604492188</v>
      </c>
      <c r="L394" s="5">
        <f t="shared" si="19"/>
        <v>-0.51372549557820912</v>
      </c>
    </row>
    <row r="395" spans="1:12" x14ac:dyDescent="0.3">
      <c r="A395" s="2">
        <v>45572</v>
      </c>
      <c r="B395">
        <v>163.45176696777341</v>
      </c>
      <c r="C395">
        <f t="shared" si="20"/>
        <v>7.9690253197941437E-3</v>
      </c>
      <c r="K395">
        <f t="shared" si="18"/>
        <v>344.65719604492188</v>
      </c>
      <c r="L395" s="5">
        <f t="shared" si="19"/>
        <v>-0.52575553667978703</v>
      </c>
    </row>
    <row r="396" spans="1:12" x14ac:dyDescent="0.3">
      <c r="A396" s="2">
        <v>45573</v>
      </c>
      <c r="B396">
        <v>164.75431823730469</v>
      </c>
      <c r="C396">
        <f t="shared" si="20"/>
        <v>-1.5932536711128376E-2</v>
      </c>
      <c r="K396">
        <f t="shared" si="18"/>
        <v>344.65719604492188</v>
      </c>
      <c r="L396" s="5">
        <f t="shared" si="19"/>
        <v>-0.52197627054381601</v>
      </c>
    </row>
    <row r="397" spans="1:12" x14ac:dyDescent="0.3">
      <c r="A397" s="2">
        <v>45574</v>
      </c>
      <c r="B397">
        <v>162.1293640136719</v>
      </c>
      <c r="C397">
        <f t="shared" si="20"/>
        <v>7.3588441184304254E-4</v>
      </c>
      <c r="K397">
        <f t="shared" si="18"/>
        <v>344.65719604492188</v>
      </c>
      <c r="L397" s="5">
        <f t="shared" si="19"/>
        <v>-0.52959240116216721</v>
      </c>
    </row>
    <row r="398" spans="1:12" x14ac:dyDescent="0.3">
      <c r="A398" s="2">
        <v>45575</v>
      </c>
      <c r="B398">
        <v>162.24867248535159</v>
      </c>
      <c r="C398">
        <f t="shared" si="20"/>
        <v>8.2119759856198599E-3</v>
      </c>
      <c r="K398">
        <f t="shared" si="18"/>
        <v>344.65719604492188</v>
      </c>
      <c r="L398" s="5">
        <f t="shared" si="19"/>
        <v>-0.5292462355429699</v>
      </c>
    </row>
    <row r="399" spans="1:12" x14ac:dyDescent="0.3">
      <c r="A399" s="2">
        <v>45576</v>
      </c>
      <c r="B399">
        <v>163.5810546875</v>
      </c>
      <c r="C399">
        <f t="shared" si="20"/>
        <v>1.1123322458165753E-2</v>
      </c>
      <c r="K399">
        <f t="shared" si="18"/>
        <v>344.65719604492188</v>
      </c>
      <c r="L399" s="5">
        <f t="shared" si="19"/>
        <v>-0.52538041693410864</v>
      </c>
    </row>
    <row r="400" spans="1:12" x14ac:dyDescent="0.3">
      <c r="A400" s="2">
        <v>45579</v>
      </c>
      <c r="B400">
        <v>165.40061950683591</v>
      </c>
      <c r="C400">
        <f t="shared" si="20"/>
        <v>3.3061815853676572E-3</v>
      </c>
      <c r="K400">
        <f t="shared" si="18"/>
        <v>344.65719604492188</v>
      </c>
      <c r="L400" s="5">
        <f t="shared" si="19"/>
        <v>-0.5201010702667066</v>
      </c>
    </row>
    <row r="401" spans="1:12" x14ac:dyDescent="0.3">
      <c r="A401" s="2">
        <v>45580</v>
      </c>
      <c r="B401">
        <v>165.94746398925781</v>
      </c>
      <c r="C401">
        <f t="shared" si="20"/>
        <v>-9.5866565804177139E-4</v>
      </c>
      <c r="K401">
        <f t="shared" si="18"/>
        <v>344.65719604492188</v>
      </c>
      <c r="L401" s="5">
        <f t="shared" si="19"/>
        <v>-0.51851443726238466</v>
      </c>
    </row>
    <row r="402" spans="1:12" x14ac:dyDescent="0.3">
      <c r="A402" s="2">
        <v>45581</v>
      </c>
      <c r="B402">
        <v>165.78837585449219</v>
      </c>
      <c r="C402">
        <f t="shared" si="20"/>
        <v>-1.3374189504070232E-2</v>
      </c>
      <c r="K402">
        <f t="shared" si="18"/>
        <v>344.65719604492188</v>
      </c>
      <c r="L402" s="5">
        <f t="shared" si="19"/>
        <v>-0.51897602093622419</v>
      </c>
    </row>
    <row r="403" spans="1:12" x14ac:dyDescent="0.3">
      <c r="A403" s="2">
        <v>45582</v>
      </c>
      <c r="B403">
        <v>163.57109069824219</v>
      </c>
      <c r="C403">
        <f t="shared" si="20"/>
        <v>3.2825254587422743E-3</v>
      </c>
      <c r="K403">
        <f t="shared" si="18"/>
        <v>344.65719604492188</v>
      </c>
      <c r="L403" s="5">
        <f t="shared" si="19"/>
        <v>-0.52540932678822494</v>
      </c>
    </row>
    <row r="404" spans="1:12" x14ac:dyDescent="0.3">
      <c r="A404" s="2">
        <v>45583</v>
      </c>
      <c r="B404">
        <v>164.10801696777341</v>
      </c>
      <c r="C404">
        <f t="shared" si="20"/>
        <v>4.5441261971311351E-3</v>
      </c>
      <c r="K404">
        <f t="shared" si="18"/>
        <v>344.65719604492188</v>
      </c>
      <c r="L404" s="5">
        <f t="shared" si="19"/>
        <v>-0.52385147082092565</v>
      </c>
    </row>
    <row r="405" spans="1:12" x14ac:dyDescent="0.3">
      <c r="A405" s="2">
        <v>45586</v>
      </c>
      <c r="B405">
        <v>164.85374450683591</v>
      </c>
      <c r="C405">
        <f t="shared" si="20"/>
        <v>6.1519707548835E-3</v>
      </c>
      <c r="K405">
        <f t="shared" si="18"/>
        <v>344.65719604492188</v>
      </c>
      <c r="L405" s="5">
        <f t="shared" si="19"/>
        <v>-0.52168779181575764</v>
      </c>
    </row>
    <row r="406" spans="1:12" x14ac:dyDescent="0.3">
      <c r="A406" s="2">
        <v>45587</v>
      </c>
      <c r="B406">
        <v>165.867919921875</v>
      </c>
      <c r="C406">
        <f t="shared" si="20"/>
        <v>-1.4027093958595345E-2</v>
      </c>
      <c r="K406">
        <f t="shared" si="18"/>
        <v>344.65719604492188</v>
      </c>
      <c r="L406" s="5">
        <f t="shared" si="19"/>
        <v>-0.51874522909930443</v>
      </c>
    </row>
    <row r="407" spans="1:12" x14ac:dyDescent="0.3">
      <c r="A407" s="2">
        <v>45588</v>
      </c>
      <c r="B407">
        <v>163.54127502441409</v>
      </c>
      <c r="C407">
        <f t="shared" si="20"/>
        <v>3.0407243399131057E-4</v>
      </c>
      <c r="K407">
        <f t="shared" si="18"/>
        <v>344.65719604492188</v>
      </c>
      <c r="L407" s="5">
        <f t="shared" si="19"/>
        <v>-0.52549583498875074</v>
      </c>
    </row>
    <row r="408" spans="1:12" x14ac:dyDescent="0.3">
      <c r="A408" s="2">
        <v>45589</v>
      </c>
      <c r="B408">
        <v>163.59100341796881</v>
      </c>
      <c r="C408">
        <f t="shared" si="20"/>
        <v>1.4951544151252784E-2</v>
      </c>
      <c r="K408">
        <f t="shared" si="18"/>
        <v>344.65719604492188</v>
      </c>
      <c r="L408" s="5">
        <f t="shared" si="19"/>
        <v>-0.52535155135235678</v>
      </c>
    </row>
    <row r="409" spans="1:12" x14ac:dyDescent="0.3">
      <c r="A409" s="2">
        <v>45590</v>
      </c>
      <c r="B409">
        <v>166.03694152832031</v>
      </c>
      <c r="C409">
        <f t="shared" si="20"/>
        <v>8.0843479931852376E-3</v>
      </c>
      <c r="K409">
        <f t="shared" si="18"/>
        <v>344.65719604492188</v>
      </c>
      <c r="L409" s="5">
        <f t="shared" si="19"/>
        <v>-0.51825482411607782</v>
      </c>
    </row>
    <row r="410" spans="1:12" x14ac:dyDescent="0.3">
      <c r="A410" s="2">
        <v>45593</v>
      </c>
      <c r="B410">
        <v>167.3792419433594</v>
      </c>
      <c r="C410">
        <f t="shared" si="20"/>
        <v>1.6632866475600892E-2</v>
      </c>
      <c r="K410">
        <f t="shared" si="18"/>
        <v>344.65719604492188</v>
      </c>
      <c r="L410" s="5">
        <f t="shared" si="19"/>
        <v>-0.51436022847019403</v>
      </c>
    </row>
    <row r="411" spans="1:12" x14ac:dyDescent="0.3">
      <c r="A411" s="2">
        <v>45594</v>
      </c>
      <c r="B411">
        <v>170.1632385253906</v>
      </c>
      <c r="C411">
        <f t="shared" si="20"/>
        <v>2.9215953847166617E-2</v>
      </c>
      <c r="K411">
        <f t="shared" si="18"/>
        <v>344.65719604492188</v>
      </c>
      <c r="L411" s="5">
        <f t="shared" si="19"/>
        <v>-0.5062826469950974</v>
      </c>
    </row>
    <row r="412" spans="1:12" x14ac:dyDescent="0.3">
      <c r="A412" s="2">
        <v>45595</v>
      </c>
      <c r="B412">
        <v>175.13471984863281</v>
      </c>
      <c r="C412">
        <f t="shared" si="20"/>
        <v>-1.9586623683340871E-2</v>
      </c>
      <c r="K412">
        <f t="shared" si="18"/>
        <v>344.65719604492188</v>
      </c>
      <c r="L412" s="5">
        <f t="shared" si="19"/>
        <v>-0.49185822359616094</v>
      </c>
    </row>
    <row r="413" spans="1:12" x14ac:dyDescent="0.3">
      <c r="A413" s="2">
        <v>45596</v>
      </c>
      <c r="B413">
        <v>171.70442199707031</v>
      </c>
      <c r="C413">
        <f t="shared" si="20"/>
        <v>-2.3167523947978356E-4</v>
      </c>
      <c r="K413">
        <f t="shared" si="18"/>
        <v>344.65719604492188</v>
      </c>
      <c r="L413" s="5">
        <f t="shared" si="19"/>
        <v>-0.50181100534836731</v>
      </c>
    </row>
    <row r="414" spans="1:12" x14ac:dyDescent="0.3">
      <c r="A414" s="2">
        <v>45597</v>
      </c>
      <c r="B414">
        <v>171.6646423339844</v>
      </c>
      <c r="C414">
        <f t="shared" si="20"/>
        <v>-1.1410538501756664E-2</v>
      </c>
      <c r="K414">
        <f t="shared" si="18"/>
        <v>344.65719604492188</v>
      </c>
      <c r="L414" s="5">
        <f t="shared" si="19"/>
        <v>-0.50192642340300941</v>
      </c>
    </row>
    <row r="415" spans="1:12" x14ac:dyDescent="0.3">
      <c r="A415" s="2">
        <v>45600</v>
      </c>
      <c r="B415">
        <v>169.70585632324219</v>
      </c>
      <c r="C415">
        <f t="shared" si="20"/>
        <v>4.2771688109605579E-3</v>
      </c>
      <c r="K415">
        <f t="shared" si="18"/>
        <v>344.65719604492188</v>
      </c>
      <c r="L415" s="5">
        <f t="shared" si="19"/>
        <v>-0.50760971112547693</v>
      </c>
    </row>
    <row r="416" spans="1:12" x14ac:dyDescent="0.3">
      <c r="A416" s="2">
        <v>45601</v>
      </c>
      <c r="B416">
        <v>170.43171691894531</v>
      </c>
      <c r="C416">
        <f t="shared" si="20"/>
        <v>4.0370966674793028E-2</v>
      </c>
      <c r="K416">
        <f t="shared" si="18"/>
        <v>344.65719604492188</v>
      </c>
      <c r="L416" s="5">
        <f t="shared" si="19"/>
        <v>-0.50550367473908309</v>
      </c>
    </row>
    <row r="417" spans="1:12" x14ac:dyDescent="0.3">
      <c r="A417" s="2">
        <v>45602</v>
      </c>
      <c r="B417">
        <v>177.31221008300781</v>
      </c>
      <c r="C417">
        <f t="shared" si="20"/>
        <v>2.2150053703280596E-2</v>
      </c>
      <c r="K417">
        <f t="shared" si="18"/>
        <v>344.65719604492188</v>
      </c>
      <c r="L417" s="5">
        <f t="shared" si="19"/>
        <v>-0.48554038007116695</v>
      </c>
    </row>
    <row r="418" spans="1:12" x14ac:dyDescent="0.3">
      <c r="A418" s="2">
        <v>45603</v>
      </c>
      <c r="B418">
        <v>181.23968505859381</v>
      </c>
      <c r="C418">
        <f t="shared" si="20"/>
        <v>-1.3276280876706991E-2</v>
      </c>
      <c r="K418">
        <f t="shared" si="18"/>
        <v>344.65719604492188</v>
      </c>
      <c r="L418" s="5">
        <f t="shared" si="19"/>
        <v>-0.47414507186157395</v>
      </c>
    </row>
    <row r="419" spans="1:12" x14ac:dyDescent="0.3">
      <c r="A419" s="2">
        <v>45604</v>
      </c>
      <c r="B419">
        <v>178.83349609375</v>
      </c>
      <c r="C419">
        <f t="shared" si="20"/>
        <v>1.1731281962370069E-2</v>
      </c>
      <c r="K419">
        <f t="shared" si="18"/>
        <v>344.65719604492188</v>
      </c>
      <c r="L419" s="5">
        <f t="shared" si="19"/>
        <v>-0.48112646958794025</v>
      </c>
    </row>
    <row r="420" spans="1:12" x14ac:dyDescent="0.3">
      <c r="A420" s="2">
        <v>45607</v>
      </c>
      <c r="B420">
        <v>180.93144226074219</v>
      </c>
      <c r="C420">
        <f t="shared" si="20"/>
        <v>7.4189187741824326E-3</v>
      </c>
      <c r="K420">
        <f t="shared" si="18"/>
        <v>344.65719604492188</v>
      </c>
      <c r="L420" s="5">
        <f t="shared" si="19"/>
        <v>-0.47503941789986603</v>
      </c>
    </row>
    <row r="421" spans="1:12" x14ac:dyDescent="0.3">
      <c r="A421" s="2">
        <v>45608</v>
      </c>
      <c r="B421">
        <v>182.27375793457031</v>
      </c>
      <c r="C421">
        <f t="shared" si="20"/>
        <v>-1.543753782284216E-2</v>
      </c>
      <c r="K421">
        <f t="shared" si="18"/>
        <v>344.65719604492188</v>
      </c>
      <c r="L421" s="5">
        <f t="shared" si="19"/>
        <v>-0.47114477798161758</v>
      </c>
    </row>
    <row r="422" spans="1:12" x14ac:dyDescent="0.3">
      <c r="A422" s="2">
        <v>45609</v>
      </c>
      <c r="B422">
        <v>179.45989990234381</v>
      </c>
      <c r="C422">
        <f t="shared" si="20"/>
        <v>-1.73971208776337E-2</v>
      </c>
      <c r="K422">
        <f t="shared" si="18"/>
        <v>344.65719604492188</v>
      </c>
      <c r="L422" s="5">
        <f t="shared" si="19"/>
        <v>-0.479309000474334</v>
      </c>
    </row>
    <row r="423" spans="1:12" x14ac:dyDescent="0.3">
      <c r="A423" s="2">
        <v>45610</v>
      </c>
      <c r="B423">
        <v>176.33781433105469</v>
      </c>
      <c r="C423">
        <f t="shared" si="20"/>
        <v>-1.9509322695718201E-2</v>
      </c>
      <c r="K423">
        <f t="shared" si="18"/>
        <v>344.65719604492188</v>
      </c>
      <c r="L423" s="5">
        <f t="shared" si="19"/>
        <v>-0.48836752473297784</v>
      </c>
    </row>
    <row r="424" spans="1:12" x14ac:dyDescent="0.3">
      <c r="A424" s="2">
        <v>45611</v>
      </c>
      <c r="B424">
        <v>172.8975830078125</v>
      </c>
      <c r="C424">
        <f t="shared" si="20"/>
        <v>1.6734686457066161E-2</v>
      </c>
      <c r="K424">
        <f t="shared" si="18"/>
        <v>344.65719604492188</v>
      </c>
      <c r="L424" s="5">
        <f t="shared" si="19"/>
        <v>-0.4983491277945713</v>
      </c>
    </row>
    <row r="425" spans="1:12" x14ac:dyDescent="0.3">
      <c r="A425" s="2">
        <v>45614</v>
      </c>
      <c r="B425">
        <v>175.79096984863281</v>
      </c>
      <c r="C425">
        <f t="shared" si="20"/>
        <v>1.5723956930506534E-2</v>
      </c>
      <c r="K425">
        <f t="shared" si="18"/>
        <v>344.65719604492188</v>
      </c>
      <c r="L425" s="5">
        <f t="shared" si="19"/>
        <v>-0.48995415773729967</v>
      </c>
    </row>
    <row r="426" spans="1:12" x14ac:dyDescent="0.3">
      <c r="A426" s="2">
        <v>45615</v>
      </c>
      <c r="B426">
        <v>178.55509948730469</v>
      </c>
      <c r="C426">
        <f t="shared" si="20"/>
        <v>-1.2529282920634576E-2</v>
      </c>
      <c r="K426">
        <f t="shared" si="18"/>
        <v>344.65719604492188</v>
      </c>
      <c r="L426" s="5">
        <f t="shared" si="19"/>
        <v>-0.48193421888097698</v>
      </c>
    </row>
    <row r="427" spans="1:12" x14ac:dyDescent="0.3">
      <c r="A427" s="2">
        <v>45616</v>
      </c>
      <c r="B427">
        <v>176.31793212890619</v>
      </c>
      <c r="C427">
        <f t="shared" si="20"/>
        <v>-4.5621216196521909E-2</v>
      </c>
      <c r="K427">
        <f t="shared" si="18"/>
        <v>344.65719604492188</v>
      </c>
      <c r="L427" s="5">
        <f t="shared" si="19"/>
        <v>-0.48842521162411678</v>
      </c>
    </row>
    <row r="428" spans="1:12" x14ac:dyDescent="0.3">
      <c r="A428" s="2">
        <v>45617</v>
      </c>
      <c r="B428">
        <v>168.27409362792969</v>
      </c>
      <c r="C428">
        <f t="shared" si="20"/>
        <v>-1.5776280963085559E-2</v>
      </c>
      <c r="K428">
        <f t="shared" si="18"/>
        <v>344.65719604492188</v>
      </c>
      <c r="L428" s="5">
        <f t="shared" si="19"/>
        <v>-0.5117638756453029</v>
      </c>
    </row>
    <row r="429" spans="1:12" x14ac:dyDescent="0.3">
      <c r="A429" s="2">
        <v>45618</v>
      </c>
      <c r="B429">
        <v>165.6193542480469</v>
      </c>
      <c r="C429">
        <f t="shared" si="20"/>
        <v>1.7169751695913522E-2</v>
      </c>
      <c r="K429">
        <f t="shared" si="18"/>
        <v>344.65719604492188</v>
      </c>
      <c r="L429" s="5">
        <f t="shared" si="19"/>
        <v>-0.51946642591945058</v>
      </c>
    </row>
    <row r="430" spans="1:12" x14ac:dyDescent="0.3">
      <c r="A430" s="2">
        <v>45621</v>
      </c>
      <c r="B430">
        <v>168.46299743652341</v>
      </c>
      <c r="C430">
        <f t="shared" si="20"/>
        <v>7.0237548652037664E-3</v>
      </c>
      <c r="K430">
        <f t="shared" si="18"/>
        <v>344.65719604492188</v>
      </c>
      <c r="L430" s="5">
        <f t="shared" si="19"/>
        <v>-0.51121578377093768</v>
      </c>
    </row>
    <row r="431" spans="1:12" x14ac:dyDescent="0.3">
      <c r="A431" s="2">
        <v>45622</v>
      </c>
      <c r="B431">
        <v>169.646240234375</v>
      </c>
      <c r="C431">
        <f t="shared" si="20"/>
        <v>1.1721600124339625E-3</v>
      </c>
      <c r="K431">
        <f t="shared" si="18"/>
        <v>344.65719604492188</v>
      </c>
      <c r="L431" s="5">
        <f t="shared" si="19"/>
        <v>-0.50778268325416409</v>
      </c>
    </row>
    <row r="432" spans="1:12" x14ac:dyDescent="0.3">
      <c r="A432" s="2">
        <v>45623</v>
      </c>
      <c r="B432">
        <v>169.8450927734375</v>
      </c>
      <c r="C432">
        <f t="shared" si="20"/>
        <v>-1.931997289005041E-3</v>
      </c>
      <c r="K432">
        <f t="shared" si="18"/>
        <v>344.65719604492188</v>
      </c>
      <c r="L432" s="5">
        <f t="shared" si="19"/>
        <v>-0.50720572579804701</v>
      </c>
    </row>
    <row r="433" spans="1:12" x14ac:dyDescent="0.3">
      <c r="A433" s="2">
        <v>45625</v>
      </c>
      <c r="B433">
        <v>169.51695251464841</v>
      </c>
      <c r="C433">
        <f t="shared" si="20"/>
        <v>1.4605116376912525E-2</v>
      </c>
      <c r="K433">
        <f t="shared" si="18"/>
        <v>344.65719604492188</v>
      </c>
      <c r="L433" s="5">
        <f t="shared" si="19"/>
        <v>-0.50815780299984237</v>
      </c>
    </row>
    <row r="434" spans="1:12" x14ac:dyDescent="0.3">
      <c r="A434" s="2">
        <v>45628</v>
      </c>
      <c r="B434">
        <v>171.9927673339844</v>
      </c>
      <c r="C434">
        <f t="shared" si="20"/>
        <v>2.3128683666483998E-4</v>
      </c>
      <c r="K434">
        <f t="shared" si="18"/>
        <v>344.65719604492188</v>
      </c>
      <c r="L434" s="5">
        <f t="shared" si="19"/>
        <v>-0.50097439047357872</v>
      </c>
    </row>
    <row r="435" spans="1:12" x14ac:dyDescent="0.3">
      <c r="A435" s="2">
        <v>45629</v>
      </c>
      <c r="B435">
        <v>172.03254699707031</v>
      </c>
      <c r="C435">
        <f t="shared" si="20"/>
        <v>1.7743501273912186E-2</v>
      </c>
      <c r="K435">
        <f t="shared" si="18"/>
        <v>344.65719604492188</v>
      </c>
      <c r="L435" s="5">
        <f t="shared" si="19"/>
        <v>-0.50085897241893662</v>
      </c>
    </row>
    <row r="436" spans="1:12" x14ac:dyDescent="0.3">
      <c r="A436" s="2">
        <v>45630</v>
      </c>
      <c r="B436">
        <v>175.08500671386719</v>
      </c>
      <c r="C436">
        <f t="shared" si="20"/>
        <v>-1.0108440802550472E-2</v>
      </c>
      <c r="K436">
        <f t="shared" si="18"/>
        <v>344.65719604492188</v>
      </c>
      <c r="L436" s="5">
        <f t="shared" si="19"/>
        <v>-0.49200246296019023</v>
      </c>
    </row>
    <row r="437" spans="1:12" x14ac:dyDescent="0.3">
      <c r="A437" s="2">
        <v>45631</v>
      </c>
      <c r="B437">
        <v>173.31517028808591</v>
      </c>
      <c r="C437">
        <f t="shared" si="20"/>
        <v>1.2506533720513024E-2</v>
      </c>
      <c r="K437">
        <f t="shared" si="18"/>
        <v>344.65719604492188</v>
      </c>
      <c r="L437" s="5">
        <f t="shared" si="19"/>
        <v>-0.49713752599119854</v>
      </c>
    </row>
    <row r="438" spans="1:12" x14ac:dyDescent="0.3">
      <c r="A438" s="2">
        <v>45632</v>
      </c>
      <c r="B438">
        <v>175.48274230957031</v>
      </c>
      <c r="C438">
        <f t="shared" si="20"/>
        <v>4.5946949668088143E-3</v>
      </c>
      <c r="K438">
        <f t="shared" si="18"/>
        <v>344.65719604492188</v>
      </c>
      <c r="L438" s="5">
        <f t="shared" si="19"/>
        <v>-0.49084845950322686</v>
      </c>
    </row>
    <row r="439" spans="1:12" x14ac:dyDescent="0.3">
      <c r="A439" s="2">
        <v>45635</v>
      </c>
      <c r="B439">
        <v>176.2890319824219</v>
      </c>
      <c r="C439">
        <f t="shared" si="20"/>
        <v>5.324661970394879E-2</v>
      </c>
      <c r="K439">
        <f t="shared" si="18"/>
        <v>344.65719604492188</v>
      </c>
      <c r="L439" s="5">
        <f t="shared" si="19"/>
        <v>-0.48850906348276335</v>
      </c>
    </row>
    <row r="440" spans="1:12" x14ac:dyDescent="0.3">
      <c r="A440" s="2">
        <v>45636</v>
      </c>
      <c r="B440">
        <v>185.67582702636719</v>
      </c>
      <c r="C440">
        <f t="shared" si="20"/>
        <v>5.4575639906837774E-2</v>
      </c>
      <c r="K440">
        <f t="shared" si="18"/>
        <v>344.65719604492188</v>
      </c>
      <c r="L440" s="5">
        <f t="shared" si="19"/>
        <v>-0.46127390010401348</v>
      </c>
    </row>
    <row r="441" spans="1:12" x14ac:dyDescent="0.3">
      <c r="A441" s="2">
        <v>45637</v>
      </c>
      <c r="B441">
        <v>195.8092041015625</v>
      </c>
      <c r="C441">
        <f t="shared" si="20"/>
        <v>-1.5657602634300501E-2</v>
      </c>
      <c r="K441">
        <f t="shared" si="18"/>
        <v>344.65719604492188</v>
      </c>
      <c r="L441" s="5">
        <f t="shared" si="19"/>
        <v>-0.43187257846767502</v>
      </c>
    </row>
    <row r="442" spans="1:12" x14ac:dyDescent="0.3">
      <c r="A442" s="2">
        <v>45638</v>
      </c>
      <c r="B442">
        <v>192.74330139160159</v>
      </c>
      <c r="C442">
        <f t="shared" si="20"/>
        <v>-1.1620040968600781E-2</v>
      </c>
      <c r="K442">
        <f t="shared" si="18"/>
        <v>344.65719604492188</v>
      </c>
      <c r="L442" s="5">
        <f t="shared" si="19"/>
        <v>-0.44076809187967791</v>
      </c>
    </row>
    <row r="443" spans="1:12" x14ac:dyDescent="0.3">
      <c r="A443" s="2">
        <v>45639</v>
      </c>
      <c r="B443">
        <v>190.50361633300781</v>
      </c>
      <c r="C443">
        <f t="shared" si="20"/>
        <v>3.5427111830383155E-2</v>
      </c>
      <c r="K443">
        <f t="shared" si="18"/>
        <v>344.65719604492188</v>
      </c>
      <c r="L443" s="5">
        <f t="shared" si="19"/>
        <v>-0.44726638956298481</v>
      </c>
    </row>
    <row r="444" spans="1:12" x14ac:dyDescent="0.3">
      <c r="A444" s="2">
        <v>45642</v>
      </c>
      <c r="B444">
        <v>197.25260925292969</v>
      </c>
      <c r="C444">
        <f t="shared" si="20"/>
        <v>-5.2484898640047951E-3</v>
      </c>
      <c r="K444">
        <f t="shared" si="18"/>
        <v>344.65719604492188</v>
      </c>
      <c r="L444" s="5">
        <f t="shared" si="19"/>
        <v>-0.42768463413362123</v>
      </c>
    </row>
    <row r="445" spans="1:12" x14ac:dyDescent="0.3">
      <c r="A445" s="2">
        <v>45643</v>
      </c>
      <c r="B445">
        <v>196.21733093261719</v>
      </c>
      <c r="C445">
        <f t="shared" si="20"/>
        <v>-3.535908139316133E-2</v>
      </c>
      <c r="K445">
        <f t="shared" si="18"/>
        <v>344.65719604492188</v>
      </c>
      <c r="L445" s="5">
        <f t="shared" si="19"/>
        <v>-0.43068842553038511</v>
      </c>
    </row>
    <row r="446" spans="1:12" x14ac:dyDescent="0.3">
      <c r="A446" s="2">
        <v>45644</v>
      </c>
      <c r="B446">
        <v>189.2792663574219</v>
      </c>
      <c r="C446">
        <f t="shared" si="20"/>
        <v>-2.3666209148440502E-3</v>
      </c>
      <c r="K446">
        <f t="shared" si="18"/>
        <v>344.65719604492188</v>
      </c>
      <c r="L446" s="5">
        <f t="shared" si="19"/>
        <v>-0.45081875983012509</v>
      </c>
    </row>
    <row r="447" spans="1:12" x14ac:dyDescent="0.3">
      <c r="A447" s="2">
        <v>45645</v>
      </c>
      <c r="B447">
        <v>188.83131408691409</v>
      </c>
      <c r="C447">
        <f t="shared" si="20"/>
        <v>1.7185108760235553E-2</v>
      </c>
      <c r="K447">
        <f t="shared" si="18"/>
        <v>344.65719604492188</v>
      </c>
      <c r="L447" s="5">
        <f t="shared" si="19"/>
        <v>-0.45211846363915109</v>
      </c>
    </row>
    <row r="448" spans="1:12" x14ac:dyDescent="0.3">
      <c r="A448" s="2">
        <v>45646</v>
      </c>
      <c r="B448">
        <v>192.07640075683591</v>
      </c>
      <c r="C448">
        <f t="shared" si="20"/>
        <v>1.5702754363131975E-2</v>
      </c>
      <c r="K448">
        <f t="shared" si="18"/>
        <v>344.65719604492188</v>
      </c>
      <c r="L448" s="5">
        <f t="shared" si="19"/>
        <v>-0.44270305984906499</v>
      </c>
    </row>
    <row r="449" spans="1:12" x14ac:dyDescent="0.3">
      <c r="A449" s="2">
        <v>45649</v>
      </c>
      <c r="B449">
        <v>195.092529296875</v>
      </c>
      <c r="C449">
        <f t="shared" si="20"/>
        <v>8.0615793537471576E-3</v>
      </c>
      <c r="K449">
        <f t="shared" si="18"/>
        <v>344.65719604492188</v>
      </c>
      <c r="L449" s="5">
        <f t="shared" si="19"/>
        <v>-0.43395196289054982</v>
      </c>
    </row>
    <row r="450" spans="1:12" x14ac:dyDescent="0.3">
      <c r="A450" s="2">
        <v>45650</v>
      </c>
      <c r="B450">
        <v>196.665283203125</v>
      </c>
      <c r="C450">
        <f t="shared" si="20"/>
        <v>-2.3789136741643193E-3</v>
      </c>
      <c r="K450">
        <f t="shared" ref="K450:K513" si="21">MAX(B450:B1189)</f>
        <v>344.65719604492188</v>
      </c>
      <c r="L450" s="5">
        <f t="shared" ref="L450:L513" si="22">B450/K450-1</f>
        <v>-0.42938872172135911</v>
      </c>
    </row>
    <row r="451" spans="1:12" x14ac:dyDescent="0.3">
      <c r="A451" s="2">
        <v>45652</v>
      </c>
      <c r="B451">
        <v>196.19743347167969</v>
      </c>
      <c r="C451">
        <f t="shared" ref="C451:C514" si="23">(B452-B451)/B451</f>
        <v>-1.5525126584665806E-2</v>
      </c>
      <c r="K451">
        <f t="shared" si="21"/>
        <v>344.65719604492188</v>
      </c>
      <c r="L451" s="5">
        <f t="shared" si="22"/>
        <v>-0.4307461566938886</v>
      </c>
    </row>
    <row r="452" spans="1:12" x14ac:dyDescent="0.3">
      <c r="A452" s="2">
        <v>45653</v>
      </c>
      <c r="B452">
        <v>193.15144348144531</v>
      </c>
      <c r="C452">
        <f t="shared" si="23"/>
        <v>-6.9573712198242226E-3</v>
      </c>
      <c r="K452">
        <f t="shared" si="21"/>
        <v>344.65719604492188</v>
      </c>
      <c r="L452" s="5">
        <f t="shared" si="22"/>
        <v>-0.43958389467002346</v>
      </c>
    </row>
    <row r="453" spans="1:12" x14ac:dyDescent="0.3">
      <c r="A453" s="2">
        <v>45656</v>
      </c>
      <c r="B453">
        <v>191.8076171875</v>
      </c>
      <c r="C453">
        <f t="shared" si="23"/>
        <v>-1.1676805907001136E-2</v>
      </c>
      <c r="K453">
        <f t="shared" si="21"/>
        <v>344.65719604492188</v>
      </c>
      <c r="L453" s="5">
        <f t="shared" si="22"/>
        <v>-0.44348291755237224</v>
      </c>
    </row>
    <row r="454" spans="1:12" x14ac:dyDescent="0.3">
      <c r="A454" s="2">
        <v>45657</v>
      </c>
      <c r="B454">
        <v>189.56791687011719</v>
      </c>
      <c r="C454">
        <f t="shared" si="23"/>
        <v>9.9778460586406425E-4</v>
      </c>
      <c r="K454">
        <f t="shared" si="21"/>
        <v>344.65719604492188</v>
      </c>
      <c r="L454" s="5">
        <f t="shared" si="22"/>
        <v>-0.44998125950804369</v>
      </c>
    </row>
    <row r="455" spans="1:12" x14ac:dyDescent="0.3">
      <c r="A455" s="2">
        <v>45659</v>
      </c>
      <c r="B455">
        <v>189.75706481933591</v>
      </c>
      <c r="C455">
        <f t="shared" si="23"/>
        <v>1.3114350455322351E-2</v>
      </c>
      <c r="K455">
        <f t="shared" si="21"/>
        <v>344.65719604492188</v>
      </c>
      <c r="L455" s="5">
        <f t="shared" si="22"/>
        <v>-0.44943245927584408</v>
      </c>
    </row>
    <row r="456" spans="1:12" x14ac:dyDescent="0.3">
      <c r="A456" s="2">
        <v>45660</v>
      </c>
      <c r="B456">
        <v>192.24560546875</v>
      </c>
      <c r="C456">
        <f t="shared" si="23"/>
        <v>2.5009111828486665E-2</v>
      </c>
      <c r="K456">
        <f t="shared" si="21"/>
        <v>344.65719604492188</v>
      </c>
      <c r="L456" s="5">
        <f t="shared" si="22"/>
        <v>-0.44221212359746254</v>
      </c>
    </row>
    <row r="457" spans="1:12" x14ac:dyDescent="0.3">
      <c r="A457" s="2">
        <v>45663</v>
      </c>
      <c r="B457">
        <v>197.0534973144531</v>
      </c>
      <c r="C457">
        <f t="shared" si="23"/>
        <v>-6.3144944385583992E-3</v>
      </c>
      <c r="K457">
        <f t="shared" si="21"/>
        <v>344.65719604492188</v>
      </c>
      <c r="L457" s="5">
        <f t="shared" si="22"/>
        <v>-0.42826234421993736</v>
      </c>
    </row>
    <row r="458" spans="1:12" x14ac:dyDescent="0.3">
      <c r="A458" s="2">
        <v>45664</v>
      </c>
      <c r="B458">
        <v>195.8092041015625</v>
      </c>
      <c r="C458">
        <f t="shared" si="23"/>
        <v>-6.7103565993730735E-3</v>
      </c>
      <c r="K458">
        <f t="shared" si="21"/>
        <v>344.65719604492188</v>
      </c>
      <c r="L458" s="5">
        <f t="shared" si="22"/>
        <v>-0.43187257846767502</v>
      </c>
    </row>
    <row r="459" spans="1:12" x14ac:dyDescent="0.3">
      <c r="A459" s="2">
        <v>45665</v>
      </c>
      <c r="B459">
        <v>194.49525451660159</v>
      </c>
      <c r="C459">
        <f t="shared" si="23"/>
        <v>-1.136183817898688E-2</v>
      </c>
      <c r="K459">
        <f t="shared" si="21"/>
        <v>344.65719604492188</v>
      </c>
      <c r="L459" s="5">
        <f t="shared" si="22"/>
        <v>-0.43568491606003923</v>
      </c>
    </row>
    <row r="460" spans="1:12" x14ac:dyDescent="0.3">
      <c r="A460" s="2">
        <v>45667</v>
      </c>
      <c r="B460">
        <v>192.2854309082031</v>
      </c>
      <c r="C460">
        <f t="shared" si="23"/>
        <v>-4.5556054785980665E-3</v>
      </c>
      <c r="K460">
        <f t="shared" si="21"/>
        <v>344.65719604492188</v>
      </c>
      <c r="L460" s="5">
        <f t="shared" si="22"/>
        <v>-0.44209657272572644</v>
      </c>
    </row>
    <row r="461" spans="1:12" x14ac:dyDescent="0.3">
      <c r="A461" s="2">
        <v>45670</v>
      </c>
      <c r="B461">
        <v>191.4094543457031</v>
      </c>
      <c r="C461">
        <f t="shared" si="23"/>
        <v>-6.4486324766564133E-3</v>
      </c>
      <c r="K461">
        <f t="shared" si="21"/>
        <v>344.65719604492188</v>
      </c>
      <c r="L461" s="5">
        <f t="shared" si="22"/>
        <v>-0.44463816063554584</v>
      </c>
    </row>
    <row r="462" spans="1:12" x14ac:dyDescent="0.3">
      <c r="A462" s="2">
        <v>45671</v>
      </c>
      <c r="B462">
        <v>190.17512512207031</v>
      </c>
      <c r="C462">
        <f t="shared" si="23"/>
        <v>3.1039088550824642E-2</v>
      </c>
      <c r="K462">
        <f t="shared" si="21"/>
        <v>344.65719604492188</v>
      </c>
      <c r="L462" s="5">
        <f t="shared" si="22"/>
        <v>-0.44821948502916709</v>
      </c>
    </row>
    <row r="463" spans="1:12" x14ac:dyDescent="0.3">
      <c r="A463" s="2">
        <v>45672</v>
      </c>
      <c r="B463">
        <v>196.07798767089841</v>
      </c>
      <c r="C463">
        <f t="shared" si="23"/>
        <v>-1.3047067792970808E-2</v>
      </c>
      <c r="K463">
        <f t="shared" si="21"/>
        <v>344.65719604492188</v>
      </c>
      <c r="L463" s="5">
        <f t="shared" si="22"/>
        <v>-0.43109272076436778</v>
      </c>
    </row>
    <row r="464" spans="1:12" x14ac:dyDescent="0.3">
      <c r="A464" s="2">
        <v>45673</v>
      </c>
      <c r="B464">
        <v>193.5197448730469</v>
      </c>
      <c r="C464">
        <f t="shared" si="23"/>
        <v>1.6151534672552838E-2</v>
      </c>
      <c r="K464">
        <f t="shared" si="21"/>
        <v>344.65719604492188</v>
      </c>
      <c r="L464" s="5">
        <f t="shared" si="22"/>
        <v>-0.43851529260446964</v>
      </c>
    </row>
    <row r="465" spans="1:12" x14ac:dyDescent="0.3">
      <c r="A465" s="2">
        <v>45674</v>
      </c>
      <c r="B465">
        <v>196.6453857421875</v>
      </c>
      <c r="C465">
        <f t="shared" si="23"/>
        <v>1.0528927897678137E-2</v>
      </c>
      <c r="K465">
        <f t="shared" si="21"/>
        <v>344.65719604492188</v>
      </c>
      <c r="L465" s="5">
        <f t="shared" si="22"/>
        <v>-0.4294464528848625</v>
      </c>
    </row>
    <row r="466" spans="1:12" x14ac:dyDescent="0.3">
      <c r="A466" s="2">
        <v>45678</v>
      </c>
      <c r="B466">
        <v>198.7158508300781</v>
      </c>
      <c r="C466">
        <f t="shared" si="23"/>
        <v>2.0036793246924847E-3</v>
      </c>
      <c r="K466">
        <f t="shared" si="21"/>
        <v>344.65719604492188</v>
      </c>
      <c r="L466" s="5">
        <f t="shared" si="22"/>
        <v>-0.42343913572552272</v>
      </c>
    </row>
    <row r="467" spans="1:12" x14ac:dyDescent="0.3">
      <c r="A467" s="2">
        <v>45679</v>
      </c>
      <c r="B467">
        <v>199.114013671875</v>
      </c>
      <c r="C467">
        <f t="shared" si="23"/>
        <v>-2.249650858110738E-3</v>
      </c>
      <c r="K467">
        <f t="shared" si="21"/>
        <v>344.65719604492188</v>
      </c>
      <c r="L467" s="5">
        <f t="shared" si="22"/>
        <v>-0.42228389264234911</v>
      </c>
    </row>
    <row r="468" spans="1:12" x14ac:dyDescent="0.3">
      <c r="A468" s="2">
        <v>45680</v>
      </c>
      <c r="B468">
        <v>198.66607666015619</v>
      </c>
      <c r="C468">
        <f t="shared" si="23"/>
        <v>1.1624389966650888E-2</v>
      </c>
      <c r="K468">
        <f t="shared" si="21"/>
        <v>344.65719604492188</v>
      </c>
      <c r="L468" s="5">
        <f t="shared" si="22"/>
        <v>-0.42358355217901067</v>
      </c>
    </row>
    <row r="469" spans="1:12" x14ac:dyDescent="0.3">
      <c r="A469" s="2">
        <v>45681</v>
      </c>
      <c r="B469">
        <v>200.97544860839841</v>
      </c>
      <c r="C469">
        <f t="shared" si="23"/>
        <v>-4.026747293530767E-2</v>
      </c>
      <c r="K469">
        <f t="shared" si="21"/>
        <v>344.65719604492188</v>
      </c>
      <c r="L469" s="5">
        <f t="shared" si="22"/>
        <v>-0.41688306260634789</v>
      </c>
    </row>
    <row r="470" spans="1:12" x14ac:dyDescent="0.3">
      <c r="A470" s="2">
        <v>45684</v>
      </c>
      <c r="B470">
        <v>192.88267517089841</v>
      </c>
      <c r="C470">
        <f t="shared" si="23"/>
        <v>1.703054381465573E-2</v>
      </c>
      <c r="K470">
        <f t="shared" si="21"/>
        <v>344.65719604492188</v>
      </c>
      <c r="L470" s="5">
        <f t="shared" si="22"/>
        <v>-0.44036370810096626</v>
      </c>
    </row>
    <row r="471" spans="1:12" x14ac:dyDescent="0.3">
      <c r="A471" s="2">
        <v>45685</v>
      </c>
      <c r="B471">
        <v>196.1675720214844</v>
      </c>
      <c r="C471">
        <f t="shared" si="23"/>
        <v>5.5810351525082118E-4</v>
      </c>
      <c r="K471">
        <f t="shared" si="21"/>
        <v>344.65719604492188</v>
      </c>
      <c r="L471" s="5">
        <f t="shared" si="22"/>
        <v>-0.43083279771150829</v>
      </c>
    </row>
    <row r="472" spans="1:12" x14ac:dyDescent="0.3">
      <c r="A472" s="2">
        <v>45686</v>
      </c>
      <c r="B472">
        <v>196.27705383300781</v>
      </c>
      <c r="C472">
        <f t="shared" si="23"/>
        <v>2.7639750659496969E-2</v>
      </c>
      <c r="K472">
        <f t="shared" si="21"/>
        <v>344.65719604492188</v>
      </c>
      <c r="L472" s="5">
        <f t="shared" si="22"/>
        <v>-0.43051514349514552</v>
      </c>
    </row>
    <row r="473" spans="1:12" x14ac:dyDescent="0.3">
      <c r="A473" s="2">
        <v>45687</v>
      </c>
      <c r="B473">
        <v>201.70210266113281</v>
      </c>
      <c r="C473">
        <f t="shared" si="23"/>
        <v>1.4657362810958889E-2</v>
      </c>
      <c r="K473">
        <f t="shared" si="21"/>
        <v>344.65719604492188</v>
      </c>
      <c r="L473" s="5">
        <f t="shared" si="22"/>
        <v>-0.41477472405699201</v>
      </c>
    </row>
    <row r="474" spans="1:12" x14ac:dyDescent="0.3">
      <c r="A474" s="2">
        <v>45688</v>
      </c>
      <c r="B474">
        <v>204.65852355957031</v>
      </c>
      <c r="C474">
        <f t="shared" si="23"/>
        <v>-1.4396942076649379E-2</v>
      </c>
      <c r="K474">
        <f t="shared" si="21"/>
        <v>344.65719604492188</v>
      </c>
      <c r="L474" s="5">
        <f t="shared" si="22"/>
        <v>-0.40619686486135176</v>
      </c>
    </row>
    <row r="475" spans="1:12" x14ac:dyDescent="0.3">
      <c r="A475" s="2">
        <v>45691</v>
      </c>
      <c r="B475">
        <v>201.7120666503906</v>
      </c>
      <c r="C475">
        <f t="shared" si="23"/>
        <v>2.5019739924695396E-2</v>
      </c>
      <c r="K475">
        <f t="shared" si="21"/>
        <v>344.65719604492188</v>
      </c>
      <c r="L475" s="5">
        <f t="shared" si="22"/>
        <v>-0.41474581420287571</v>
      </c>
    </row>
    <row r="476" spans="1:12" x14ac:dyDescent="0.3">
      <c r="A476" s="2">
        <v>45692</v>
      </c>
      <c r="B476">
        <v>206.75885009765619</v>
      </c>
      <c r="C476">
        <f t="shared" si="23"/>
        <v>-6.9375552207990382E-2</v>
      </c>
      <c r="K476">
        <f t="shared" si="21"/>
        <v>344.65719604492188</v>
      </c>
      <c r="L476" s="5">
        <f t="shared" si="22"/>
        <v>-0.4001029066843923</v>
      </c>
    </row>
    <row r="477" spans="1:12" x14ac:dyDescent="0.3">
      <c r="A477" s="2">
        <v>45693</v>
      </c>
      <c r="B477">
        <v>192.41484069824219</v>
      </c>
      <c r="C477">
        <f t="shared" si="23"/>
        <v>5.1704590106559617E-5</v>
      </c>
      <c r="K477">
        <f t="shared" si="21"/>
        <v>344.65719604492188</v>
      </c>
      <c r="L477" s="5">
        <f t="shared" si="22"/>
        <v>-0.44172109880113097</v>
      </c>
    </row>
    <row r="478" spans="1:12" x14ac:dyDescent="0.3">
      <c r="A478" s="2">
        <v>45694</v>
      </c>
      <c r="B478">
        <v>192.42478942871091</v>
      </c>
      <c r="C478">
        <f t="shared" si="23"/>
        <v>-3.1917607444631672E-2</v>
      </c>
      <c r="K478">
        <f t="shared" si="21"/>
        <v>344.65719604492188</v>
      </c>
      <c r="L478" s="5">
        <f t="shared" si="22"/>
        <v>-0.44169223321937934</v>
      </c>
    </row>
    <row r="479" spans="1:12" x14ac:dyDescent="0.3">
      <c r="A479" s="2">
        <v>45695</v>
      </c>
      <c r="B479">
        <v>186.2830505371094</v>
      </c>
      <c r="C479">
        <f t="shared" si="23"/>
        <v>5.6642043418845267E-3</v>
      </c>
      <c r="K479">
        <f t="shared" si="21"/>
        <v>344.65719604492188</v>
      </c>
      <c r="L479" s="5">
        <f t="shared" si="22"/>
        <v>-0.45951208135277211</v>
      </c>
    </row>
    <row r="480" spans="1:12" x14ac:dyDescent="0.3">
      <c r="A480" s="2">
        <v>45698</v>
      </c>
      <c r="B480">
        <v>187.33819580078119</v>
      </c>
      <c r="C480">
        <f t="shared" si="23"/>
        <v>-6.0042862509279782E-3</v>
      </c>
      <c r="K480">
        <f t="shared" si="21"/>
        <v>344.65719604492188</v>
      </c>
      <c r="L480" s="5">
        <f t="shared" si="22"/>
        <v>-0.45645064733723439</v>
      </c>
    </row>
    <row r="481" spans="1:12" x14ac:dyDescent="0.3">
      <c r="A481" s="2">
        <v>45699</v>
      </c>
      <c r="B481">
        <v>186.21336364746091</v>
      </c>
      <c r="C481">
        <f t="shared" si="23"/>
        <v>-8.7668644840624005E-3</v>
      </c>
      <c r="K481">
        <f t="shared" si="21"/>
        <v>344.65719604492188</v>
      </c>
      <c r="L481" s="5">
        <f t="shared" si="22"/>
        <v>-0.45971427324212821</v>
      </c>
    </row>
    <row r="482" spans="1:12" x14ac:dyDescent="0.3">
      <c r="A482" s="2">
        <v>45700</v>
      </c>
      <c r="B482">
        <v>184.58085632324219</v>
      </c>
      <c r="C482">
        <f t="shared" si="23"/>
        <v>1.3212704201504517E-2</v>
      </c>
      <c r="K482">
        <f t="shared" si="21"/>
        <v>344.65719604492188</v>
      </c>
      <c r="L482" s="5">
        <f t="shared" si="22"/>
        <v>-0.46445088499128762</v>
      </c>
    </row>
    <row r="483" spans="1:12" x14ac:dyDescent="0.3">
      <c r="A483" s="2">
        <v>45701</v>
      </c>
      <c r="B483">
        <v>187.01966857910159</v>
      </c>
      <c r="C483">
        <f t="shared" si="23"/>
        <v>-5.3758321794579273E-3</v>
      </c>
      <c r="K483">
        <f t="shared" si="21"/>
        <v>344.65719604492188</v>
      </c>
      <c r="L483" s="5">
        <f t="shared" si="22"/>
        <v>-0.45737483294930004</v>
      </c>
    </row>
    <row r="484" spans="1:12" x14ac:dyDescent="0.3">
      <c r="A484" s="2">
        <v>45702</v>
      </c>
      <c r="B484">
        <v>186.0142822265625</v>
      </c>
      <c r="C484">
        <f t="shared" si="23"/>
        <v>-5.7259541588984067E-3</v>
      </c>
      <c r="K484">
        <f t="shared" si="21"/>
        <v>344.65719604492188</v>
      </c>
      <c r="L484" s="5">
        <f t="shared" si="22"/>
        <v>-0.46029189478371491</v>
      </c>
    </row>
    <row r="485" spans="1:12" x14ac:dyDescent="0.3">
      <c r="A485" s="2">
        <v>45706</v>
      </c>
      <c r="B485">
        <v>184.94917297363281</v>
      </c>
      <c r="C485">
        <f t="shared" si="23"/>
        <v>7.1582562545847205E-3</v>
      </c>
      <c r="K485">
        <f t="shared" si="21"/>
        <v>344.65719604492188</v>
      </c>
      <c r="L485" s="5">
        <f t="shared" si="22"/>
        <v>-0.46338223865336925</v>
      </c>
    </row>
    <row r="486" spans="1:12" x14ac:dyDescent="0.3">
      <c r="A486" s="2">
        <v>45707</v>
      </c>
      <c r="B486">
        <v>186.27308654785159</v>
      </c>
      <c r="C486">
        <f t="shared" si="23"/>
        <v>-2.6184523025954529E-3</v>
      </c>
      <c r="K486">
        <f t="shared" si="21"/>
        <v>344.65719604492188</v>
      </c>
      <c r="L486" s="5">
        <f t="shared" si="22"/>
        <v>-0.45954099120688852</v>
      </c>
    </row>
    <row r="487" spans="1:12" x14ac:dyDescent="0.3">
      <c r="A487" s="2">
        <v>45708</v>
      </c>
      <c r="B487">
        <v>185.78533935546881</v>
      </c>
      <c r="C487">
        <f t="shared" si="23"/>
        <v>-2.7111045114059148E-2</v>
      </c>
      <c r="K487">
        <f t="shared" si="21"/>
        <v>344.65719604492188</v>
      </c>
      <c r="L487" s="5">
        <f t="shared" si="22"/>
        <v>-0.46095615734292128</v>
      </c>
    </row>
    <row r="488" spans="1:12" x14ac:dyDescent="0.3">
      <c r="A488" s="2">
        <v>45709</v>
      </c>
      <c r="B488">
        <v>180.7485046386719</v>
      </c>
      <c r="C488">
        <f t="shared" si="23"/>
        <v>-2.1477292623533779E-3</v>
      </c>
      <c r="K488">
        <f t="shared" si="21"/>
        <v>344.65719604492188</v>
      </c>
      <c r="L488" s="5">
        <f t="shared" si="22"/>
        <v>-0.47557019927965316</v>
      </c>
    </row>
    <row r="489" spans="1:12" x14ac:dyDescent="0.3">
      <c r="A489" s="2">
        <v>45712</v>
      </c>
      <c r="B489">
        <v>180.36030578613281</v>
      </c>
      <c r="C489">
        <f t="shared" si="23"/>
        <v>-2.1082913645434093E-2</v>
      </c>
      <c r="K489">
        <f t="shared" si="21"/>
        <v>344.65719604492188</v>
      </c>
      <c r="L489" s="5">
        <f t="shared" si="22"/>
        <v>-0.47669653250871036</v>
      </c>
    </row>
    <row r="490" spans="1:12" x14ac:dyDescent="0.3">
      <c r="A490" s="2">
        <v>45713</v>
      </c>
      <c r="B490">
        <v>176.55778503417969</v>
      </c>
      <c r="C490">
        <f t="shared" si="23"/>
        <v>-1.5053291920216158E-2</v>
      </c>
      <c r="K490">
        <f t="shared" si="21"/>
        <v>344.65719604492188</v>
      </c>
      <c r="L490" s="5">
        <f t="shared" si="22"/>
        <v>-0.48772929432418544</v>
      </c>
    </row>
    <row r="491" spans="1:12" x14ac:dyDescent="0.3">
      <c r="A491" s="2">
        <v>45714</v>
      </c>
      <c r="B491">
        <v>173.90000915527341</v>
      </c>
      <c r="C491">
        <f t="shared" si="23"/>
        <v>-2.5701186947707989E-2</v>
      </c>
      <c r="K491">
        <f t="shared" si="21"/>
        <v>344.65719604492188</v>
      </c>
      <c r="L491" s="5">
        <f t="shared" si="22"/>
        <v>-0.49544065479889865</v>
      </c>
    </row>
    <row r="492" spans="1:12" x14ac:dyDescent="0.3">
      <c r="A492" s="2">
        <v>45715</v>
      </c>
      <c r="B492">
        <v>169.4305725097656</v>
      </c>
      <c r="C492">
        <f t="shared" si="23"/>
        <v>1.1808928149115388E-2</v>
      </c>
      <c r="K492">
        <f t="shared" si="21"/>
        <v>344.65719604492188</v>
      </c>
      <c r="L492" s="5">
        <f t="shared" si="22"/>
        <v>-0.50840842885612525</v>
      </c>
    </row>
    <row r="493" spans="1:12" x14ac:dyDescent="0.3">
      <c r="A493" s="2">
        <v>45716</v>
      </c>
      <c r="B493">
        <v>171.4313659667969</v>
      </c>
      <c r="C493">
        <f t="shared" si="23"/>
        <v>-2.0671164189243765E-2</v>
      </c>
      <c r="K493">
        <f t="shared" si="21"/>
        <v>344.65719604492188</v>
      </c>
      <c r="L493" s="5">
        <f t="shared" si="22"/>
        <v>-0.50260325931377647</v>
      </c>
    </row>
    <row r="494" spans="1:12" x14ac:dyDescent="0.3">
      <c r="A494" s="2">
        <v>45719</v>
      </c>
      <c r="B494">
        <v>167.88768005371091</v>
      </c>
      <c r="C494">
        <f t="shared" si="23"/>
        <v>2.3419824630110983E-2</v>
      </c>
      <c r="K494">
        <f t="shared" si="21"/>
        <v>344.65719604492188</v>
      </c>
      <c r="L494" s="5">
        <f t="shared" si="22"/>
        <v>-0.51288502900769606</v>
      </c>
    </row>
    <row r="495" spans="1:12" x14ac:dyDescent="0.3">
      <c r="A495" s="2">
        <v>45720</v>
      </c>
      <c r="B495">
        <v>171.819580078125</v>
      </c>
      <c r="C495">
        <f t="shared" si="23"/>
        <v>1.378844812176637E-2</v>
      </c>
      <c r="K495">
        <f t="shared" si="21"/>
        <v>344.65719604492188</v>
      </c>
      <c r="L495" s="5">
        <f t="shared" si="22"/>
        <v>-0.50147688181235472</v>
      </c>
    </row>
    <row r="496" spans="1:12" x14ac:dyDescent="0.3">
      <c r="A496" s="2">
        <v>45721</v>
      </c>
      <c r="B496">
        <v>174.18870544433591</v>
      </c>
      <c r="C496">
        <f t="shared" si="23"/>
        <v>-4.457484654155343E-3</v>
      </c>
      <c r="K496">
        <f t="shared" si="21"/>
        <v>344.65719604492188</v>
      </c>
      <c r="L496" s="5">
        <f t="shared" si="22"/>
        <v>-0.49460302165972325</v>
      </c>
    </row>
    <row r="497" spans="1:12" x14ac:dyDescent="0.3">
      <c r="A497" s="2">
        <v>45722</v>
      </c>
      <c r="B497">
        <v>173.4122619628906</v>
      </c>
      <c r="C497">
        <f t="shared" si="23"/>
        <v>8.8397928119116672E-3</v>
      </c>
      <c r="K497">
        <f t="shared" si="21"/>
        <v>344.65719604492188</v>
      </c>
      <c r="L497" s="5">
        <f t="shared" si="22"/>
        <v>-0.49685582093493152</v>
      </c>
    </row>
    <row r="498" spans="1:12" x14ac:dyDescent="0.3">
      <c r="A498" s="2">
        <v>45723</v>
      </c>
      <c r="B498">
        <v>174.9451904296875</v>
      </c>
      <c r="C498">
        <f t="shared" si="23"/>
        <v>-4.4090085413191094E-2</v>
      </c>
      <c r="K498">
        <f t="shared" si="21"/>
        <v>344.65719604492188</v>
      </c>
      <c r="L498" s="5">
        <f t="shared" si="22"/>
        <v>-0.4924081306374769</v>
      </c>
    </row>
    <row r="499" spans="1:12" x14ac:dyDescent="0.3">
      <c r="A499" s="2">
        <v>45726</v>
      </c>
      <c r="B499">
        <v>167.2318420410156</v>
      </c>
      <c r="C499">
        <f t="shared" si="23"/>
        <v>-1.0905128294499702E-2</v>
      </c>
      <c r="K499">
        <f t="shared" si="21"/>
        <v>344.65719604492188</v>
      </c>
      <c r="L499" s="5">
        <f t="shared" si="22"/>
        <v>-0.51478789951271187</v>
      </c>
    </row>
    <row r="500" spans="1:12" x14ac:dyDescent="0.3">
      <c r="A500" s="2">
        <v>45727</v>
      </c>
      <c r="B500">
        <v>165.40815734863281</v>
      </c>
      <c r="C500">
        <f t="shared" si="23"/>
        <v>1.8195070215104182E-2</v>
      </c>
      <c r="K500">
        <f t="shared" si="21"/>
        <v>344.65719604492188</v>
      </c>
      <c r="L500" s="5">
        <f t="shared" si="22"/>
        <v>-0.52007919971856942</v>
      </c>
    </row>
    <row r="501" spans="1:12" x14ac:dyDescent="0.3">
      <c r="A501" s="2">
        <v>45728</v>
      </c>
      <c r="B501">
        <v>168.41777038574219</v>
      </c>
      <c r="C501">
        <f t="shared" si="23"/>
        <v>-2.5266305272052987E-2</v>
      </c>
      <c r="K501">
        <f t="shared" si="21"/>
        <v>344.65719604492188</v>
      </c>
      <c r="L501" s="5">
        <f t="shared" si="22"/>
        <v>-0.51134700705975988</v>
      </c>
    </row>
    <row r="502" spans="1:12" x14ac:dyDescent="0.3">
      <c r="A502" s="2">
        <v>45729</v>
      </c>
      <c r="B502">
        <v>164.1624755859375</v>
      </c>
      <c r="C502">
        <f t="shared" si="23"/>
        <v>1.7543903677743992E-2</v>
      </c>
      <c r="K502">
        <f t="shared" si="21"/>
        <v>344.65719604492188</v>
      </c>
      <c r="L502" s="5">
        <f t="shared" si="22"/>
        <v>-0.5236934627514902</v>
      </c>
    </row>
    <row r="503" spans="1:12" x14ac:dyDescent="0.3">
      <c r="A503" s="2">
        <v>45730</v>
      </c>
      <c r="B503">
        <v>167.04252624511719</v>
      </c>
      <c r="C503">
        <f t="shared" si="23"/>
        <v>-6.2641935695736456E-3</v>
      </c>
      <c r="K503">
        <f t="shared" si="21"/>
        <v>344.65719604492188</v>
      </c>
      <c r="L503" s="5">
        <f t="shared" si="22"/>
        <v>-0.51533718674092266</v>
      </c>
    </row>
    <row r="504" spans="1:12" x14ac:dyDescent="0.3">
      <c r="A504" s="2">
        <v>45733</v>
      </c>
      <c r="B504">
        <v>165.99613952636719</v>
      </c>
      <c r="C504">
        <f t="shared" si="23"/>
        <v>-2.3413593672713239E-2</v>
      </c>
      <c r="K504">
        <f t="shared" si="21"/>
        <v>344.65719604492188</v>
      </c>
      <c r="L504" s="5">
        <f t="shared" si="22"/>
        <v>-0.51837320841915169</v>
      </c>
    </row>
    <row r="505" spans="1:12" x14ac:dyDescent="0.3">
      <c r="A505" s="2">
        <v>45734</v>
      </c>
      <c r="B505">
        <v>162.10957336425781</v>
      </c>
      <c r="C505">
        <f t="shared" si="23"/>
        <v>2.2192179169961308E-2</v>
      </c>
      <c r="K505">
        <f t="shared" si="21"/>
        <v>344.65719604492188</v>
      </c>
      <c r="L505" s="5">
        <f t="shared" si="22"/>
        <v>-0.52964982241911818</v>
      </c>
    </row>
    <row r="506" spans="1:12" x14ac:dyDescent="0.3">
      <c r="A506" s="2">
        <v>45735</v>
      </c>
      <c r="B506">
        <v>165.70713806152341</v>
      </c>
      <c r="C506">
        <f t="shared" si="23"/>
        <v>-7.3972012147939005E-3</v>
      </c>
      <c r="K506">
        <f t="shared" si="21"/>
        <v>344.65719604492188</v>
      </c>
      <c r="L506" s="5">
        <f t="shared" si="22"/>
        <v>-0.51921172700562013</v>
      </c>
    </row>
    <row r="507" spans="1:12" x14ac:dyDescent="0.3">
      <c r="A507" s="2">
        <v>45736</v>
      </c>
      <c r="B507">
        <v>164.48136901855469</v>
      </c>
      <c r="C507">
        <f t="shared" si="23"/>
        <v>7.2705929086741058E-3</v>
      </c>
      <c r="K507">
        <f t="shared" si="21"/>
        <v>344.65719604492188</v>
      </c>
      <c r="L507" s="5">
        <f t="shared" si="22"/>
        <v>-0.52276821460267286</v>
      </c>
    </row>
    <row r="508" spans="1:12" x14ac:dyDescent="0.3">
      <c r="A508" s="2">
        <v>45737</v>
      </c>
      <c r="B508">
        <v>165.67724609375</v>
      </c>
      <c r="C508">
        <f t="shared" si="23"/>
        <v>2.2135282354917522E-2</v>
      </c>
      <c r="K508">
        <f t="shared" si="21"/>
        <v>344.65719604492188</v>
      </c>
      <c r="L508" s="5">
        <f t="shared" si="22"/>
        <v>-0.51929845656796902</v>
      </c>
    </row>
    <row r="509" spans="1:12" x14ac:dyDescent="0.3">
      <c r="A509" s="2">
        <v>45740</v>
      </c>
      <c r="B509">
        <v>169.34455871582031</v>
      </c>
      <c r="C509">
        <f t="shared" si="23"/>
        <v>1.6830349882165037E-2</v>
      </c>
      <c r="K509">
        <f t="shared" si="21"/>
        <v>344.65719604492188</v>
      </c>
      <c r="L509" s="5">
        <f t="shared" si="22"/>
        <v>-0.50865799217565644</v>
      </c>
    </row>
    <row r="510" spans="1:12" x14ac:dyDescent="0.3">
      <c r="A510" s="2">
        <v>45741</v>
      </c>
      <c r="B510">
        <v>172.19468688964841</v>
      </c>
      <c r="C510">
        <f t="shared" si="23"/>
        <v>-3.2698502634171504E-2</v>
      </c>
      <c r="K510">
        <f t="shared" si="21"/>
        <v>344.65719604492188</v>
      </c>
      <c r="L510" s="5">
        <f t="shared" si="22"/>
        <v>-0.50038853427216723</v>
      </c>
    </row>
    <row r="511" spans="1:12" x14ac:dyDescent="0.3">
      <c r="A511" s="2">
        <v>45742</v>
      </c>
      <c r="B511">
        <v>166.5641784667969</v>
      </c>
      <c r="C511">
        <f t="shared" si="23"/>
        <v>-1.8308072132980233E-2</v>
      </c>
      <c r="K511">
        <f t="shared" si="21"/>
        <v>344.65719604492188</v>
      </c>
      <c r="L511" s="5">
        <f t="shared" si="22"/>
        <v>-0.51672508110033111</v>
      </c>
    </row>
    <row r="512" spans="1:12" x14ac:dyDescent="0.3">
      <c r="A512" s="2">
        <v>45743</v>
      </c>
      <c r="B512">
        <v>163.51470947265619</v>
      </c>
      <c r="C512">
        <f t="shared" si="23"/>
        <v>-4.8878603223187211E-2</v>
      </c>
      <c r="K512">
        <f t="shared" si="21"/>
        <v>344.65719604492188</v>
      </c>
      <c r="L512" s="5">
        <f t="shared" si="22"/>
        <v>-0.52557291317560639</v>
      </c>
    </row>
    <row r="513" spans="1:12" x14ac:dyDescent="0.3">
      <c r="A513" s="2">
        <v>45744</v>
      </c>
      <c r="B513">
        <v>155.5223388671875</v>
      </c>
      <c r="C513">
        <f t="shared" si="23"/>
        <v>1.0892523698255963E-3</v>
      </c>
      <c r="K513">
        <f t="shared" si="21"/>
        <v>344.65719604492188</v>
      </c>
      <c r="L513" s="5">
        <f t="shared" si="22"/>
        <v>-0.54876224651082861</v>
      </c>
    </row>
    <row r="514" spans="1:12" x14ac:dyDescent="0.3">
      <c r="A514" s="2">
        <v>45747</v>
      </c>
      <c r="B514">
        <v>155.6917419433594</v>
      </c>
      <c r="C514">
        <f t="shared" si="23"/>
        <v>1.6962263806995996E-2</v>
      </c>
      <c r="K514">
        <f t="shared" ref="K514:K577" si="24">MAX(B514:B1253)</f>
        <v>344.65719604492188</v>
      </c>
      <c r="L514" s="5">
        <f t="shared" ref="L514:L577" si="25">B514/K514-1</f>
        <v>-0.54827073471848564</v>
      </c>
    </row>
    <row r="515" spans="1:12" x14ac:dyDescent="0.3">
      <c r="A515" s="2">
        <v>45748</v>
      </c>
      <c r="B515">
        <v>158.33262634277341</v>
      </c>
      <c r="C515">
        <f t="shared" ref="C515:C578" si="26">(B516-B515)/B515</f>
        <v>-1.2586147893773082E-4</v>
      </c>
      <c r="K515">
        <f t="shared" si="24"/>
        <v>344.65719604492188</v>
      </c>
      <c r="L515" s="5">
        <f t="shared" si="25"/>
        <v>-0.54060838375144016</v>
      </c>
    </row>
    <row r="516" spans="1:12" x14ac:dyDescent="0.3">
      <c r="A516" s="2">
        <v>45749</v>
      </c>
      <c r="B516">
        <v>158.31269836425781</v>
      </c>
      <c r="C516">
        <f t="shared" si="26"/>
        <v>-3.9216857999874892E-2</v>
      </c>
      <c r="K516">
        <f t="shared" si="24"/>
        <v>344.65719604492188</v>
      </c>
      <c r="L516" s="5">
        <f t="shared" si="25"/>
        <v>-0.54066620345967276</v>
      </c>
    </row>
    <row r="517" spans="1:12" x14ac:dyDescent="0.3">
      <c r="A517" s="2">
        <v>45750</v>
      </c>
      <c r="B517">
        <v>152.10417175292969</v>
      </c>
      <c r="C517">
        <f t="shared" si="26"/>
        <v>-3.2038364820316884E-2</v>
      </c>
      <c r="K517">
        <f t="shared" si="24"/>
        <v>344.65719604492188</v>
      </c>
      <c r="L517" s="5">
        <f t="shared" si="25"/>
        <v>-0.55867983173313829</v>
      </c>
    </row>
    <row r="518" spans="1:12" x14ac:dyDescent="0.3">
      <c r="A518" s="2">
        <v>45751</v>
      </c>
      <c r="B518">
        <v>147.23100280761719</v>
      </c>
      <c r="C518">
        <f t="shared" si="26"/>
        <v>1.0153041824011578E-2</v>
      </c>
      <c r="K518">
        <f t="shared" si="24"/>
        <v>344.65719604492188</v>
      </c>
      <c r="L518" s="5">
        <f t="shared" si="25"/>
        <v>-0.57281900828663557</v>
      </c>
    </row>
    <row r="519" spans="1:12" x14ac:dyDescent="0.3">
      <c r="A519" s="2">
        <v>45754</v>
      </c>
      <c r="B519">
        <v>148.72584533691409</v>
      </c>
      <c r="C519">
        <f t="shared" si="26"/>
        <v>-1.7823621199650058E-2</v>
      </c>
      <c r="K519">
        <f t="shared" si="24"/>
        <v>344.65719604492188</v>
      </c>
      <c r="L519" s="5">
        <f t="shared" si="25"/>
        <v>-0.56848182181134699</v>
      </c>
    </row>
    <row r="520" spans="1:12" x14ac:dyDescent="0.3">
      <c r="A520" s="2">
        <v>45755</v>
      </c>
      <c r="B520">
        <v>146.07501220703119</v>
      </c>
      <c r="C520">
        <f t="shared" si="26"/>
        <v>9.8785543600386813E-2</v>
      </c>
      <c r="K520">
        <f t="shared" si="24"/>
        <v>344.65719604492188</v>
      </c>
      <c r="L520" s="5">
        <f t="shared" si="25"/>
        <v>-0.57617303836014466</v>
      </c>
    </row>
    <row r="521" spans="1:12" x14ac:dyDescent="0.3">
      <c r="A521" s="2">
        <v>45756</v>
      </c>
      <c r="B521">
        <v>160.50511169433591</v>
      </c>
      <c r="C521">
        <f t="shared" si="26"/>
        <v>-3.5328438064075769E-2</v>
      </c>
      <c r="K521">
        <f t="shared" si="24"/>
        <v>344.65719604492188</v>
      </c>
      <c r="L521" s="5">
        <f t="shared" si="25"/>
        <v>-0.53430506156205126</v>
      </c>
    </row>
    <row r="522" spans="1:12" x14ac:dyDescent="0.3">
      <c r="A522" s="2">
        <v>45757</v>
      </c>
      <c r="B522">
        <v>154.834716796875</v>
      </c>
      <c r="C522">
        <f t="shared" si="26"/>
        <v>2.5938165697734189E-2</v>
      </c>
      <c r="K522">
        <f t="shared" si="24"/>
        <v>344.65719604492188</v>
      </c>
      <c r="L522" s="5">
        <f t="shared" si="25"/>
        <v>-0.55075733635141</v>
      </c>
    </row>
    <row r="523" spans="1:12" x14ac:dyDescent="0.3">
      <c r="A523" s="2">
        <v>45758</v>
      </c>
      <c r="B523">
        <v>158.85084533691409</v>
      </c>
      <c r="C523">
        <f t="shared" si="26"/>
        <v>1.2986087343590859E-2</v>
      </c>
      <c r="K523">
        <f t="shared" si="24"/>
        <v>344.65719604492188</v>
      </c>
      <c r="L523" s="5">
        <f t="shared" si="25"/>
        <v>-0.5391048057032013</v>
      </c>
    </row>
    <row r="524" spans="1:12" x14ac:dyDescent="0.3">
      <c r="A524" s="2">
        <v>45761</v>
      </c>
      <c r="B524">
        <v>160.9136962890625</v>
      </c>
      <c r="C524">
        <f t="shared" si="26"/>
        <v>-1.7278704753812775E-2</v>
      </c>
      <c r="K524">
        <f t="shared" si="24"/>
        <v>344.65719604492188</v>
      </c>
      <c r="L524" s="5">
        <f t="shared" si="25"/>
        <v>-0.5331195804538218</v>
      </c>
    </row>
    <row r="525" spans="1:12" x14ac:dyDescent="0.3">
      <c r="A525" s="2">
        <v>45762</v>
      </c>
      <c r="B525">
        <v>158.13331604003909</v>
      </c>
      <c r="C525">
        <f t="shared" si="26"/>
        <v>-2.0040382402536198E-2</v>
      </c>
      <c r="K525">
        <f t="shared" si="24"/>
        <v>344.65719604492188</v>
      </c>
      <c r="L525" s="5">
        <f t="shared" si="25"/>
        <v>-0.54118666937849658</v>
      </c>
    </row>
    <row r="526" spans="1:12" x14ac:dyDescent="0.3">
      <c r="A526" s="2">
        <v>45763</v>
      </c>
      <c r="B526">
        <v>154.9642639160156</v>
      </c>
      <c r="C526">
        <f t="shared" si="26"/>
        <v>-1.3761973772856293E-2</v>
      </c>
      <c r="K526">
        <f t="shared" si="24"/>
        <v>344.65719604492188</v>
      </c>
      <c r="L526" s="5">
        <f t="shared" si="25"/>
        <v>-0.55038146397553267</v>
      </c>
    </row>
    <row r="527" spans="1:12" x14ac:dyDescent="0.3">
      <c r="A527" s="2">
        <v>45764</v>
      </c>
      <c r="B527">
        <v>152.83164978027341</v>
      </c>
      <c r="C527">
        <f t="shared" si="26"/>
        <v>-2.2822141628747895E-2</v>
      </c>
      <c r="K527">
        <f t="shared" si="24"/>
        <v>344.65719604492188</v>
      </c>
      <c r="L527" s="5">
        <f t="shared" si="25"/>
        <v>-0.55656910247609148</v>
      </c>
    </row>
    <row r="528" spans="1:12" x14ac:dyDescent="0.3">
      <c r="A528" s="2">
        <v>45768</v>
      </c>
      <c r="B528">
        <v>149.34370422363281</v>
      </c>
      <c r="C528">
        <f t="shared" si="26"/>
        <v>2.695836448311208E-2</v>
      </c>
      <c r="K528">
        <f t="shared" si="24"/>
        <v>344.65719604492188</v>
      </c>
      <c r="L528" s="5">
        <f t="shared" si="25"/>
        <v>-0.56668914522194491</v>
      </c>
    </row>
    <row r="529" spans="1:12" x14ac:dyDescent="0.3">
      <c r="A529" s="2">
        <v>45769</v>
      </c>
      <c r="B529">
        <v>153.36976623535159</v>
      </c>
      <c r="C529">
        <f t="shared" si="26"/>
        <v>2.4821512089899953E-2</v>
      </c>
      <c r="K529">
        <f t="shared" si="24"/>
        <v>344.65719604492188</v>
      </c>
      <c r="L529" s="5">
        <f t="shared" si="25"/>
        <v>-0.55500779326434924</v>
      </c>
    </row>
    <row r="530" spans="1:12" x14ac:dyDescent="0.3">
      <c r="A530" s="2">
        <v>45770</v>
      </c>
      <c r="B530">
        <v>157.1766357421875</v>
      </c>
      <c r="C530">
        <f t="shared" si="26"/>
        <v>2.3776183586247498E-2</v>
      </c>
      <c r="K530">
        <f t="shared" si="24"/>
        <v>344.65719604492188</v>
      </c>
      <c r="L530" s="5">
        <f t="shared" si="25"/>
        <v>-0.54396241382494903</v>
      </c>
    </row>
    <row r="531" spans="1:12" x14ac:dyDescent="0.3">
      <c r="A531" s="2">
        <v>45771</v>
      </c>
      <c r="B531">
        <v>160.9136962890625</v>
      </c>
      <c r="C531">
        <f t="shared" si="26"/>
        <v>1.4739645957950218E-2</v>
      </c>
      <c r="K531">
        <f t="shared" si="24"/>
        <v>344.65719604492188</v>
      </c>
      <c r="L531" s="5">
        <f t="shared" si="25"/>
        <v>-0.5331195804538218</v>
      </c>
    </row>
    <row r="532" spans="1:12" x14ac:dyDescent="0.3">
      <c r="A532" s="2">
        <v>45772</v>
      </c>
      <c r="B532">
        <v>163.28550720214841</v>
      </c>
      <c r="C532">
        <f t="shared" si="26"/>
        <v>-8.7274376724063331E-3</v>
      </c>
      <c r="K532">
        <f t="shared" si="24"/>
        <v>344.65719604492188</v>
      </c>
      <c r="L532" s="5">
        <f t="shared" si="25"/>
        <v>-0.52623792836501193</v>
      </c>
    </row>
    <row r="533" spans="1:12" x14ac:dyDescent="0.3">
      <c r="A533" s="2">
        <v>45775</v>
      </c>
      <c r="B533">
        <v>161.8604431152344</v>
      </c>
      <c r="C533">
        <f t="shared" si="26"/>
        <v>-2.2165060315699385E-3</v>
      </c>
      <c r="K533">
        <f t="shared" si="24"/>
        <v>344.65719604492188</v>
      </c>
      <c r="L533" s="5">
        <f t="shared" si="25"/>
        <v>-0.53037265731675642</v>
      </c>
    </row>
    <row r="534" spans="1:12" x14ac:dyDescent="0.3">
      <c r="A534" s="2">
        <v>45776</v>
      </c>
      <c r="B534">
        <v>161.5016784667969</v>
      </c>
      <c r="C534">
        <f t="shared" si="26"/>
        <v>-7.2195525130255784E-3</v>
      </c>
      <c r="K534">
        <f t="shared" si="24"/>
        <v>344.65719604492188</v>
      </c>
      <c r="L534" s="5">
        <f t="shared" si="25"/>
        <v>-0.53141358915440395</v>
      </c>
    </row>
    <row r="535" spans="1:12" x14ac:dyDescent="0.3">
      <c r="A535" s="2">
        <v>45777</v>
      </c>
      <c r="B535">
        <v>160.33570861816409</v>
      </c>
      <c r="C535">
        <f t="shared" si="26"/>
        <v>1.1809271261498644E-2</v>
      </c>
      <c r="K535">
        <f t="shared" si="24"/>
        <v>344.65719604492188</v>
      </c>
      <c r="L535" s="5">
        <f t="shared" si="25"/>
        <v>-0.5347965733543939</v>
      </c>
    </row>
    <row r="536" spans="1:12" x14ac:dyDescent="0.3">
      <c r="A536" s="2">
        <v>45778</v>
      </c>
      <c r="B536">
        <v>162.2291564941406</v>
      </c>
      <c r="C536">
        <f t="shared" si="26"/>
        <v>1.8551428020523592E-2</v>
      </c>
      <c r="K536">
        <f t="shared" si="24"/>
        <v>344.65719604492188</v>
      </c>
      <c r="L536" s="5">
        <f t="shared" si="25"/>
        <v>-0.52930285989735726</v>
      </c>
    </row>
    <row r="537" spans="1:12" x14ac:dyDescent="0.3">
      <c r="A537" s="2">
        <v>45779</v>
      </c>
      <c r="B537">
        <v>165.2387390136719</v>
      </c>
      <c r="C537">
        <f t="shared" si="26"/>
        <v>1.4475829262041388E-3</v>
      </c>
      <c r="K537">
        <f t="shared" si="24"/>
        <v>344.65719604492188</v>
      </c>
      <c r="L537" s="5">
        <f t="shared" si="25"/>
        <v>-0.52057075578327683</v>
      </c>
    </row>
    <row r="538" spans="1:12" x14ac:dyDescent="0.3">
      <c r="A538" s="2">
        <v>45782</v>
      </c>
      <c r="B538">
        <v>165.4779357910156</v>
      </c>
      <c r="C538">
        <f t="shared" si="26"/>
        <v>-5.1190611651966188E-3</v>
      </c>
      <c r="K538">
        <f t="shared" si="24"/>
        <v>344.65719604492188</v>
      </c>
      <c r="L538" s="5">
        <f t="shared" si="25"/>
        <v>-0.51987674219502567</v>
      </c>
    </row>
    <row r="539" spans="1:12" x14ac:dyDescent="0.3">
      <c r="A539" s="2">
        <v>45783</v>
      </c>
      <c r="B539">
        <v>164.63084411621091</v>
      </c>
      <c r="C539">
        <f t="shared" si="26"/>
        <v>-7.5060381878364654E-2</v>
      </c>
      <c r="K539">
        <f t="shared" si="24"/>
        <v>344.65719604492188</v>
      </c>
      <c r="L539" s="5">
        <f t="shared" si="25"/>
        <v>-0.52233452251856283</v>
      </c>
    </row>
    <row r="540" spans="1:12" x14ac:dyDescent="0.3">
      <c r="A540" s="2">
        <v>45784</v>
      </c>
      <c r="B540">
        <v>152.2735900878906</v>
      </c>
      <c r="C540">
        <f t="shared" si="26"/>
        <v>1.9306166842462107E-2</v>
      </c>
      <c r="K540">
        <f t="shared" si="24"/>
        <v>344.65719604492188</v>
      </c>
      <c r="L540" s="5">
        <f t="shared" si="25"/>
        <v>-0.55818827566843088</v>
      </c>
    </row>
    <row r="541" spans="1:12" x14ac:dyDescent="0.3">
      <c r="A541" s="2">
        <v>45785</v>
      </c>
      <c r="B541">
        <v>155.2134094238281</v>
      </c>
      <c r="C541">
        <f t="shared" si="26"/>
        <v>-8.7961481964430842E-3</v>
      </c>
      <c r="K541">
        <f t="shared" si="24"/>
        <v>344.65719604492188</v>
      </c>
      <c r="L541" s="5">
        <f t="shared" si="25"/>
        <v>-0.54965858480552976</v>
      </c>
    </row>
    <row r="542" spans="1:12" x14ac:dyDescent="0.3">
      <c r="A542" s="2">
        <v>45786</v>
      </c>
      <c r="B542">
        <v>153.84812927246091</v>
      </c>
      <c r="C542">
        <f t="shared" si="26"/>
        <v>3.3683107844006133E-2</v>
      </c>
      <c r="K542">
        <f t="shared" si="24"/>
        <v>344.65719604492188</v>
      </c>
      <c r="L542" s="5">
        <f t="shared" si="25"/>
        <v>-0.55361985463257612</v>
      </c>
    </row>
    <row r="543" spans="1:12" x14ac:dyDescent="0.3">
      <c r="A543" s="2">
        <v>45789</v>
      </c>
      <c r="B543">
        <v>159.03021240234381</v>
      </c>
      <c r="C543">
        <f t="shared" si="26"/>
        <v>8.2091081694426731E-3</v>
      </c>
      <c r="K543">
        <f t="shared" si="24"/>
        <v>344.65719604492188</v>
      </c>
      <c r="L543" s="5">
        <f t="shared" si="25"/>
        <v>-0.53858438405674214</v>
      </c>
    </row>
    <row r="544" spans="1:12" x14ac:dyDescent="0.3">
      <c r="A544" s="2">
        <v>45790</v>
      </c>
      <c r="B544">
        <v>160.33570861816409</v>
      </c>
      <c r="C544">
        <f t="shared" si="26"/>
        <v>3.6795279222662E-2</v>
      </c>
      <c r="K544">
        <f t="shared" si="24"/>
        <v>344.65719604492188</v>
      </c>
      <c r="L544" s="5">
        <f t="shared" si="25"/>
        <v>-0.5347965733543939</v>
      </c>
    </row>
    <row r="545" spans="1:12" x14ac:dyDescent="0.3">
      <c r="A545" s="2">
        <v>45791</v>
      </c>
      <c r="B545">
        <v>166.23530578613281</v>
      </c>
      <c r="C545">
        <f t="shared" si="26"/>
        <v>-8.4527854088665942E-3</v>
      </c>
      <c r="K545">
        <f t="shared" si="24"/>
        <v>344.65719604492188</v>
      </c>
      <c r="L545" s="5">
        <f t="shared" si="25"/>
        <v>-0.51767928337562963</v>
      </c>
    </row>
    <row r="546" spans="1:12" x14ac:dyDescent="0.3">
      <c r="A546" s="2">
        <v>45792</v>
      </c>
      <c r="B546">
        <v>164.83015441894531</v>
      </c>
      <c r="C546">
        <f t="shared" si="26"/>
        <v>1.2273301939428122E-2</v>
      </c>
      <c r="K546">
        <f t="shared" si="24"/>
        <v>344.65719604492188</v>
      </c>
      <c r="L546" s="5">
        <f t="shared" si="25"/>
        <v>-0.5217562368915063</v>
      </c>
    </row>
    <row r="547" spans="1:12" x14ac:dyDescent="0.3">
      <c r="A547" s="2">
        <v>45793</v>
      </c>
      <c r="B547">
        <v>166.85316467285159</v>
      </c>
      <c r="C547">
        <f t="shared" si="26"/>
        <v>2.6280102157412179E-3</v>
      </c>
      <c r="K547">
        <f t="shared" si="24"/>
        <v>344.65719604492188</v>
      </c>
      <c r="L547" s="5">
        <f t="shared" si="25"/>
        <v>-0.51588660678622733</v>
      </c>
    </row>
    <row r="548" spans="1:12" x14ac:dyDescent="0.3">
      <c r="A548" s="2">
        <v>45796</v>
      </c>
      <c r="B548">
        <v>167.2916564941406</v>
      </c>
      <c r="C548">
        <f t="shared" si="26"/>
        <v>-1.5190229947646546E-2</v>
      </c>
      <c r="K548">
        <f t="shared" si="24"/>
        <v>344.65719604492188</v>
      </c>
      <c r="L548" s="5">
        <f t="shared" si="25"/>
        <v>-0.51461435184328441</v>
      </c>
    </row>
    <row r="549" spans="1:12" x14ac:dyDescent="0.3">
      <c r="A549" s="2">
        <v>45797</v>
      </c>
      <c r="B549">
        <v>164.7504577636719</v>
      </c>
      <c r="C549">
        <f t="shared" si="26"/>
        <v>2.8671532300474055E-2</v>
      </c>
      <c r="K549">
        <f t="shared" si="24"/>
        <v>344.65719604492188</v>
      </c>
      <c r="L549" s="5">
        <f t="shared" si="25"/>
        <v>-0.52198747145207236</v>
      </c>
    </row>
    <row r="550" spans="1:12" x14ac:dyDescent="0.3">
      <c r="A550" s="2">
        <v>45798</v>
      </c>
      <c r="B550">
        <v>169.47410583496091</v>
      </c>
      <c r="C550">
        <f t="shared" si="26"/>
        <v>1.1290167921845225E-2</v>
      </c>
      <c r="K550">
        <f t="shared" si="24"/>
        <v>344.65719604492188</v>
      </c>
      <c r="L550" s="5">
        <f t="shared" si="25"/>
        <v>-0.50828211979977922</v>
      </c>
    </row>
    <row r="551" spans="1:12" x14ac:dyDescent="0.3">
      <c r="A551" s="2">
        <v>45799</v>
      </c>
      <c r="B551">
        <v>171.38749694824219</v>
      </c>
      <c r="C551">
        <f t="shared" si="26"/>
        <v>-1.3897016671309796E-2</v>
      </c>
      <c r="K551">
        <f t="shared" si="24"/>
        <v>344.65719604492188</v>
      </c>
      <c r="L551" s="5">
        <f t="shared" si="25"/>
        <v>-0.50273054236214487</v>
      </c>
    </row>
    <row r="552" spans="1:12" x14ac:dyDescent="0.3">
      <c r="A552" s="2">
        <v>45800</v>
      </c>
      <c r="B552">
        <v>169.00572204589841</v>
      </c>
      <c r="C552">
        <f t="shared" si="26"/>
        <v>2.5885975200883288E-2</v>
      </c>
      <c r="K552">
        <f t="shared" si="24"/>
        <v>344.65719604492188</v>
      </c>
      <c r="L552" s="5">
        <f t="shared" si="25"/>
        <v>-0.50964110430507137</v>
      </c>
    </row>
    <row r="553" spans="1:12" x14ac:dyDescent="0.3">
      <c r="A553" s="2">
        <v>45804</v>
      </c>
      <c r="B553">
        <v>173.38059997558591</v>
      </c>
      <c r="C553">
        <f t="shared" si="26"/>
        <v>-3.4486609706466148E-3</v>
      </c>
      <c r="K553">
        <f t="shared" si="24"/>
        <v>344.65719604492188</v>
      </c>
      <c r="L553" s="5">
        <f t="shared" si="25"/>
        <v>-0.49694768609157991</v>
      </c>
    </row>
    <row r="554" spans="1:12" x14ac:dyDescent="0.3">
      <c r="A554" s="2">
        <v>45805</v>
      </c>
      <c r="B554">
        <v>172.78266906738281</v>
      </c>
      <c r="C554">
        <f t="shared" si="26"/>
        <v>-2.4223991112278477E-3</v>
      </c>
      <c r="K554">
        <f t="shared" si="24"/>
        <v>344.65719604492188</v>
      </c>
      <c r="L554" s="5">
        <f t="shared" si="25"/>
        <v>-0.49868254297274939</v>
      </c>
    </row>
    <row r="555" spans="1:12" x14ac:dyDescent="0.3">
      <c r="A555" s="2">
        <v>45806</v>
      </c>
      <c r="B555">
        <v>172.36412048339841</v>
      </c>
      <c r="C555">
        <f t="shared" si="26"/>
        <v>-6.3597424056451577E-4</v>
      </c>
      <c r="K555">
        <f t="shared" si="24"/>
        <v>344.65719604492188</v>
      </c>
      <c r="L555" s="5">
        <f t="shared" si="25"/>
        <v>-0.49989693393509516</v>
      </c>
    </row>
    <row r="556" spans="1:12" x14ac:dyDescent="0.3">
      <c r="A556" s="2">
        <v>45807</v>
      </c>
      <c r="B556">
        <v>172.25450134277341</v>
      </c>
      <c r="C556">
        <f t="shared" si="26"/>
        <v>-1.4347758956586373E-2</v>
      </c>
      <c r="K556">
        <f t="shared" si="24"/>
        <v>344.65719604492188</v>
      </c>
      <c r="L556" s="5">
        <f t="shared" si="25"/>
        <v>-0.50021498660273989</v>
      </c>
    </row>
    <row r="557" spans="1:12" x14ac:dyDescent="0.3">
      <c r="A557" s="2">
        <v>45810</v>
      </c>
      <c r="B557">
        <v>169.78303527832031</v>
      </c>
      <c r="C557">
        <f t="shared" si="26"/>
        <v>-1.5613062433106936E-2</v>
      </c>
      <c r="K557">
        <f t="shared" si="24"/>
        <v>344.65719604492188</v>
      </c>
      <c r="L557" s="5">
        <f t="shared" si="25"/>
        <v>-0.50738578150507796</v>
      </c>
    </row>
    <row r="558" spans="1:12" x14ac:dyDescent="0.3">
      <c r="A558" s="2">
        <v>45811</v>
      </c>
      <c r="B558">
        <v>167.1322021484375</v>
      </c>
      <c r="C558">
        <f t="shared" si="26"/>
        <v>1.0017277180609702E-2</v>
      </c>
      <c r="K558">
        <f t="shared" si="24"/>
        <v>344.65719604492188</v>
      </c>
      <c r="L558" s="5">
        <f t="shared" si="25"/>
        <v>-0.51507699805387541</v>
      </c>
    </row>
    <row r="559" spans="1:12" x14ac:dyDescent="0.3">
      <c r="A559" s="2">
        <v>45812</v>
      </c>
      <c r="B559">
        <v>168.80641174316409</v>
      </c>
      <c r="C559">
        <f t="shared" si="26"/>
        <v>2.4795494344743633E-3</v>
      </c>
      <c r="K559">
        <f t="shared" si="24"/>
        <v>344.65719604492188</v>
      </c>
      <c r="L559" s="5">
        <f t="shared" si="25"/>
        <v>-0.51021938993212768</v>
      </c>
    </row>
    <row r="560" spans="1:12" x14ac:dyDescent="0.3">
      <c r="A560" s="2">
        <v>45813</v>
      </c>
      <c r="B560">
        <v>169.2249755859375</v>
      </c>
      <c r="C560">
        <f t="shared" si="26"/>
        <v>3.009243730212471E-2</v>
      </c>
      <c r="K560">
        <f t="shared" si="24"/>
        <v>344.65719604492188</v>
      </c>
      <c r="L560" s="5">
        <f t="shared" si="25"/>
        <v>-0.50900495469741736</v>
      </c>
    </row>
    <row r="561" spans="1:12" x14ac:dyDescent="0.3">
      <c r="A561" s="2">
        <v>45814</v>
      </c>
      <c r="B561">
        <v>174.31736755371091</v>
      </c>
      <c r="C561">
        <f t="shared" si="26"/>
        <v>1.6713493264174054E-2</v>
      </c>
      <c r="K561">
        <f t="shared" si="24"/>
        <v>344.65719604492188</v>
      </c>
      <c r="L561" s="5">
        <f t="shared" si="25"/>
        <v>-0.49422971708099561</v>
      </c>
    </row>
    <row r="562" spans="1:12" x14ac:dyDescent="0.3">
      <c r="A562" s="2">
        <v>45817</v>
      </c>
      <c r="B562">
        <v>177.23081970214841</v>
      </c>
      <c r="C562">
        <f t="shared" si="26"/>
        <v>1.3398451433358173E-2</v>
      </c>
      <c r="K562">
        <f t="shared" si="24"/>
        <v>344.65719604492188</v>
      </c>
      <c r="L562" s="5">
        <f t="shared" si="25"/>
        <v>-0.48577652886420941</v>
      </c>
    </row>
    <row r="563" spans="1:12" x14ac:dyDescent="0.3">
      <c r="A563" s="2">
        <v>45818</v>
      </c>
      <c r="B563">
        <v>179.6054382324219</v>
      </c>
      <c r="C563">
        <f t="shared" si="26"/>
        <v>-6.7772969007075402E-3</v>
      </c>
      <c r="K563">
        <f t="shared" si="24"/>
        <v>344.65719604492188</v>
      </c>
      <c r="L563" s="5">
        <f t="shared" si="25"/>
        <v>-0.47888673066030363</v>
      </c>
    </row>
    <row r="564" spans="1:12" x14ac:dyDescent="0.3">
      <c r="A564" s="2">
        <v>45819</v>
      </c>
      <c r="B564">
        <v>178.38819885253909</v>
      </c>
      <c r="C564">
        <f t="shared" si="26"/>
        <v>-1.01795002227814E-2</v>
      </c>
      <c r="K564">
        <f t="shared" si="24"/>
        <v>344.65719604492188</v>
      </c>
      <c r="L564" s="5">
        <f t="shared" si="25"/>
        <v>-0.48241847000551719</v>
      </c>
    </row>
    <row r="565" spans="1:12" x14ac:dyDescent="0.3">
      <c r="A565" s="2">
        <v>45820</v>
      </c>
      <c r="B565">
        <v>176.5722961425781</v>
      </c>
      <c r="C565">
        <f t="shared" si="26"/>
        <v>-6.1591750042902663E-3</v>
      </c>
      <c r="K565">
        <f t="shared" si="24"/>
        <v>344.65719604492188</v>
      </c>
      <c r="L565" s="5">
        <f t="shared" si="25"/>
        <v>-0.4876871913054035</v>
      </c>
    </row>
    <row r="566" spans="1:12" x14ac:dyDescent="0.3">
      <c r="A566" s="2">
        <v>45821</v>
      </c>
      <c r="B566">
        <v>175.48475646972659</v>
      </c>
      <c r="C566">
        <f t="shared" si="26"/>
        <v>1.1712463965913175E-2</v>
      </c>
      <c r="K566">
        <f t="shared" si="24"/>
        <v>344.65719604492188</v>
      </c>
      <c r="L566" s="5">
        <f t="shared" si="25"/>
        <v>-0.49084261555109299</v>
      </c>
    </row>
    <row r="567" spans="1:12" x14ac:dyDescent="0.3">
      <c r="A567" s="2">
        <v>45824</v>
      </c>
      <c r="B567">
        <v>177.54011535644531</v>
      </c>
      <c r="C567">
        <f t="shared" si="26"/>
        <v>-3.990109725868822E-3</v>
      </c>
      <c r="K567">
        <f t="shared" si="24"/>
        <v>344.65719604492188</v>
      </c>
      <c r="L567" s="5">
        <f t="shared" si="25"/>
        <v>-0.48487912803275657</v>
      </c>
    </row>
    <row r="568" spans="1:12" x14ac:dyDescent="0.3">
      <c r="A568" s="2">
        <v>45825</v>
      </c>
      <c r="B568">
        <v>176.83171081542969</v>
      </c>
      <c r="C568">
        <f t="shared" si="26"/>
        <v>-1.8337809909064962E-2</v>
      </c>
      <c r="K568">
        <f t="shared" si="24"/>
        <v>344.65719604492188</v>
      </c>
      <c r="L568" s="5">
        <f t="shared" si="25"/>
        <v>-0.48693451683399114</v>
      </c>
    </row>
    <row r="569" spans="1:12" x14ac:dyDescent="0.3">
      <c r="A569" s="2">
        <v>45826</v>
      </c>
      <c r="B569">
        <v>173.58900451660159</v>
      </c>
      <c r="C569">
        <f t="shared" si="26"/>
        <v>-3.5923627032938624E-2</v>
      </c>
      <c r="K569">
        <f t="shared" si="24"/>
        <v>344.65719604492188</v>
      </c>
      <c r="L569" s="5">
        <f t="shared" si="25"/>
        <v>-0.496343014135192</v>
      </c>
    </row>
    <row r="570" spans="1:12" x14ac:dyDescent="0.3">
      <c r="A570" s="2">
        <v>45828</v>
      </c>
      <c r="B570">
        <v>167.3530578613281</v>
      </c>
      <c r="C570">
        <f t="shared" si="26"/>
        <v>-1.0254612428368717E-2</v>
      </c>
      <c r="K570">
        <f t="shared" si="24"/>
        <v>344.65719604492188</v>
      </c>
      <c r="L570" s="5">
        <f t="shared" si="25"/>
        <v>-0.51443619984793343</v>
      </c>
    </row>
    <row r="571" spans="1:12" x14ac:dyDescent="0.3">
      <c r="A571" s="2">
        <v>45831</v>
      </c>
      <c r="B571">
        <v>165.63691711425781</v>
      </c>
      <c r="C571">
        <f t="shared" si="26"/>
        <v>1.0421106750776427E-2</v>
      </c>
      <c r="K571">
        <f t="shared" si="24"/>
        <v>344.65719604492188</v>
      </c>
      <c r="L571" s="5">
        <f t="shared" si="25"/>
        <v>-0.51941546842773867</v>
      </c>
    </row>
    <row r="572" spans="1:12" x14ac:dyDescent="0.3">
      <c r="A572" s="2">
        <v>45832</v>
      </c>
      <c r="B572">
        <v>167.363037109375</v>
      </c>
      <c r="C572">
        <f t="shared" si="26"/>
        <v>2.2355963146170832E-2</v>
      </c>
      <c r="K572">
        <f t="shared" si="24"/>
        <v>344.65719604492188</v>
      </c>
      <c r="L572" s="5">
        <f t="shared" si="25"/>
        <v>-0.51440724572145224</v>
      </c>
    </row>
    <row r="573" spans="1:12" x14ac:dyDescent="0.3">
      <c r="A573" s="2">
        <v>45833</v>
      </c>
      <c r="B573">
        <v>171.10459899902341</v>
      </c>
      <c r="C573">
        <f t="shared" si="26"/>
        <v>1.7143961422965731E-2</v>
      </c>
      <c r="K573">
        <f t="shared" si="24"/>
        <v>344.65719604492188</v>
      </c>
      <c r="L573" s="5">
        <f t="shared" si="25"/>
        <v>-0.50355135200275347</v>
      </c>
    </row>
    <row r="574" spans="1:12" x14ac:dyDescent="0.3">
      <c r="A574" s="2">
        <v>45834</v>
      </c>
      <c r="B574">
        <v>174.03800964355469</v>
      </c>
      <c r="C574">
        <f t="shared" si="26"/>
        <v>2.201450057449052E-2</v>
      </c>
      <c r="K574">
        <f t="shared" si="24"/>
        <v>344.65719604492188</v>
      </c>
      <c r="L574" s="5">
        <f t="shared" si="25"/>
        <v>-0.49504025553300524</v>
      </c>
    </row>
    <row r="575" spans="1:12" x14ac:dyDescent="0.3">
      <c r="A575" s="2">
        <v>45835</v>
      </c>
      <c r="B575">
        <v>177.86936950683591</v>
      </c>
      <c r="C575">
        <f t="shared" si="26"/>
        <v>-4.9363262638684614E-3</v>
      </c>
      <c r="K575">
        <f t="shared" si="24"/>
        <v>344.65719604492188</v>
      </c>
      <c r="L575" s="5">
        <f t="shared" si="25"/>
        <v>-0.48392381894834191</v>
      </c>
    </row>
    <row r="576" spans="1:12" x14ac:dyDescent="0.3">
      <c r="A576" s="2">
        <v>45838</v>
      </c>
      <c r="B576">
        <v>176.99134826660159</v>
      </c>
      <c r="C576">
        <f t="shared" si="26"/>
        <v>-2.7058517730160314E-3</v>
      </c>
      <c r="K576">
        <f t="shared" si="24"/>
        <v>344.65719604492188</v>
      </c>
      <c r="L576" s="5">
        <f t="shared" si="25"/>
        <v>-0.48647133935502418</v>
      </c>
    </row>
    <row r="577" spans="1:12" x14ac:dyDescent="0.3">
      <c r="A577" s="2">
        <v>45839</v>
      </c>
      <c r="B577">
        <v>176.51243591308591</v>
      </c>
      <c r="C577">
        <f t="shared" si="26"/>
        <v>1.6109811972230974E-2</v>
      </c>
      <c r="K577">
        <f t="shared" si="24"/>
        <v>344.65719604492188</v>
      </c>
      <c r="L577" s="5">
        <f t="shared" si="25"/>
        <v>-0.48786087179192494</v>
      </c>
    </row>
    <row r="578" spans="1:12" x14ac:dyDescent="0.3">
      <c r="A578" s="2">
        <v>45840</v>
      </c>
      <c r="B578">
        <v>179.35601806640619</v>
      </c>
      <c r="C578">
        <f t="shared" si="26"/>
        <v>4.3947411137873352E-3</v>
      </c>
      <c r="K578">
        <f t="shared" ref="K578:K641" si="27">MAX(B578:B1317)</f>
        <v>344.65719604492188</v>
      </c>
      <c r="L578" s="5">
        <f t="shared" ref="L578:L641" si="28">B578/K578-1</f>
        <v>-0.47961040673287059</v>
      </c>
    </row>
    <row r="579" spans="1:12" x14ac:dyDescent="0.3">
      <c r="A579" s="2">
        <v>45841</v>
      </c>
      <c r="B579">
        <v>180.14424133300781</v>
      </c>
      <c r="C579">
        <f t="shared" ref="C579:C642" si="29">(B580-B579)/B579</f>
        <v>-1.6560487002594375E-2</v>
      </c>
      <c r="K579">
        <f t="shared" si="27"/>
        <v>344.65719604492188</v>
      </c>
      <c r="L579" s="5">
        <f t="shared" si="28"/>
        <v>-0.47732342919215243</v>
      </c>
    </row>
    <row r="580" spans="1:12" x14ac:dyDescent="0.3">
      <c r="A580" s="2">
        <v>45845</v>
      </c>
      <c r="B580">
        <v>177.16096496582031</v>
      </c>
      <c r="C580">
        <f t="shared" si="29"/>
        <v>-1.3516564128036356E-2</v>
      </c>
      <c r="K580">
        <f t="shared" si="27"/>
        <v>344.65719604492188</v>
      </c>
      <c r="L580" s="5">
        <f t="shared" si="28"/>
        <v>-0.48597920774957637</v>
      </c>
    </row>
    <row r="581" spans="1:12" x14ac:dyDescent="0.3">
      <c r="A581" s="2">
        <v>45846</v>
      </c>
      <c r="B581">
        <v>174.766357421875</v>
      </c>
      <c r="C581">
        <f t="shared" si="29"/>
        <v>1.4272770006831269E-2</v>
      </c>
      <c r="K581">
        <f t="shared" si="27"/>
        <v>344.65719604492188</v>
      </c>
      <c r="L581" s="5">
        <f t="shared" si="28"/>
        <v>-0.49292700275117329</v>
      </c>
    </row>
    <row r="582" spans="1:12" x14ac:dyDescent="0.3">
      <c r="A582" s="2">
        <v>45847</v>
      </c>
      <c r="B582">
        <v>177.26075744628909</v>
      </c>
      <c r="C582">
        <f t="shared" si="29"/>
        <v>5.8537684683622852E-3</v>
      </c>
      <c r="K582">
        <f t="shared" si="27"/>
        <v>344.65719604492188</v>
      </c>
      <c r="L582" s="5">
        <f t="shared" si="28"/>
        <v>-0.48568966648476619</v>
      </c>
    </row>
    <row r="583" spans="1:12" x14ac:dyDescent="0.3">
      <c r="A583" s="2">
        <v>45848</v>
      </c>
      <c r="B583">
        <v>178.29840087890619</v>
      </c>
      <c r="C583">
        <f t="shared" si="29"/>
        <v>1.4605436525093916E-2</v>
      </c>
      <c r="K583">
        <f t="shared" si="27"/>
        <v>344.65719604492188</v>
      </c>
      <c r="L583" s="5">
        <f t="shared" si="28"/>
        <v>-0.48267901287148185</v>
      </c>
    </row>
    <row r="584" spans="1:12" x14ac:dyDescent="0.3">
      <c r="A584" s="2">
        <v>45849</v>
      </c>
      <c r="B584">
        <v>180.90252685546881</v>
      </c>
      <c r="C584">
        <f t="shared" si="29"/>
        <v>8.2731172064435879E-3</v>
      </c>
      <c r="K584">
        <f t="shared" si="27"/>
        <v>344.65719604492188</v>
      </c>
      <c r="L584" s="5">
        <f t="shared" si="28"/>
        <v>-0.47512331403087738</v>
      </c>
    </row>
    <row r="585" spans="1:12" x14ac:dyDescent="0.3">
      <c r="A585" s="2">
        <v>45852</v>
      </c>
      <c r="B585">
        <v>182.39915466308591</v>
      </c>
      <c r="C585">
        <f t="shared" si="29"/>
        <v>1.5864529433580806E-3</v>
      </c>
      <c r="K585">
        <f t="shared" si="27"/>
        <v>344.65719604492188</v>
      </c>
      <c r="L585" s="5">
        <f t="shared" si="28"/>
        <v>-0.47078094768892509</v>
      </c>
    </row>
    <row r="586" spans="1:12" x14ac:dyDescent="0.3">
      <c r="A586" s="2">
        <v>45853</v>
      </c>
      <c r="B586">
        <v>182.68852233886719</v>
      </c>
      <c r="C586">
        <f t="shared" si="29"/>
        <v>3.659165558239909E-3</v>
      </c>
      <c r="K586">
        <f t="shared" si="27"/>
        <v>344.65719604492188</v>
      </c>
      <c r="L586" s="5">
        <f t="shared" si="28"/>
        <v>-0.46994136656570507</v>
      </c>
    </row>
    <row r="587" spans="1:12" x14ac:dyDescent="0.3">
      <c r="A587" s="2">
        <v>45854</v>
      </c>
      <c r="B587">
        <v>183.35700988769531</v>
      </c>
      <c r="C587">
        <f t="shared" si="29"/>
        <v>5.0606312910971884E-3</v>
      </c>
      <c r="K587">
        <f t="shared" si="27"/>
        <v>344.65719604492188</v>
      </c>
      <c r="L587" s="5">
        <f t="shared" si="28"/>
        <v>-0.46800179427039457</v>
      </c>
    </row>
    <row r="588" spans="1:12" x14ac:dyDescent="0.3">
      <c r="A588" s="2">
        <v>45855</v>
      </c>
      <c r="B588">
        <v>184.284912109375</v>
      </c>
      <c r="C588">
        <f t="shared" si="29"/>
        <v>6.713671669552522E-3</v>
      </c>
      <c r="K588">
        <f t="shared" si="27"/>
        <v>344.65719604492188</v>
      </c>
      <c r="L588" s="5">
        <f t="shared" si="28"/>
        <v>-0.46530954750367171</v>
      </c>
    </row>
    <row r="589" spans="1:12" x14ac:dyDescent="0.3">
      <c r="A589" s="2">
        <v>45856</v>
      </c>
      <c r="B589">
        <v>185.52214050292969</v>
      </c>
      <c r="C589">
        <f t="shared" si="29"/>
        <v>2.8019689137836548E-2</v>
      </c>
      <c r="K589">
        <f t="shared" si="27"/>
        <v>344.65719604492188</v>
      </c>
      <c r="L589" s="5">
        <f t="shared" si="28"/>
        <v>-0.4617198113607669</v>
      </c>
    </row>
    <row r="590" spans="1:12" x14ac:dyDescent="0.3">
      <c r="A590" s="2">
        <v>45859</v>
      </c>
      <c r="B590">
        <v>190.72041320800781</v>
      </c>
      <c r="C590">
        <f t="shared" si="29"/>
        <v>5.0222204834236752E-3</v>
      </c>
      <c r="K590">
        <f t="shared" si="27"/>
        <v>344.65719604492188</v>
      </c>
      <c r="L590" s="5">
        <f t="shared" si="28"/>
        <v>-0.44663736780603958</v>
      </c>
    </row>
    <row r="591" spans="1:12" x14ac:dyDescent="0.3">
      <c r="A591" s="2">
        <v>45860</v>
      </c>
      <c r="B591">
        <v>191.6782531738281</v>
      </c>
      <c r="C591">
        <f t="shared" si="29"/>
        <v>-3.1231924403344134E-3</v>
      </c>
      <c r="K591">
        <f t="shared" si="27"/>
        <v>344.65719604492188</v>
      </c>
      <c r="L591" s="5">
        <f t="shared" si="28"/>
        <v>-0.44385825865987383</v>
      </c>
    </row>
    <row r="592" spans="1:12" x14ac:dyDescent="0.3">
      <c r="A592" s="2">
        <v>45861</v>
      </c>
      <c r="B592">
        <v>191.07960510253909</v>
      </c>
      <c r="C592">
        <f t="shared" si="29"/>
        <v>8.8246100468171284E-3</v>
      </c>
      <c r="K592">
        <f t="shared" si="27"/>
        <v>344.65719604492188</v>
      </c>
      <c r="L592" s="5">
        <f t="shared" si="28"/>
        <v>-0.4455951963421817</v>
      </c>
    </row>
    <row r="593" spans="1:12" x14ac:dyDescent="0.3">
      <c r="A593" s="2">
        <v>45862</v>
      </c>
      <c r="B593">
        <v>192.76580810546881</v>
      </c>
      <c r="C593">
        <f t="shared" si="29"/>
        <v>4.5549390094273183E-3</v>
      </c>
      <c r="K593">
        <f t="shared" si="27"/>
        <v>344.65719604492188</v>
      </c>
      <c r="L593" s="5">
        <f t="shared" si="28"/>
        <v>-0.44070279014181923</v>
      </c>
    </row>
    <row r="594" spans="1:12" x14ac:dyDescent="0.3">
      <c r="A594" s="2">
        <v>45863</v>
      </c>
      <c r="B594">
        <v>193.64384460449219</v>
      </c>
      <c r="C594">
        <f t="shared" si="29"/>
        <v>-3.4006945116963842E-3</v>
      </c>
      <c r="K594">
        <f t="shared" si="27"/>
        <v>344.65719604492188</v>
      </c>
      <c r="L594" s="5">
        <f t="shared" si="28"/>
        <v>-0.43815522546277241</v>
      </c>
    </row>
    <row r="595" spans="1:12" x14ac:dyDescent="0.3">
      <c r="A595" s="2">
        <v>45866</v>
      </c>
      <c r="B595">
        <v>192.9853210449219</v>
      </c>
      <c r="C595">
        <f t="shared" si="29"/>
        <v>1.5561906927590193E-2</v>
      </c>
      <c r="K595">
        <f t="shared" si="27"/>
        <v>344.65719604492188</v>
      </c>
      <c r="L595" s="5">
        <f t="shared" si="28"/>
        <v>-0.44006588790396639</v>
      </c>
    </row>
    <row r="596" spans="1:12" x14ac:dyDescent="0.3">
      <c r="A596" s="2">
        <v>45867</v>
      </c>
      <c r="B596">
        <v>195.98854064941409</v>
      </c>
      <c r="C596">
        <f t="shared" si="29"/>
        <v>5.1418897324532649E-3</v>
      </c>
      <c r="K596">
        <f t="shared" si="27"/>
        <v>344.65719604492188</v>
      </c>
      <c r="L596" s="5">
        <f t="shared" si="28"/>
        <v>-0.43135224536594508</v>
      </c>
    </row>
    <row r="597" spans="1:12" x14ac:dyDescent="0.3">
      <c r="A597" s="2">
        <v>45868</v>
      </c>
      <c r="B597">
        <v>196.99629211425781</v>
      </c>
      <c r="C597">
        <f t="shared" si="29"/>
        <v>-2.3196971669782414E-2</v>
      </c>
      <c r="K597">
        <f t="shared" si="27"/>
        <v>344.65719604492188</v>
      </c>
      <c r="L597" s="5">
        <f t="shared" si="28"/>
        <v>-0.42842832131500963</v>
      </c>
    </row>
    <row r="598" spans="1:12" x14ac:dyDescent="0.3">
      <c r="A598" s="2">
        <v>45869</v>
      </c>
      <c r="B598">
        <v>192.42657470703119</v>
      </c>
      <c r="C598">
        <f t="shared" si="29"/>
        <v>-1.5088652105469372E-2</v>
      </c>
      <c r="K598">
        <f t="shared" si="27"/>
        <v>344.65719604492188</v>
      </c>
      <c r="L598" s="5">
        <f t="shared" si="28"/>
        <v>-0.4416870533527153</v>
      </c>
    </row>
    <row r="599" spans="1:12" x14ac:dyDescent="0.3">
      <c r="A599" s="2">
        <v>45870</v>
      </c>
      <c r="B599">
        <v>189.52311706542969</v>
      </c>
      <c r="C599">
        <f t="shared" si="29"/>
        <v>3.0534466688249114E-2</v>
      </c>
      <c r="K599">
        <f t="shared" si="27"/>
        <v>344.65719604492188</v>
      </c>
      <c r="L599" s="5">
        <f t="shared" si="28"/>
        <v>-0.45011124317065576</v>
      </c>
    </row>
    <row r="600" spans="1:12" x14ac:dyDescent="0.3">
      <c r="A600" s="2">
        <v>45873</v>
      </c>
      <c r="B600">
        <v>195.31010437011719</v>
      </c>
      <c r="C600">
        <f t="shared" si="29"/>
        <v>-2.1967456944589087E-3</v>
      </c>
      <c r="K600">
        <f t="shared" si="27"/>
        <v>344.65719604492188</v>
      </c>
      <c r="L600" s="5">
        <f t="shared" si="28"/>
        <v>-0.43332068324300743</v>
      </c>
    </row>
    <row r="601" spans="1:12" x14ac:dyDescent="0.3">
      <c r="A601" s="2">
        <v>45874</v>
      </c>
      <c r="B601">
        <v>194.88105773925781</v>
      </c>
      <c r="C601">
        <f t="shared" si="29"/>
        <v>8.1916890631453469E-3</v>
      </c>
      <c r="K601">
        <f t="shared" si="27"/>
        <v>344.65719604492188</v>
      </c>
      <c r="L601" s="5">
        <f t="shared" si="28"/>
        <v>-0.43456553359223227</v>
      </c>
    </row>
    <row r="602" spans="1:12" x14ac:dyDescent="0.3">
      <c r="A602" s="2">
        <v>45875</v>
      </c>
      <c r="B602">
        <v>196.47746276855469</v>
      </c>
      <c r="C602">
        <f t="shared" si="29"/>
        <v>1.8280805883844123E-3</v>
      </c>
      <c r="K602">
        <f t="shared" si="27"/>
        <v>344.65719604492188</v>
      </c>
      <c r="L602" s="5">
        <f t="shared" si="28"/>
        <v>-0.42993367025783424</v>
      </c>
    </row>
    <row r="603" spans="1:12" x14ac:dyDescent="0.3">
      <c r="A603" s="2">
        <v>45876</v>
      </c>
      <c r="B603">
        <v>196.8366394042969</v>
      </c>
      <c r="C603">
        <f t="shared" si="29"/>
        <v>2.4381610814235097E-2</v>
      </c>
      <c r="K603">
        <f t="shared" si="27"/>
        <v>344.65719604492188</v>
      </c>
      <c r="L603" s="5">
        <f t="shared" si="28"/>
        <v>-0.42889154306634103</v>
      </c>
    </row>
    <row r="604" spans="1:12" x14ac:dyDescent="0.3">
      <c r="A604" s="2">
        <v>45877</v>
      </c>
      <c r="B604">
        <v>201.6358337402344</v>
      </c>
      <c r="C604">
        <f t="shared" si="29"/>
        <v>-2.2761522538358408E-3</v>
      </c>
      <c r="K604">
        <f t="shared" si="27"/>
        <v>344.65719604492188</v>
      </c>
      <c r="L604" s="5">
        <f t="shared" si="28"/>
        <v>-0.41496699893666622</v>
      </c>
    </row>
    <row r="605" spans="1:12" x14ac:dyDescent="0.3">
      <c r="A605" s="2">
        <v>45880</v>
      </c>
      <c r="B605">
        <v>201.1768798828125</v>
      </c>
      <c r="C605">
        <f t="shared" si="29"/>
        <v>1.2547700572983459E-2</v>
      </c>
      <c r="K605">
        <f t="shared" si="27"/>
        <v>344.65719604492188</v>
      </c>
      <c r="L605" s="5">
        <f t="shared" si="28"/>
        <v>-0.41629862312060495</v>
      </c>
    </row>
    <row r="606" spans="1:12" x14ac:dyDescent="0.3">
      <c r="A606" s="2">
        <v>45881</v>
      </c>
      <c r="B606">
        <v>203.70118713378909</v>
      </c>
      <c r="C606">
        <f t="shared" si="29"/>
        <v>-5.5349305504423423E-3</v>
      </c>
      <c r="K606">
        <f t="shared" si="27"/>
        <v>344.65719604492188</v>
      </c>
      <c r="L606" s="5">
        <f t="shared" si="28"/>
        <v>-0.40897451301948406</v>
      </c>
    </row>
    <row r="607" spans="1:12" x14ac:dyDescent="0.3">
      <c r="A607" s="2">
        <v>45882</v>
      </c>
      <c r="B607">
        <v>202.57371520996091</v>
      </c>
      <c r="C607">
        <f t="shared" si="29"/>
        <v>3.8911947848845477E-3</v>
      </c>
      <c r="K607">
        <f t="shared" si="27"/>
        <v>344.65719604492188</v>
      </c>
      <c r="L607" s="5">
        <f t="shared" si="28"/>
        <v>-0.41224579804346262</v>
      </c>
    </row>
    <row r="608" spans="1:12" x14ac:dyDescent="0.3">
      <c r="A608" s="2">
        <v>45883</v>
      </c>
      <c r="B608">
        <v>203.3619689941406</v>
      </c>
      <c r="C608">
        <f t="shared" si="29"/>
        <v>5.3477275984372208E-3</v>
      </c>
      <c r="K608">
        <f t="shared" si="27"/>
        <v>344.65719604492188</v>
      </c>
      <c r="L608" s="5">
        <f t="shared" si="28"/>
        <v>-0.40995873195801535</v>
      </c>
    </row>
    <row r="609" spans="1:12" x14ac:dyDescent="0.3">
      <c r="A609" s="2">
        <v>45884</v>
      </c>
      <c r="B609">
        <v>204.4494934082031</v>
      </c>
      <c r="C609">
        <f t="shared" si="29"/>
        <v>-3.0257182694391738E-3</v>
      </c>
      <c r="K609">
        <f t="shared" si="27"/>
        <v>344.65719604492188</v>
      </c>
      <c r="L609" s="5">
        <f t="shared" si="28"/>
        <v>-0.40680335198469031</v>
      </c>
    </row>
    <row r="610" spans="1:12" x14ac:dyDescent="0.3">
      <c r="A610" s="2">
        <v>45887</v>
      </c>
      <c r="B610">
        <v>203.83088684082031</v>
      </c>
      <c r="C610">
        <f t="shared" si="29"/>
        <v>-8.8108774038776448E-3</v>
      </c>
      <c r="K610">
        <f t="shared" si="27"/>
        <v>344.65719604492188</v>
      </c>
      <c r="L610" s="5">
        <f t="shared" si="28"/>
        <v>-0.40859819791996033</v>
      </c>
    </row>
    <row r="611" spans="1:12" x14ac:dyDescent="0.3">
      <c r="A611" s="2">
        <v>45888</v>
      </c>
      <c r="B611">
        <v>202.03495788574219</v>
      </c>
      <c r="C611">
        <f t="shared" si="29"/>
        <v>-1.1358655972559474E-2</v>
      </c>
      <c r="K611">
        <f t="shared" si="27"/>
        <v>344.65719604492188</v>
      </c>
      <c r="L611" s="5">
        <f t="shared" si="28"/>
        <v>-0.41380896669451994</v>
      </c>
    </row>
    <row r="612" spans="1:12" x14ac:dyDescent="0.3">
      <c r="A612" s="2">
        <v>45889</v>
      </c>
      <c r="B612">
        <v>199.7401123046875</v>
      </c>
      <c r="C612">
        <f t="shared" si="29"/>
        <v>2.1478715933977107E-3</v>
      </c>
      <c r="K612">
        <f t="shared" si="27"/>
        <v>344.65719604492188</v>
      </c>
      <c r="L612" s="5">
        <f t="shared" si="28"/>
        <v>-0.42046730897603601</v>
      </c>
    </row>
    <row r="613" spans="1:12" x14ac:dyDescent="0.3">
      <c r="A613" s="2">
        <v>45890</v>
      </c>
      <c r="B613">
        <v>200.16912841796881</v>
      </c>
      <c r="C613">
        <f t="shared" si="29"/>
        <v>3.0405806125251782E-2</v>
      </c>
      <c r="K613">
        <f t="shared" si="27"/>
        <v>344.65719604492188</v>
      </c>
      <c r="L613" s="5">
        <f t="shared" si="28"/>
        <v>-0.41922254717154028</v>
      </c>
    </row>
    <row r="614" spans="1:12" x14ac:dyDescent="0.3">
      <c r="A614" s="2">
        <v>45891</v>
      </c>
      <c r="B614">
        <v>206.25543212890619</v>
      </c>
      <c r="C614">
        <f t="shared" si="29"/>
        <v>1.180337047230969E-2</v>
      </c>
      <c r="K614">
        <f t="shared" si="27"/>
        <v>344.65719604492188</v>
      </c>
      <c r="L614" s="5">
        <f t="shared" si="28"/>
        <v>-0.40156354053892063</v>
      </c>
    </row>
    <row r="615" spans="1:12" x14ac:dyDescent="0.3">
      <c r="A615" s="2">
        <v>45894</v>
      </c>
      <c r="B615">
        <v>208.68994140625</v>
      </c>
      <c r="C615">
        <f t="shared" si="29"/>
        <v>-5.7850195485695966E-3</v>
      </c>
      <c r="K615">
        <f t="shared" si="27"/>
        <v>344.65719604492188</v>
      </c>
      <c r="L615" s="5">
        <f t="shared" si="28"/>
        <v>-0.39449997330376407</v>
      </c>
    </row>
    <row r="616" spans="1:12" x14ac:dyDescent="0.3">
      <c r="A616" s="2">
        <v>45895</v>
      </c>
      <c r="B616">
        <v>207.482666015625</v>
      </c>
      <c r="C616">
        <f t="shared" si="29"/>
        <v>1.2502956407551417E-3</v>
      </c>
      <c r="K616">
        <f t="shared" si="27"/>
        <v>344.65719604492188</v>
      </c>
      <c r="L616" s="5">
        <f t="shared" si="28"/>
        <v>-0.39800280279486122</v>
      </c>
    </row>
    <row r="617" spans="1:12" x14ac:dyDescent="0.3">
      <c r="A617" s="2">
        <v>45896</v>
      </c>
      <c r="B617">
        <v>207.74208068847659</v>
      </c>
      <c r="C617">
        <f t="shared" si="29"/>
        <v>1.9979749658179075E-2</v>
      </c>
      <c r="K617">
        <f t="shared" si="27"/>
        <v>344.65719604492188</v>
      </c>
      <c r="L617" s="5">
        <f t="shared" si="28"/>
        <v>-0.39725012832344886</v>
      </c>
    </row>
    <row r="618" spans="1:12" x14ac:dyDescent="0.3">
      <c r="A618" s="2">
        <v>45897</v>
      </c>
      <c r="B618">
        <v>211.89271545410159</v>
      </c>
      <c r="C618">
        <f t="shared" si="29"/>
        <v>5.462243784493997E-3</v>
      </c>
      <c r="K618">
        <f t="shared" si="27"/>
        <v>344.65719604492188</v>
      </c>
      <c r="L618" s="5">
        <f t="shared" si="28"/>
        <v>-0.38520733678085184</v>
      </c>
    </row>
    <row r="619" spans="1:12" x14ac:dyDescent="0.3">
      <c r="A619" s="2">
        <v>45898</v>
      </c>
      <c r="B619">
        <v>213.05012512207031</v>
      </c>
      <c r="C619">
        <f t="shared" si="29"/>
        <v>-7.2120565061167975E-3</v>
      </c>
      <c r="K619">
        <f t="shared" si="27"/>
        <v>344.65719604492188</v>
      </c>
      <c r="L619" s="5">
        <f t="shared" si="28"/>
        <v>-0.38184918937743051</v>
      </c>
    </row>
    <row r="620" spans="1:12" x14ac:dyDescent="0.3">
      <c r="A620" s="2">
        <v>45902</v>
      </c>
      <c r="B620">
        <v>211.51359558105469</v>
      </c>
      <c r="C620">
        <f t="shared" si="29"/>
        <v>9.0145800441574817E-2</v>
      </c>
      <c r="K620">
        <f t="shared" si="27"/>
        <v>344.65719604492188</v>
      </c>
      <c r="L620" s="5">
        <f t="shared" si="28"/>
        <v>-0.38630732795294243</v>
      </c>
    </row>
    <row r="621" spans="1:12" x14ac:dyDescent="0.3">
      <c r="A621" s="2">
        <v>45903</v>
      </c>
      <c r="B621">
        <v>230.5806579589844</v>
      </c>
      <c r="C621">
        <f t="shared" si="29"/>
        <v>6.7502313164408993E-3</v>
      </c>
      <c r="K621">
        <f t="shared" si="27"/>
        <v>344.65719604492188</v>
      </c>
      <c r="L621" s="5">
        <f t="shared" si="28"/>
        <v>-0.33098551080613148</v>
      </c>
    </row>
    <row r="622" spans="1:12" x14ac:dyDescent="0.3">
      <c r="A622" s="2">
        <v>45904</v>
      </c>
      <c r="B622">
        <v>232.13713073730469</v>
      </c>
      <c r="C622">
        <f t="shared" si="29"/>
        <v>1.078829571864545E-2</v>
      </c>
      <c r="K622">
        <f t="shared" si="27"/>
        <v>344.65719604492188</v>
      </c>
      <c r="L622" s="5">
        <f t="shared" si="28"/>
        <v>-0.3264695082500223</v>
      </c>
    </row>
    <row r="623" spans="1:12" x14ac:dyDescent="0.3">
      <c r="A623" s="2">
        <v>45905</v>
      </c>
      <c r="B623">
        <v>234.64149475097659</v>
      </c>
      <c r="C623">
        <f t="shared" si="29"/>
        <v>-3.404787460092127E-3</v>
      </c>
      <c r="K623">
        <f t="shared" si="27"/>
        <v>344.65719604492188</v>
      </c>
      <c r="L623" s="5">
        <f t="shared" si="28"/>
        <v>-0.3192032621294989</v>
      </c>
    </row>
    <row r="624" spans="1:12" x14ac:dyDescent="0.3">
      <c r="A624" s="2">
        <v>45908</v>
      </c>
      <c r="B624">
        <v>233.84259033203119</v>
      </c>
      <c r="C624">
        <f t="shared" si="29"/>
        <v>2.4683936974539026E-2</v>
      </c>
      <c r="K624">
        <f t="shared" si="27"/>
        <v>344.65719604492188</v>
      </c>
      <c r="L624" s="5">
        <f t="shared" si="28"/>
        <v>-0.32152123032547197</v>
      </c>
    </row>
    <row r="625" spans="1:12" x14ac:dyDescent="0.3">
      <c r="A625" s="2">
        <v>45909</v>
      </c>
      <c r="B625">
        <v>239.61474609375</v>
      </c>
      <c r="C625">
        <f t="shared" si="29"/>
        <v>-1.5837342658198855E-3</v>
      </c>
      <c r="K625">
        <f t="shared" si="27"/>
        <v>344.65719604492188</v>
      </c>
      <c r="L625" s="5">
        <f t="shared" si="28"/>
        <v>-0.30477370313626317</v>
      </c>
    </row>
    <row r="626" spans="1:12" x14ac:dyDescent="0.3">
      <c r="A626" s="2">
        <v>45910</v>
      </c>
      <c r="B626">
        <v>239.2352600097656</v>
      </c>
      <c r="C626">
        <f t="shared" si="29"/>
        <v>5.0926356451201213E-3</v>
      </c>
      <c r="K626">
        <f t="shared" si="27"/>
        <v>344.65719604492188</v>
      </c>
      <c r="L626" s="5">
        <f t="shared" si="28"/>
        <v>-0.30587475684510534</v>
      </c>
    </row>
    <row r="627" spans="1:12" x14ac:dyDescent="0.3">
      <c r="A627" s="2">
        <v>45911</v>
      </c>
      <c r="B627">
        <v>240.45359802246091</v>
      </c>
      <c r="C627">
        <f t="shared" si="29"/>
        <v>2.4920094829624078E-3</v>
      </c>
      <c r="K627">
        <f t="shared" si="27"/>
        <v>344.65719604492188</v>
      </c>
      <c r="L627" s="5">
        <f t="shared" si="28"/>
        <v>-0.30233982988963704</v>
      </c>
    </row>
    <row r="628" spans="1:12" x14ac:dyDescent="0.3">
      <c r="A628" s="2">
        <v>45912</v>
      </c>
      <c r="B628">
        <v>241.05281066894531</v>
      </c>
      <c r="C628">
        <f t="shared" si="29"/>
        <v>4.3002633874927108E-2</v>
      </c>
      <c r="K628">
        <f t="shared" si="27"/>
        <v>344.65719604492188</v>
      </c>
      <c r="L628" s="5">
        <f t="shared" si="28"/>
        <v>-0.30060125412983685</v>
      </c>
    </row>
    <row r="629" spans="1:12" x14ac:dyDescent="0.3">
      <c r="A629" s="2">
        <v>45915</v>
      </c>
      <c r="B629">
        <v>251.41871643066409</v>
      </c>
      <c r="C629">
        <f t="shared" si="29"/>
        <v>-1.3504297541958089E-3</v>
      </c>
      <c r="K629">
        <f t="shared" si="27"/>
        <v>344.65719604492188</v>
      </c>
      <c r="L629" s="5">
        <f t="shared" si="28"/>
        <v>-0.27052526592859905</v>
      </c>
    </row>
    <row r="630" spans="1:12" x14ac:dyDescent="0.3">
      <c r="A630" s="2">
        <v>45916</v>
      </c>
      <c r="B630">
        <v>251.0791931152344</v>
      </c>
      <c r="C630">
        <f t="shared" si="29"/>
        <v>-6.2445281677738045E-3</v>
      </c>
      <c r="K630">
        <f t="shared" si="27"/>
        <v>344.65719604492188</v>
      </c>
      <c r="L630" s="5">
        <f t="shared" si="28"/>
        <v>-0.27151037031442316</v>
      </c>
    </row>
    <row r="631" spans="1:12" x14ac:dyDescent="0.3">
      <c r="A631" s="2">
        <v>45917</v>
      </c>
      <c r="B631">
        <v>249.5113220214844</v>
      </c>
      <c r="C631">
        <f t="shared" si="29"/>
        <v>9.9259575632885746E-3</v>
      </c>
      <c r="K631">
        <f t="shared" si="27"/>
        <v>344.65719604492188</v>
      </c>
      <c r="L631" s="5">
        <f t="shared" si="28"/>
        <v>-0.27605944432692586</v>
      </c>
    </row>
    <row r="632" spans="1:12" x14ac:dyDescent="0.3">
      <c r="A632" s="2">
        <v>45918</v>
      </c>
      <c r="B632">
        <v>251.98796081542969</v>
      </c>
      <c r="C632">
        <f t="shared" si="29"/>
        <v>1.1532501895480529E-2</v>
      </c>
      <c r="K632">
        <f t="shared" si="27"/>
        <v>344.65719604492188</v>
      </c>
      <c r="L632" s="5">
        <f t="shared" si="28"/>
        <v>-0.26887364109297129</v>
      </c>
    </row>
    <row r="633" spans="1:12" x14ac:dyDescent="0.3">
      <c r="A633" s="2">
        <v>45919</v>
      </c>
      <c r="B633">
        <v>254.8940124511719</v>
      </c>
      <c r="C633">
        <f t="shared" si="29"/>
        <v>-9.246181351945125E-3</v>
      </c>
      <c r="K633">
        <f t="shared" si="27"/>
        <v>344.65719604492188</v>
      </c>
      <c r="L633" s="5">
        <f t="shared" si="28"/>
        <v>-0.26044192497304031</v>
      </c>
    </row>
    <row r="634" spans="1:12" x14ac:dyDescent="0.3">
      <c r="A634" s="2">
        <v>45922</v>
      </c>
      <c r="B634">
        <v>252.53721618652341</v>
      </c>
      <c r="C634">
        <f t="shared" si="29"/>
        <v>-2.1354927007573793E-3</v>
      </c>
      <c r="K634">
        <f t="shared" si="27"/>
        <v>344.65719604492188</v>
      </c>
      <c r="L634" s="5">
        <f t="shared" si="28"/>
        <v>-0.26728001305503502</v>
      </c>
    </row>
    <row r="635" spans="1:12" x14ac:dyDescent="0.3">
      <c r="A635" s="2">
        <v>45923</v>
      </c>
      <c r="B635">
        <v>251.9979248046875</v>
      </c>
      <c r="C635">
        <f t="shared" si="29"/>
        <v>-1.78726699273919E-2</v>
      </c>
      <c r="K635">
        <f t="shared" si="27"/>
        <v>344.65719604492188</v>
      </c>
      <c r="L635" s="5">
        <f t="shared" si="28"/>
        <v>-0.26884473123885499</v>
      </c>
    </row>
    <row r="636" spans="1:12" x14ac:dyDescent="0.3">
      <c r="A636" s="2">
        <v>45924</v>
      </c>
      <c r="B636">
        <v>247.4940490722656</v>
      </c>
      <c r="C636">
        <f t="shared" si="29"/>
        <v>-5.0841041519083287E-3</v>
      </c>
      <c r="K636">
        <f t="shared" si="27"/>
        <v>344.65719604492188</v>
      </c>
      <c r="L636" s="5">
        <f t="shared" si="28"/>
        <v>-0.28191242802309646</v>
      </c>
    </row>
    <row r="637" spans="1:12" x14ac:dyDescent="0.3">
      <c r="A637" s="2">
        <v>45925</v>
      </c>
      <c r="B637">
        <v>246.23576354980469</v>
      </c>
      <c r="C637">
        <f t="shared" si="29"/>
        <v>2.4738948078511487E-3</v>
      </c>
      <c r="K637">
        <f t="shared" si="27"/>
        <v>344.65719604492188</v>
      </c>
      <c r="L637" s="5">
        <f t="shared" si="28"/>
        <v>-0.28556326002921795</v>
      </c>
    </row>
    <row r="638" spans="1:12" x14ac:dyDescent="0.3">
      <c r="A638" s="2">
        <v>45926</v>
      </c>
      <c r="B638">
        <v>246.84492492675781</v>
      </c>
      <c r="C638">
        <f t="shared" si="29"/>
        <v>-1.1408690573644985E-2</v>
      </c>
      <c r="K638">
        <f t="shared" si="27"/>
        <v>344.65719604492188</v>
      </c>
      <c r="L638" s="5">
        <f t="shared" si="28"/>
        <v>-0.28379581868766612</v>
      </c>
    </row>
    <row r="639" spans="1:12" x14ac:dyDescent="0.3">
      <c r="A639" s="2">
        <v>45929</v>
      </c>
      <c r="B639">
        <v>244.02874755859381</v>
      </c>
      <c r="C639">
        <f t="shared" si="29"/>
        <v>-3.3147064642373523E-3</v>
      </c>
      <c r="K639">
        <f t="shared" si="27"/>
        <v>344.65719604492188</v>
      </c>
      <c r="L639" s="5">
        <f t="shared" si="28"/>
        <v>-0.29196677057980935</v>
      </c>
    </row>
    <row r="640" spans="1:12" x14ac:dyDescent="0.3">
      <c r="A640" s="2">
        <v>45930</v>
      </c>
      <c r="B640">
        <v>243.21986389160159</v>
      </c>
      <c r="C640">
        <f t="shared" si="29"/>
        <v>8.1707529842077603E-3</v>
      </c>
      <c r="K640">
        <f t="shared" si="27"/>
        <v>344.65719604492188</v>
      </c>
      <c r="L640" s="5">
        <f t="shared" si="28"/>
        <v>-0.29431369290226328</v>
      </c>
    </row>
    <row r="641" spans="1:12" x14ac:dyDescent="0.3">
      <c r="A641" s="2">
        <v>45931</v>
      </c>
      <c r="B641">
        <v>245.2071533203125</v>
      </c>
      <c r="C641">
        <f t="shared" si="29"/>
        <v>3.6246656481162044E-3</v>
      </c>
      <c r="K641">
        <f t="shared" si="27"/>
        <v>344.65719604492188</v>
      </c>
      <c r="L641" s="5">
        <f t="shared" si="28"/>
        <v>-0.28854770440262989</v>
      </c>
    </row>
    <row r="642" spans="1:12" x14ac:dyDescent="0.3">
      <c r="A642" s="2">
        <v>45932</v>
      </c>
      <c r="B642">
        <v>246.095947265625</v>
      </c>
      <c r="C642">
        <f t="shared" si="29"/>
        <v>8.11624697795357E-5</v>
      </c>
      <c r="K642">
        <f t="shared" ref="K642:K705" si="30">MAX(B642:B1381)</f>
        <v>344.65719604492188</v>
      </c>
      <c r="L642" s="5">
        <f t="shared" ref="L642:L705" si="31">B642/K642-1</f>
        <v>-0.28596892770650473</v>
      </c>
    </row>
    <row r="643" spans="1:12" x14ac:dyDescent="0.3">
      <c r="A643" s="2">
        <v>45933</v>
      </c>
      <c r="B643">
        <v>246.11592102050781</v>
      </c>
      <c r="C643">
        <f t="shared" ref="C643:C706" si="32">(B644-B643)/B643</f>
        <v>2.0531570413454193E-2</v>
      </c>
      <c r="K643">
        <f t="shared" si="30"/>
        <v>344.65719604492188</v>
      </c>
      <c r="L643" s="5">
        <f t="shared" si="31"/>
        <v>-0.28591097518117803</v>
      </c>
    </row>
    <row r="644" spans="1:12" x14ac:dyDescent="0.3">
      <c r="A644" s="2">
        <v>45936</v>
      </c>
      <c r="B644">
        <v>251.1690673828125</v>
      </c>
      <c r="C644">
        <f t="shared" si="32"/>
        <v>-1.7414779616995994E-2</v>
      </c>
      <c r="K644">
        <f t="shared" si="30"/>
        <v>344.65719604492188</v>
      </c>
      <c r="L644" s="5">
        <f t="shared" si="31"/>
        <v>-0.27124960608663551</v>
      </c>
    </row>
    <row r="645" spans="1:12" x14ac:dyDescent="0.3">
      <c r="A645" s="2">
        <v>45937</v>
      </c>
      <c r="B645">
        <v>246.7950134277344</v>
      </c>
      <c r="C645">
        <f t="shared" si="32"/>
        <v>-6.7575914318561883E-3</v>
      </c>
      <c r="K645">
        <f t="shared" si="30"/>
        <v>344.65719604492188</v>
      </c>
      <c r="L645" s="5">
        <f t="shared" si="31"/>
        <v>-0.28394063359243582</v>
      </c>
    </row>
    <row r="646" spans="1:12" x14ac:dyDescent="0.3">
      <c r="A646" s="2">
        <v>45938</v>
      </c>
      <c r="B646">
        <v>245.12727355957031</v>
      </c>
      <c r="C646">
        <f t="shared" si="32"/>
        <v>-1.3240428789627005E-2</v>
      </c>
      <c r="K646">
        <f t="shared" si="30"/>
        <v>344.65719604492188</v>
      </c>
      <c r="L646" s="5">
        <f t="shared" si="31"/>
        <v>-0.28877947023157191</v>
      </c>
    </row>
    <row r="647" spans="1:12" x14ac:dyDescent="0.3">
      <c r="A647" s="2">
        <v>45939</v>
      </c>
      <c r="B647">
        <v>241.8816833496094</v>
      </c>
      <c r="C647">
        <f t="shared" si="32"/>
        <v>-1.9487245676528014E-2</v>
      </c>
      <c r="K647">
        <f t="shared" si="30"/>
        <v>344.65719604492188</v>
      </c>
      <c r="L647" s="5">
        <f t="shared" si="31"/>
        <v>-0.29819633500969156</v>
      </c>
    </row>
    <row r="648" spans="1:12" x14ac:dyDescent="0.3">
      <c r="A648" s="2">
        <v>45940</v>
      </c>
      <c r="B648">
        <v>237.16807556152341</v>
      </c>
      <c r="C648">
        <f t="shared" si="32"/>
        <v>3.0106452100415303E-2</v>
      </c>
      <c r="K648">
        <f t="shared" si="30"/>
        <v>344.65719604492188</v>
      </c>
      <c r="L648" s="5">
        <f t="shared" si="31"/>
        <v>-0.31187255544604553</v>
      </c>
    </row>
    <row r="649" spans="1:12" x14ac:dyDescent="0.3">
      <c r="A649" s="2">
        <v>45943</v>
      </c>
      <c r="B649">
        <v>244.30836486816409</v>
      </c>
      <c r="C649">
        <f t="shared" si="32"/>
        <v>6.3358968428752745E-3</v>
      </c>
      <c r="K649">
        <f t="shared" si="30"/>
        <v>344.65719604492188</v>
      </c>
      <c r="L649" s="5">
        <f t="shared" si="31"/>
        <v>-0.29115547949760068</v>
      </c>
    </row>
    <row r="650" spans="1:12" x14ac:dyDescent="0.3">
      <c r="A650" s="2">
        <v>45944</v>
      </c>
      <c r="B650">
        <v>245.85627746582031</v>
      </c>
      <c r="C650">
        <f t="shared" si="32"/>
        <v>2.2421685807057112E-2</v>
      </c>
      <c r="K650">
        <f t="shared" si="30"/>
        <v>344.65719604492188</v>
      </c>
      <c r="L650" s="5">
        <f t="shared" si="31"/>
        <v>-0.28666431373806012</v>
      </c>
    </row>
    <row r="651" spans="1:12" x14ac:dyDescent="0.3">
      <c r="A651" s="2">
        <v>45945</v>
      </c>
      <c r="B651">
        <v>251.36878967285159</v>
      </c>
      <c r="C651">
        <f t="shared" si="32"/>
        <v>6.7544004217619149E-4</v>
      </c>
      <c r="K651">
        <f t="shared" si="30"/>
        <v>344.65719604492188</v>
      </c>
      <c r="L651" s="5">
        <f t="shared" si="31"/>
        <v>-0.27067012510573341</v>
      </c>
    </row>
    <row r="652" spans="1:12" x14ac:dyDescent="0.3">
      <c r="A652" s="2">
        <v>45946</v>
      </c>
      <c r="B652">
        <v>251.53857421875</v>
      </c>
      <c r="C652">
        <f t="shared" si="32"/>
        <v>7.5829101564395679E-3</v>
      </c>
      <c r="K652">
        <f t="shared" si="30"/>
        <v>344.65719604492188</v>
      </c>
      <c r="L652" s="5">
        <f t="shared" si="31"/>
        <v>-0.27017750650427441</v>
      </c>
    </row>
    <row r="653" spans="1:12" x14ac:dyDescent="0.3">
      <c r="A653" s="2">
        <v>45947</v>
      </c>
      <c r="B653">
        <v>253.44596862792969</v>
      </c>
      <c r="C653">
        <f t="shared" si="32"/>
        <v>1.2727098131920035E-2</v>
      </c>
      <c r="K653">
        <f t="shared" si="30"/>
        <v>344.65719604492188</v>
      </c>
      <c r="L653" s="5">
        <f t="shared" si="31"/>
        <v>-0.26464332810594771</v>
      </c>
    </row>
    <row r="654" spans="1:12" x14ac:dyDescent="0.3">
      <c r="A654" s="2">
        <v>45950</v>
      </c>
      <c r="B654">
        <v>256.67160034179688</v>
      </c>
      <c r="C654">
        <f t="shared" si="32"/>
        <v>-2.2099454082727711E-2</v>
      </c>
      <c r="K654">
        <f t="shared" si="30"/>
        <v>344.65719604492188</v>
      </c>
      <c r="L654" s="5">
        <f t="shared" si="31"/>
        <v>-0.25528437158078998</v>
      </c>
    </row>
    <row r="655" spans="1:12" x14ac:dyDescent="0.3">
      <c r="A655" s="2">
        <v>45951</v>
      </c>
      <c r="B655">
        <v>250.9992980957031</v>
      </c>
      <c r="C655">
        <f t="shared" si="32"/>
        <v>4.7346148725586996E-3</v>
      </c>
      <c r="K655">
        <f t="shared" si="30"/>
        <v>344.65719604492188</v>
      </c>
      <c r="L655" s="5">
        <f t="shared" si="31"/>
        <v>-0.27174218041572995</v>
      </c>
    </row>
    <row r="656" spans="1:12" x14ac:dyDescent="0.3">
      <c r="A656" s="2">
        <v>45952</v>
      </c>
      <c r="B656">
        <v>252.18768310546881</v>
      </c>
      <c r="C656">
        <f t="shared" si="32"/>
        <v>4.7518746477051843E-3</v>
      </c>
      <c r="K656">
        <f t="shared" si="30"/>
        <v>344.65719604492188</v>
      </c>
      <c r="L656" s="5">
        <f t="shared" si="31"/>
        <v>-0.26829416011206908</v>
      </c>
    </row>
    <row r="657" spans="1:12" x14ac:dyDescent="0.3">
      <c r="A657" s="2">
        <v>45953</v>
      </c>
      <c r="B657">
        <v>253.38604736328119</v>
      </c>
      <c r="C657">
        <f t="shared" si="32"/>
        <v>2.6721333154441407E-2</v>
      </c>
      <c r="K657">
        <f t="shared" si="30"/>
        <v>344.65719604492188</v>
      </c>
      <c r="L657" s="5">
        <f t="shared" si="31"/>
        <v>-0.2648171856819278</v>
      </c>
    </row>
    <row r="658" spans="1:12" x14ac:dyDescent="0.3">
      <c r="A658" s="2">
        <v>45954</v>
      </c>
      <c r="B658">
        <v>260.1568603515625</v>
      </c>
      <c r="C658">
        <f t="shared" si="32"/>
        <v>3.6159825075485465E-2</v>
      </c>
      <c r="K658">
        <f t="shared" si="30"/>
        <v>344.65719604492188</v>
      </c>
      <c r="L658" s="5">
        <f t="shared" si="31"/>
        <v>-0.24517212077111483</v>
      </c>
    </row>
    <row r="659" spans="1:12" x14ac:dyDescent="0.3">
      <c r="A659" s="2">
        <v>45957</v>
      </c>
      <c r="B659">
        <v>269.5640869140625</v>
      </c>
      <c r="C659">
        <f t="shared" si="32"/>
        <v>-5.556954338443369E-3</v>
      </c>
      <c r="K659">
        <f t="shared" si="30"/>
        <v>344.65719604492188</v>
      </c>
      <c r="L659" s="5">
        <f t="shared" si="31"/>
        <v>-0.21787767669609859</v>
      </c>
    </row>
    <row r="660" spans="1:12" x14ac:dyDescent="0.3">
      <c r="A660" s="2">
        <v>45958</v>
      </c>
      <c r="B660">
        <v>268.06613159179688</v>
      </c>
      <c r="C660">
        <f t="shared" si="32"/>
        <v>2.5108973813839291E-2</v>
      </c>
      <c r="K660">
        <f t="shared" si="30"/>
        <v>344.65719604492188</v>
      </c>
      <c r="L660" s="5">
        <f t="shared" si="31"/>
        <v>-0.22222389473377568</v>
      </c>
    </row>
    <row r="661" spans="1:12" x14ac:dyDescent="0.3">
      <c r="A661" s="2">
        <v>45959</v>
      </c>
      <c r="B661">
        <v>274.7969970703125</v>
      </c>
      <c r="C661">
        <f t="shared" si="32"/>
        <v>2.4457529683888632E-2</v>
      </c>
      <c r="K661">
        <f t="shared" si="30"/>
        <v>344.65719604492188</v>
      </c>
      <c r="L661" s="5">
        <f t="shared" si="31"/>
        <v>-0.20269473487361611</v>
      </c>
    </row>
    <row r="662" spans="1:12" x14ac:dyDescent="0.3">
      <c r="A662" s="2">
        <v>45960</v>
      </c>
      <c r="B662">
        <v>281.51785278320313</v>
      </c>
      <c r="C662">
        <f t="shared" si="32"/>
        <v>-2.8369249468035922E-4</v>
      </c>
      <c r="K662">
        <f t="shared" si="30"/>
        <v>344.65719604492188</v>
      </c>
      <c r="L662" s="5">
        <f t="shared" si="31"/>
        <v>-0.18319461768466694</v>
      </c>
    </row>
    <row r="663" spans="1:12" x14ac:dyDescent="0.3">
      <c r="A663" s="2">
        <v>45961</v>
      </c>
      <c r="B663">
        <v>281.43798828125</v>
      </c>
      <c r="C663">
        <f t="shared" si="32"/>
        <v>8.1612116901029694E-3</v>
      </c>
      <c r="K663">
        <f t="shared" si="30"/>
        <v>344.65719604492188</v>
      </c>
      <c r="L663" s="5">
        <f t="shared" si="31"/>
        <v>-0.1834263392412443</v>
      </c>
    </row>
    <row r="664" spans="1:12" x14ac:dyDescent="0.3">
      <c r="A664" s="2">
        <v>45964</v>
      </c>
      <c r="B664">
        <v>283.73486328125</v>
      </c>
      <c r="C664">
        <f t="shared" si="32"/>
        <v>-2.1329026190480289E-2</v>
      </c>
      <c r="K664">
        <f t="shared" si="30"/>
        <v>344.65719604492188</v>
      </c>
      <c r="L664" s="5">
        <f t="shared" si="31"/>
        <v>-0.17676210873522979</v>
      </c>
    </row>
    <row r="665" spans="1:12" x14ac:dyDescent="0.3">
      <c r="A665" s="2">
        <v>45965</v>
      </c>
      <c r="B665">
        <v>277.68307495117188</v>
      </c>
      <c r="C665">
        <f t="shared" si="32"/>
        <v>2.4059582032062665E-2</v>
      </c>
      <c r="K665">
        <f t="shared" si="30"/>
        <v>344.65719604492188</v>
      </c>
      <c r="L665" s="5">
        <f t="shared" si="31"/>
        <v>-0.19432097127901182</v>
      </c>
    </row>
    <row r="666" spans="1:12" x14ac:dyDescent="0.3">
      <c r="A666" s="2">
        <v>45966</v>
      </c>
      <c r="B666">
        <v>284.364013671875</v>
      </c>
      <c r="C666">
        <f t="shared" si="32"/>
        <v>2.0720022665710815E-3</v>
      </c>
      <c r="K666">
        <f t="shared" si="30"/>
        <v>344.65719604492188</v>
      </c>
      <c r="L666" s="5">
        <f t="shared" si="31"/>
        <v>-0.17493667059598661</v>
      </c>
    </row>
    <row r="667" spans="1:12" x14ac:dyDescent="0.3">
      <c r="A667" s="2">
        <v>45967</v>
      </c>
      <c r="B667">
        <v>284.95321655273438</v>
      </c>
      <c r="C667">
        <f t="shared" si="32"/>
        <v>-1.9765892817306872E-2</v>
      </c>
      <c r="K667">
        <f t="shared" si="30"/>
        <v>344.65719604492188</v>
      </c>
      <c r="L667" s="5">
        <f t="shared" si="31"/>
        <v>-0.17322713750739682</v>
      </c>
    </row>
    <row r="668" spans="1:12" x14ac:dyDescent="0.3">
      <c r="A668" s="2">
        <v>45968</v>
      </c>
      <c r="B668">
        <v>279.32086181640619</v>
      </c>
      <c r="C668">
        <f t="shared" si="32"/>
        <v>3.8934483992087432E-2</v>
      </c>
      <c r="K668">
        <f t="shared" si="30"/>
        <v>344.65719604492188</v>
      </c>
      <c r="L668" s="5">
        <f t="shared" si="31"/>
        <v>-0.18956904129168362</v>
      </c>
    </row>
    <row r="669" spans="1:12" x14ac:dyDescent="0.3">
      <c r="A669" s="2">
        <v>45971</v>
      </c>
      <c r="B669">
        <v>290.19607543945313</v>
      </c>
      <c r="C669">
        <f t="shared" si="32"/>
        <v>3.9574535880986146E-3</v>
      </c>
      <c r="K669">
        <f t="shared" si="30"/>
        <v>344.65719604492188</v>
      </c>
      <c r="L669" s="5">
        <f t="shared" si="31"/>
        <v>-0.1580153301031626</v>
      </c>
    </row>
    <row r="670" spans="1:12" x14ac:dyDescent="0.3">
      <c r="A670" s="2">
        <v>45972</v>
      </c>
      <c r="B670">
        <v>291.34451293945313</v>
      </c>
      <c r="C670">
        <f t="shared" si="32"/>
        <v>-1.4773362779920385E-2</v>
      </c>
      <c r="K670">
        <f t="shared" si="30"/>
        <v>344.65719604492188</v>
      </c>
      <c r="L670" s="5">
        <f t="shared" si="31"/>
        <v>-0.15468321485015535</v>
      </c>
    </row>
    <row r="671" spans="1:12" x14ac:dyDescent="0.3">
      <c r="A671" s="2">
        <v>45973</v>
      </c>
      <c r="B671">
        <v>287.04037475585938</v>
      </c>
      <c r="C671">
        <f t="shared" si="32"/>
        <v>-2.8911391226143755E-2</v>
      </c>
      <c r="K671">
        <f t="shared" si="30"/>
        <v>344.65719604492188</v>
      </c>
      <c r="L671" s="5">
        <f t="shared" si="31"/>
        <v>-0.16717138638112994</v>
      </c>
    </row>
    <row r="672" spans="1:12" x14ac:dyDescent="0.3">
      <c r="A672" s="2">
        <v>45974</v>
      </c>
      <c r="B672">
        <v>278.74163818359381</v>
      </c>
      <c r="C672">
        <f t="shared" si="32"/>
        <v>-7.6669024938786426E-3</v>
      </c>
      <c r="K672">
        <f t="shared" si="30"/>
        <v>344.65719604492188</v>
      </c>
      <c r="L672" s="5">
        <f t="shared" si="31"/>
        <v>-0.191249620253792</v>
      </c>
    </row>
    <row r="673" spans="1:12" x14ac:dyDescent="0.3">
      <c r="A673" s="2">
        <v>45975</v>
      </c>
      <c r="B673">
        <v>276.60455322265619</v>
      </c>
      <c r="C673">
        <f t="shared" si="32"/>
        <v>3.1121349176910767E-2</v>
      </c>
      <c r="K673">
        <f t="shared" si="30"/>
        <v>344.65719604492188</v>
      </c>
      <c r="L673" s="5">
        <f t="shared" si="31"/>
        <v>-0.19745023055719357</v>
      </c>
    </row>
    <row r="674" spans="1:12" x14ac:dyDescent="0.3">
      <c r="A674" s="2">
        <v>45978</v>
      </c>
      <c r="B674">
        <v>285.21286010742188</v>
      </c>
      <c r="C674">
        <f t="shared" si="32"/>
        <v>-2.2408864678512561E-3</v>
      </c>
      <c r="K674">
        <f t="shared" si="30"/>
        <v>344.65719604492188</v>
      </c>
      <c r="L674" s="5">
        <f t="shared" si="31"/>
        <v>-0.17247379895051473</v>
      </c>
    </row>
    <row r="675" spans="1:12" x14ac:dyDescent="0.3">
      <c r="A675" s="2">
        <v>45979</v>
      </c>
      <c r="B675">
        <v>284.57373046875</v>
      </c>
      <c r="C675">
        <f t="shared" si="32"/>
        <v>2.8179354400341593E-2</v>
      </c>
      <c r="K675">
        <f t="shared" si="30"/>
        <v>344.65719604492188</v>
      </c>
      <c r="L675" s="5">
        <f t="shared" si="31"/>
        <v>-0.17432819121623888</v>
      </c>
    </row>
    <row r="676" spans="1:12" x14ac:dyDescent="0.3">
      <c r="A676" s="2">
        <v>45980</v>
      </c>
      <c r="B676">
        <v>292.59283447265619</v>
      </c>
      <c r="C676">
        <f t="shared" si="32"/>
        <v>-1.027328607686385E-2</v>
      </c>
      <c r="K676">
        <f t="shared" si="30"/>
        <v>344.65719604492188</v>
      </c>
      <c r="L676" s="5">
        <f t="shared" si="31"/>
        <v>-0.15106129269815016</v>
      </c>
    </row>
    <row r="677" spans="1:12" x14ac:dyDescent="0.3">
      <c r="A677" s="2">
        <v>45981</v>
      </c>
      <c r="B677">
        <v>289.58694458007813</v>
      </c>
      <c r="C677">
        <f t="shared" si="32"/>
        <v>3.3347015576153272E-2</v>
      </c>
      <c r="K677">
        <f t="shared" si="30"/>
        <v>344.65719604492188</v>
      </c>
      <c r="L677" s="5">
        <f t="shared" si="31"/>
        <v>-0.1597826828999851</v>
      </c>
    </row>
    <row r="678" spans="1:12" x14ac:dyDescent="0.3">
      <c r="A678" s="2">
        <v>45982</v>
      </c>
      <c r="B678">
        <v>299.24380493164063</v>
      </c>
      <c r="C678">
        <f t="shared" si="32"/>
        <v>6.2806628973320511E-2</v>
      </c>
      <c r="K678">
        <f t="shared" si="30"/>
        <v>344.65719604492188</v>
      </c>
      <c r="L678" s="5">
        <f t="shared" si="31"/>
        <v>-0.13176394293929716</v>
      </c>
    </row>
    <row r="679" spans="1:12" x14ac:dyDescent="0.3">
      <c r="A679" s="2">
        <v>45985</v>
      </c>
      <c r="B679">
        <v>318.03829956054688</v>
      </c>
      <c r="C679">
        <f t="shared" si="32"/>
        <v>1.6233876208933493E-2</v>
      </c>
      <c r="K679">
        <f t="shared" si="30"/>
        <v>344.65719604492188</v>
      </c>
      <c r="L679" s="5">
        <f t="shared" si="31"/>
        <v>-7.7232963042226932E-2</v>
      </c>
    </row>
    <row r="680" spans="1:12" x14ac:dyDescent="0.3">
      <c r="A680" s="2">
        <v>45986</v>
      </c>
      <c r="B680">
        <v>323.2012939453125</v>
      </c>
      <c r="C680">
        <f t="shared" si="32"/>
        <v>-1.0381978082574647E-2</v>
      </c>
      <c r="K680">
        <f t="shared" si="30"/>
        <v>344.65719604492188</v>
      </c>
      <c r="L680" s="5">
        <f t="shared" si="31"/>
        <v>-6.2252877194570067E-2</v>
      </c>
    </row>
    <row r="681" spans="1:12" x14ac:dyDescent="0.3">
      <c r="A681" s="2">
        <v>45987</v>
      </c>
      <c r="B681">
        <v>319.8458251953125</v>
      </c>
      <c r="C681">
        <f t="shared" si="32"/>
        <v>-4.9948915664857756E-4</v>
      </c>
      <c r="K681">
        <f t="shared" si="30"/>
        <v>344.65719604492188</v>
      </c>
      <c r="L681" s="5">
        <f t="shared" si="31"/>
        <v>-7.1988547270533498E-2</v>
      </c>
    </row>
    <row r="682" spans="1:12" x14ac:dyDescent="0.3">
      <c r="A682" s="2">
        <v>45989</v>
      </c>
      <c r="B682">
        <v>319.68606567382813</v>
      </c>
      <c r="C682">
        <f t="shared" si="32"/>
        <v>-1.5619246978155367E-2</v>
      </c>
      <c r="K682">
        <f t="shared" si="30"/>
        <v>344.65719604492188</v>
      </c>
      <c r="L682" s="5">
        <f t="shared" si="31"/>
        <v>-7.245207892841754E-2</v>
      </c>
    </row>
    <row r="683" spans="1:12" x14ac:dyDescent="0.3">
      <c r="A683" s="2">
        <v>45992</v>
      </c>
      <c r="B683">
        <v>314.69281005859381</v>
      </c>
      <c r="C683">
        <f t="shared" si="32"/>
        <v>2.8561304300852466E-3</v>
      </c>
      <c r="K683">
        <f t="shared" si="30"/>
        <v>344.65719604492188</v>
      </c>
      <c r="L683" s="5">
        <f t="shared" si="31"/>
        <v>-8.6939678991709179E-2</v>
      </c>
    </row>
    <row r="684" spans="1:12" x14ac:dyDescent="0.3">
      <c r="A684" s="2">
        <v>45993</v>
      </c>
      <c r="B684">
        <v>315.59161376953119</v>
      </c>
      <c r="C684">
        <f t="shared" si="32"/>
        <v>1.4556091851454922E-2</v>
      </c>
      <c r="K684">
        <f t="shared" si="30"/>
        <v>344.65719604492188</v>
      </c>
      <c r="L684" s="5">
        <f t="shared" si="31"/>
        <v>-8.433185962437395E-2</v>
      </c>
    </row>
    <row r="685" spans="1:12" x14ac:dyDescent="0.3">
      <c r="A685" s="2">
        <v>45994</v>
      </c>
      <c r="B685">
        <v>320.18539428710938</v>
      </c>
      <c r="C685">
        <f t="shared" si="32"/>
        <v>-6.9552180338327985E-3</v>
      </c>
      <c r="K685">
        <f t="shared" si="30"/>
        <v>344.65719604492188</v>
      </c>
      <c r="L685" s="5">
        <f t="shared" si="31"/>
        <v>-7.1003310067615399E-2</v>
      </c>
    </row>
    <row r="686" spans="1:12" x14ac:dyDescent="0.3">
      <c r="A686" s="2">
        <v>45995</v>
      </c>
      <c r="B686">
        <v>317.95843505859381</v>
      </c>
      <c r="C686">
        <f t="shared" si="32"/>
        <v>1.1620846883277296E-2</v>
      </c>
      <c r="K686">
        <f t="shared" si="30"/>
        <v>344.65719604492188</v>
      </c>
      <c r="L686" s="5">
        <f t="shared" si="31"/>
        <v>-7.7464684598804068E-2</v>
      </c>
    </row>
    <row r="687" spans="1:12" x14ac:dyDescent="0.3">
      <c r="A687" s="2">
        <v>45996</v>
      </c>
      <c r="B687">
        <v>321.65338134765619</v>
      </c>
      <c r="C687">
        <f t="shared" si="32"/>
        <v>-2.308305798383237E-2</v>
      </c>
      <c r="K687">
        <f t="shared" si="30"/>
        <v>344.65719604492188</v>
      </c>
      <c r="L687" s="5">
        <f t="shared" si="31"/>
        <v>-6.6744042954110849E-2</v>
      </c>
    </row>
    <row r="688" spans="1:12" x14ac:dyDescent="0.3">
      <c r="A688" s="2">
        <v>45999</v>
      </c>
      <c r="B688">
        <v>314.2286376953125</v>
      </c>
      <c r="C688">
        <f t="shared" si="32"/>
        <v>1.0494487330046747E-2</v>
      </c>
      <c r="K688">
        <f t="shared" si="30"/>
        <v>344.65719604492188</v>
      </c>
      <c r="L688" s="5">
        <f t="shared" si="31"/>
        <v>-8.828644432435806E-2</v>
      </c>
    </row>
    <row r="689" spans="1:12" x14ac:dyDescent="0.3">
      <c r="A689" s="2">
        <v>46000</v>
      </c>
      <c r="B689">
        <v>317.52630615234381</v>
      </c>
      <c r="C689">
        <f t="shared" si="32"/>
        <v>1.0228164151169165E-2</v>
      </c>
      <c r="K689">
        <f t="shared" si="30"/>
        <v>344.65719604492188</v>
      </c>
      <c r="L689" s="5">
        <f t="shared" si="31"/>
        <v>-7.8718477965688205E-2</v>
      </c>
    </row>
    <row r="690" spans="1:12" x14ac:dyDescent="0.3">
      <c r="A690" s="2">
        <v>46001</v>
      </c>
      <c r="B690">
        <v>320.77401733398438</v>
      </c>
      <c r="C690">
        <f t="shared" si="32"/>
        <v>-2.2741433051444646E-2</v>
      </c>
      <c r="K690">
        <f t="shared" si="30"/>
        <v>344.65719604492188</v>
      </c>
      <c r="L690" s="5">
        <f t="shared" si="31"/>
        <v>-6.9295459328882258E-2</v>
      </c>
    </row>
    <row r="691" spans="1:12" x14ac:dyDescent="0.3">
      <c r="A691" s="2">
        <v>46002</v>
      </c>
      <c r="B691">
        <v>313.47915649414063</v>
      </c>
      <c r="C691">
        <f t="shared" si="32"/>
        <v>-1.0137085119525394E-2</v>
      </c>
      <c r="K691">
        <f t="shared" si="30"/>
        <v>344.65719604492188</v>
      </c>
      <c r="L691" s="5">
        <f t="shared" si="31"/>
        <v>-9.0461014331230105E-2</v>
      </c>
    </row>
    <row r="692" spans="1:12" x14ac:dyDescent="0.3">
      <c r="A692" s="2">
        <v>46003</v>
      </c>
      <c r="B692">
        <v>310.3013916015625</v>
      </c>
      <c r="C692">
        <f t="shared" si="32"/>
        <v>-3.8644935127569529E-3</v>
      </c>
      <c r="K692">
        <f t="shared" si="30"/>
        <v>344.65719604492188</v>
      </c>
      <c r="L692" s="5">
        <f t="shared" si="31"/>
        <v>-9.9681088448481225E-2</v>
      </c>
    </row>
    <row r="693" spans="1:12" x14ac:dyDescent="0.3">
      <c r="A693" s="2">
        <v>46006</v>
      </c>
      <c r="B693">
        <v>309.10223388671881</v>
      </c>
      <c r="C693">
        <f t="shared" si="32"/>
        <v>-5.1402643310636681E-3</v>
      </c>
      <c r="K693">
        <f t="shared" si="30"/>
        <v>344.65719604492188</v>
      </c>
      <c r="L693" s="5">
        <f t="shared" si="31"/>
        <v>-0.10316036504158443</v>
      </c>
    </row>
    <row r="694" spans="1:12" x14ac:dyDescent="0.3">
      <c r="A694" s="2">
        <v>46007</v>
      </c>
      <c r="B694">
        <v>307.51336669921881</v>
      </c>
      <c r="C694">
        <f t="shared" si="32"/>
        <v>-3.1423700737094371E-2</v>
      </c>
      <c r="K694">
        <f t="shared" si="30"/>
        <v>344.65719604492188</v>
      </c>
      <c r="L694" s="5">
        <f t="shared" si="31"/>
        <v>-0.10777035782784528</v>
      </c>
    </row>
    <row r="695" spans="1:12" x14ac:dyDescent="0.3">
      <c r="A695" s="2">
        <v>46008</v>
      </c>
      <c r="B695">
        <v>297.85015869140619</v>
      </c>
      <c r="C695">
        <f t="shared" si="32"/>
        <v>1.9090151449484484E-2</v>
      </c>
      <c r="K695">
        <f t="shared" si="30"/>
        <v>344.65719604492188</v>
      </c>
      <c r="L695" s="5">
        <f t="shared" si="31"/>
        <v>-0.13580751509222788</v>
      </c>
    </row>
    <row r="696" spans="1:12" x14ac:dyDescent="0.3">
      <c r="A696" s="2">
        <v>46009</v>
      </c>
      <c r="B696">
        <v>303.53616333007813</v>
      </c>
      <c r="C696">
        <f t="shared" si="32"/>
        <v>1.5999963001216637E-2</v>
      </c>
      <c r="K696">
        <f t="shared" si="30"/>
        <v>344.65719604492188</v>
      </c>
      <c r="L696" s="5">
        <f t="shared" si="31"/>
        <v>-0.11930994967383224</v>
      </c>
    </row>
    <row r="697" spans="1:12" x14ac:dyDescent="0.3">
      <c r="A697" s="2">
        <v>46010</v>
      </c>
      <c r="B697">
        <v>308.39273071289063</v>
      </c>
      <c r="C697">
        <f t="shared" si="32"/>
        <v>8.8136922261366265E-3</v>
      </c>
      <c r="K697">
        <f t="shared" si="30"/>
        <v>344.65719604492188</v>
      </c>
      <c r="L697" s="5">
        <f t="shared" si="31"/>
        <v>-0.10521894145307387</v>
      </c>
    </row>
    <row r="698" spans="1:12" x14ac:dyDescent="0.3">
      <c r="A698" s="2">
        <v>46013</v>
      </c>
      <c r="B698">
        <v>311.11080932617188</v>
      </c>
      <c r="C698">
        <f t="shared" si="32"/>
        <v>1.3972366807563192E-2</v>
      </c>
      <c r="K698">
        <f t="shared" si="30"/>
        <v>344.65719604492188</v>
      </c>
      <c r="L698" s="5">
        <f t="shared" si="31"/>
        <v>-9.7332616593264532E-2</v>
      </c>
    </row>
    <row r="699" spans="1:12" x14ac:dyDescent="0.3">
      <c r="A699" s="2">
        <v>46014</v>
      </c>
      <c r="B699">
        <v>315.457763671875</v>
      </c>
      <c r="C699">
        <f t="shared" si="32"/>
        <v>-3.1634181168084883E-5</v>
      </c>
      <c r="K699">
        <f t="shared" si="30"/>
        <v>344.65719604492188</v>
      </c>
      <c r="L699" s="5">
        <f t="shared" si="31"/>
        <v>-8.4720216807082416E-2</v>
      </c>
    </row>
    <row r="700" spans="1:12" x14ac:dyDescent="0.3">
      <c r="A700" s="2">
        <v>46015</v>
      </c>
      <c r="B700">
        <v>315.44778442382813</v>
      </c>
      <c r="C700">
        <f t="shared" si="32"/>
        <v>-2.2492904576972314E-3</v>
      </c>
      <c r="K700">
        <f t="shared" si="30"/>
        <v>344.65719604492188</v>
      </c>
      <c r="L700" s="5">
        <f t="shared" si="31"/>
        <v>-8.4749170933563378E-2</v>
      </c>
    </row>
    <row r="701" spans="1:12" x14ac:dyDescent="0.3">
      <c r="A701" s="2">
        <v>46017</v>
      </c>
      <c r="B701">
        <v>314.73825073242188</v>
      </c>
      <c r="C701">
        <f t="shared" si="32"/>
        <v>-1.8095975281729698E-3</v>
      </c>
      <c r="K701">
        <f t="shared" si="30"/>
        <v>344.65719604492188</v>
      </c>
      <c r="L701" s="5">
        <f t="shared" si="31"/>
        <v>-8.6807835889782026E-2</v>
      </c>
    </row>
    <row r="702" spans="1:12" x14ac:dyDescent="0.3">
      <c r="A702" s="2">
        <v>46020</v>
      </c>
      <c r="B702">
        <v>314.168701171875</v>
      </c>
      <c r="C702">
        <f t="shared" si="32"/>
        <v>5.0880649034276563E-4</v>
      </c>
      <c r="K702">
        <f t="shared" si="30"/>
        <v>344.65719604492188</v>
      </c>
      <c r="L702" s="5">
        <f t="shared" si="31"/>
        <v>-8.846034617270282E-2</v>
      </c>
    </row>
    <row r="703" spans="1:12" x14ac:dyDescent="0.3">
      <c r="A703" s="2">
        <v>46021</v>
      </c>
      <c r="B703">
        <v>314.32855224609381</v>
      </c>
      <c r="C703">
        <f t="shared" si="32"/>
        <v>-2.3843879145447429E-3</v>
      </c>
      <c r="K703">
        <f t="shared" si="30"/>
        <v>344.65719604492188</v>
      </c>
      <c r="L703" s="5">
        <f t="shared" si="31"/>
        <v>-8.7996548880630687E-2</v>
      </c>
    </row>
    <row r="704" spans="1:12" x14ac:dyDescent="0.3">
      <c r="A704" s="2">
        <v>46022</v>
      </c>
      <c r="B704">
        <v>313.57907104492188</v>
      </c>
      <c r="C704">
        <f t="shared" si="32"/>
        <v>4.8439183487409051E-3</v>
      </c>
      <c r="K704">
        <f t="shared" si="30"/>
        <v>344.65719604492188</v>
      </c>
      <c r="L704" s="5">
        <f t="shared" si="31"/>
        <v>-9.0171118887502733E-2</v>
      </c>
    </row>
    <row r="705" spans="1:12" x14ac:dyDescent="0.3">
      <c r="A705" s="2">
        <v>46024</v>
      </c>
      <c r="B705">
        <v>315.0980224609375</v>
      </c>
      <c r="C705">
        <f t="shared" si="32"/>
        <v>6.3427760536138291E-3</v>
      </c>
      <c r="K705">
        <f t="shared" si="30"/>
        <v>344.65719604492188</v>
      </c>
      <c r="L705" s="5">
        <f t="shared" si="31"/>
        <v>-8.5763982076067502E-2</v>
      </c>
    </row>
    <row r="706" spans="1:12" x14ac:dyDescent="0.3">
      <c r="A706" s="2">
        <v>46027</v>
      </c>
      <c r="B706">
        <v>317.09661865234381</v>
      </c>
      <c r="C706">
        <f t="shared" si="32"/>
        <v>-8.7294100391680091E-3</v>
      </c>
      <c r="K706">
        <f t="shared" ref="K706:K740" si="33">MAX(B706:B1445)</f>
        <v>344.65719604492188</v>
      </c>
      <c r="L706" s="5">
        <f t="shared" ref="L706:L740" si="34">B706/K706-1</f>
        <v>-7.996518775422834E-2</v>
      </c>
    </row>
    <row r="707" spans="1:12" x14ac:dyDescent="0.3">
      <c r="A707" s="2">
        <v>46028</v>
      </c>
      <c r="B707">
        <v>314.32855224609381</v>
      </c>
      <c r="C707">
        <f t="shared" ref="C707:L753" si="35">(B708-B707)/B707</f>
        <v>2.50516557510456E-2</v>
      </c>
      <c r="K707">
        <f t="shared" si="33"/>
        <v>344.65719604492188</v>
      </c>
      <c r="L707" s="5">
        <f t="shared" si="34"/>
        <v>-8.7996548880630687E-2</v>
      </c>
    </row>
    <row r="708" spans="1:12" x14ac:dyDescent="0.3">
      <c r="A708" s="2">
        <v>46029</v>
      </c>
      <c r="B708">
        <v>322.2030029296875</v>
      </c>
      <c r="C708">
        <f t="shared" si="35"/>
        <v>1.1103199220151492E-2</v>
      </c>
      <c r="K708">
        <f t="shared" si="33"/>
        <v>344.65719604492188</v>
      </c>
      <c r="L708" s="5">
        <f t="shared" si="34"/>
        <v>-6.5149352379422654E-2</v>
      </c>
    </row>
    <row r="709" spans="1:12" x14ac:dyDescent="0.3">
      <c r="A709" s="2">
        <v>46030</v>
      </c>
      <c r="B709">
        <v>325.78048706054688</v>
      </c>
      <c r="C709">
        <f t="shared" si="35"/>
        <v>9.600966728882665E-3</v>
      </c>
      <c r="K709">
        <f t="shared" si="33"/>
        <v>344.65719604492188</v>
      </c>
      <c r="L709" s="5">
        <f t="shared" si="34"/>
        <v>-5.4769519397803723E-2</v>
      </c>
    </row>
    <row r="710" spans="1:12" x14ac:dyDescent="0.3">
      <c r="A710" s="2">
        <v>46031</v>
      </c>
      <c r="B710">
        <v>328.90829467773438</v>
      </c>
      <c r="C710">
        <f t="shared" si="35"/>
        <v>1.0907184272811546E-2</v>
      </c>
      <c r="K710">
        <f t="shared" si="33"/>
        <v>344.65719604492188</v>
      </c>
      <c r="L710" s="5">
        <f t="shared" si="34"/>
        <v>-4.5694393002416289E-2</v>
      </c>
    </row>
    <row r="711" spans="1:12" x14ac:dyDescent="0.3">
      <c r="A711" s="2">
        <v>46034</v>
      </c>
      <c r="B711">
        <v>332.49575805664063</v>
      </c>
      <c r="C711">
        <f t="shared" si="35"/>
        <v>1.1120104860654043E-2</v>
      </c>
      <c r="K711">
        <f t="shared" si="33"/>
        <v>344.65719604492188</v>
      </c>
      <c r="L711" s="5">
        <f t="shared" si="34"/>
        <v>-3.5285605894316396E-2</v>
      </c>
    </row>
    <row r="712" spans="1:12" x14ac:dyDescent="0.3">
      <c r="A712" s="2">
        <v>46035</v>
      </c>
      <c r="B712">
        <v>336.19314575195313</v>
      </c>
      <c r="C712">
        <f t="shared" si="35"/>
        <v>-3.566508299416405E-4</v>
      </c>
      <c r="K712">
        <f t="shared" si="33"/>
        <v>344.65719604492188</v>
      </c>
      <c r="L712" s="5">
        <f t="shared" si="34"/>
        <v>-2.4557880671278842E-2</v>
      </c>
    </row>
    <row r="713" spans="1:12" x14ac:dyDescent="0.3">
      <c r="A713" s="2">
        <v>46036</v>
      </c>
      <c r="B713">
        <v>336.0732421875</v>
      </c>
      <c r="C713">
        <f t="shared" si="35"/>
        <v>-9.3663098341075605E-3</v>
      </c>
      <c r="K713">
        <f t="shared" si="33"/>
        <v>344.65719604492188</v>
      </c>
      <c r="L713" s="5">
        <f t="shared" si="34"/>
        <v>-2.4905772912697466E-2</v>
      </c>
    </row>
    <row r="714" spans="1:12" x14ac:dyDescent="0.3">
      <c r="A714" s="2">
        <v>46037</v>
      </c>
      <c r="B714">
        <v>332.92547607421881</v>
      </c>
      <c r="C714">
        <f t="shared" si="35"/>
        <v>-8.4644278799873574E-3</v>
      </c>
      <c r="K714">
        <f t="shared" si="33"/>
        <v>344.65719604492188</v>
      </c>
      <c r="L714" s="5">
        <f t="shared" si="34"/>
        <v>-3.4038807561046824E-2</v>
      </c>
    </row>
    <row r="715" spans="1:12" x14ac:dyDescent="0.3">
      <c r="A715" s="2">
        <v>46038</v>
      </c>
      <c r="B715">
        <v>330.10745239257813</v>
      </c>
      <c r="C715">
        <f t="shared" si="35"/>
        <v>-2.4762407851891117E-2</v>
      </c>
      <c r="K715">
        <f t="shared" si="33"/>
        <v>344.65719604492188</v>
      </c>
      <c r="L715" s="5">
        <f t="shared" si="34"/>
        <v>-4.2215116409312858E-2</v>
      </c>
    </row>
    <row r="716" spans="1:12" x14ac:dyDescent="0.3">
      <c r="A716" s="2">
        <v>46042</v>
      </c>
      <c r="B716">
        <v>321.93319702148438</v>
      </c>
      <c r="C716">
        <f t="shared" si="35"/>
        <v>1.9307226668570144E-2</v>
      </c>
      <c r="K716">
        <f t="shared" si="33"/>
        <v>344.65719604492188</v>
      </c>
      <c r="L716" s="5">
        <f t="shared" si="34"/>
        <v>-6.5932176331161552E-2</v>
      </c>
    </row>
    <row r="717" spans="1:12" x14ac:dyDescent="0.3">
      <c r="A717" s="2">
        <v>46043</v>
      </c>
      <c r="B717">
        <v>328.14883422851563</v>
      </c>
      <c r="C717">
        <f t="shared" si="35"/>
        <v>7.491271327854627E-3</v>
      </c>
      <c r="K717">
        <f t="shared" si="33"/>
        <v>344.65719604492188</v>
      </c>
      <c r="L717" s="5">
        <f t="shared" si="34"/>
        <v>-4.7897917135769297E-2</v>
      </c>
    </row>
    <row r="718" spans="1:12" x14ac:dyDescent="0.3">
      <c r="A718" s="2">
        <v>46044</v>
      </c>
      <c r="B718">
        <v>330.60708618164063</v>
      </c>
      <c r="C718">
        <f t="shared" si="35"/>
        <v>-7.2844617625989951E-3</v>
      </c>
      <c r="K718">
        <f t="shared" si="33"/>
        <v>344.65719604492188</v>
      </c>
      <c r="L718" s="5">
        <f t="shared" si="34"/>
        <v>-4.0765462101217786E-2</v>
      </c>
    </row>
    <row r="719" spans="1:12" x14ac:dyDescent="0.3">
      <c r="A719" s="2">
        <v>46045</v>
      </c>
      <c r="B719">
        <v>328.19879150390619</v>
      </c>
      <c r="C719">
        <f t="shared" si="35"/>
        <v>1.5711124488559377E-2</v>
      </c>
      <c r="K719">
        <f t="shared" si="33"/>
        <v>344.65719604492188</v>
      </c>
      <c r="L719" s="5">
        <f t="shared" si="34"/>
        <v>-4.7752969413905832E-2</v>
      </c>
    </row>
    <row r="720" spans="1:12" x14ac:dyDescent="0.3">
      <c r="A720" s="2">
        <v>46048</v>
      </c>
      <c r="B720">
        <v>333.35516357421881</v>
      </c>
      <c r="C720">
        <f t="shared" si="35"/>
        <v>4.226712935608965E-3</v>
      </c>
      <c r="K720">
        <f t="shared" si="33"/>
        <v>344.65719604492188</v>
      </c>
      <c r="L720" s="5">
        <f t="shared" si="34"/>
        <v>-3.279209777250669E-2</v>
      </c>
    </row>
    <row r="721" spans="1:12" x14ac:dyDescent="0.3">
      <c r="A721" s="2">
        <v>46049</v>
      </c>
      <c r="B721">
        <v>334.76416015625</v>
      </c>
      <c r="C721">
        <f t="shared" si="35"/>
        <v>3.8209399982787025E-3</v>
      </c>
      <c r="K721">
        <f t="shared" si="33"/>
        <v>344.65719604492188</v>
      </c>
      <c r="L721" s="5">
        <f t="shared" si="34"/>
        <v>-2.8703987620738447E-2</v>
      </c>
    </row>
    <row r="722" spans="1:12" x14ac:dyDescent="0.3">
      <c r="A722" s="2">
        <v>46050</v>
      </c>
      <c r="B722">
        <v>336.04327392578119</v>
      </c>
      <c r="C722">
        <f t="shared" si="35"/>
        <v>7.0774409147702838E-3</v>
      </c>
      <c r="K722">
        <f t="shared" si="33"/>
        <v>344.65719604492188</v>
      </c>
      <c r="L722" s="5">
        <f t="shared" si="34"/>
        <v>-2.4992723836870012E-2</v>
      </c>
    </row>
    <row r="723" spans="1:12" x14ac:dyDescent="0.3">
      <c r="A723" s="2">
        <v>46051</v>
      </c>
      <c r="B723">
        <v>338.42160034179688</v>
      </c>
      <c r="C723">
        <f t="shared" si="35"/>
        <v>-3.8388013633544409E-4</v>
      </c>
      <c r="K723">
        <f t="shared" si="33"/>
        <v>344.65719604492188</v>
      </c>
      <c r="L723" s="5">
        <f t="shared" si="34"/>
        <v>-1.809216744835429E-2</v>
      </c>
    </row>
    <row r="724" spans="1:12" x14ac:dyDescent="0.3">
      <c r="A724" s="2">
        <v>46052</v>
      </c>
      <c r="B724">
        <v>338.29168701171881</v>
      </c>
      <c r="C724">
        <f t="shared" si="35"/>
        <v>1.8816628600697952E-2</v>
      </c>
      <c r="K724">
        <f t="shared" si="33"/>
        <v>344.65719604492188</v>
      </c>
      <c r="L724" s="5">
        <f t="shared" si="34"/>
        <v>-1.8469102360983092E-2</v>
      </c>
    </row>
    <row r="725" spans="1:12" x14ac:dyDescent="0.3">
      <c r="A725" s="2">
        <v>46055</v>
      </c>
      <c r="B725">
        <v>344.65719604492188</v>
      </c>
      <c r="C725">
        <f t="shared" si="35"/>
        <v>-1.2177379531132636E-2</v>
      </c>
      <c r="K725">
        <f t="shared" si="33"/>
        <v>344.65719604492188</v>
      </c>
      <c r="L725" s="5">
        <f t="shared" si="34"/>
        <v>0</v>
      </c>
    </row>
    <row r="726" spans="1:12" x14ac:dyDescent="0.3">
      <c r="A726" s="2">
        <v>46056</v>
      </c>
      <c r="B726">
        <v>340.46017456054688</v>
      </c>
      <c r="C726">
        <f t="shared" si="35"/>
        <v>-2.160269819496766E-2</v>
      </c>
      <c r="K726">
        <f t="shared" si="33"/>
        <v>340.46017456054688</v>
      </c>
      <c r="L726" s="5">
        <f t="shared" si="34"/>
        <v>0</v>
      </c>
    </row>
    <row r="727" spans="1:12" x14ac:dyDescent="0.3">
      <c r="A727" s="2">
        <v>46057</v>
      </c>
      <c r="B727">
        <v>333.10531616210938</v>
      </c>
      <c r="C727">
        <f t="shared" si="35"/>
        <v>-6.0298510470955273E-3</v>
      </c>
      <c r="K727">
        <f t="shared" si="33"/>
        <v>333.10531616210938</v>
      </c>
      <c r="L727" s="5">
        <f t="shared" si="34"/>
        <v>0</v>
      </c>
    </row>
    <row r="728" spans="1:12" x14ac:dyDescent="0.3">
      <c r="A728" s="2">
        <v>46058</v>
      </c>
      <c r="B728">
        <v>331.09674072265619</v>
      </c>
      <c r="C728">
        <f t="shared" si="35"/>
        <v>-2.483921198063135E-2</v>
      </c>
      <c r="K728">
        <f t="shared" si="33"/>
        <v>331.09674072265619</v>
      </c>
      <c r="L728" s="5">
        <f t="shared" si="34"/>
        <v>0</v>
      </c>
    </row>
    <row r="729" spans="1:12" x14ac:dyDescent="0.3">
      <c r="A729" s="2">
        <v>46059</v>
      </c>
      <c r="B729">
        <v>322.87255859375</v>
      </c>
      <c r="C729">
        <f t="shared" si="35"/>
        <v>4.023483046323364E-3</v>
      </c>
      <c r="K729">
        <f t="shared" si="33"/>
        <v>324.171630859375</v>
      </c>
      <c r="L729" s="5">
        <f t="shared" si="34"/>
        <v>-4.0073595033013332E-3</v>
      </c>
    </row>
    <row r="730" spans="1:12" x14ac:dyDescent="0.3">
      <c r="A730" s="2">
        <v>46062</v>
      </c>
      <c r="B730">
        <v>324.171630859375</v>
      </c>
      <c r="C730">
        <f t="shared" si="35"/>
        <v>-1.7786658753869929E-2</v>
      </c>
      <c r="K730">
        <f t="shared" si="33"/>
        <v>324.171630859375</v>
      </c>
      <c r="L730" s="5">
        <f t="shared" si="34"/>
        <v>0</v>
      </c>
    </row>
    <row r="731" spans="1:12" x14ac:dyDescent="0.3">
      <c r="A731" s="2">
        <v>46063</v>
      </c>
      <c r="B731">
        <v>318.40570068359381</v>
      </c>
      <c r="C731">
        <f t="shared" si="35"/>
        <v>-2.2910680750251433E-2</v>
      </c>
      <c r="K731">
        <f t="shared" si="33"/>
        <v>318.40570068359381</v>
      </c>
      <c r="L731" s="5">
        <f t="shared" si="34"/>
        <v>0</v>
      </c>
    </row>
    <row r="732" spans="1:12" x14ac:dyDescent="0.3">
      <c r="A732" s="2">
        <v>46064</v>
      </c>
      <c r="B732">
        <v>311.11080932617188</v>
      </c>
      <c r="C732">
        <f t="shared" si="35"/>
        <v>-6.2955644913290807E-3</v>
      </c>
      <c r="K732">
        <f t="shared" si="33"/>
        <v>314.67831420898438</v>
      </c>
      <c r="L732" s="5">
        <f t="shared" si="34"/>
        <v>-1.1336989940918696E-2</v>
      </c>
    </row>
    <row r="733" spans="1:12" x14ac:dyDescent="0.3">
      <c r="A733" s="2">
        <v>46065</v>
      </c>
      <c r="B733">
        <v>309.15219116210938</v>
      </c>
      <c r="C733">
        <f t="shared" si="35"/>
        <v>-1.0828406940407188E-2</v>
      </c>
      <c r="K733">
        <f t="shared" si="33"/>
        <v>314.67831420898438</v>
      </c>
      <c r="L733" s="5">
        <f t="shared" si="34"/>
        <v>-1.7561181680937121E-2</v>
      </c>
    </row>
    <row r="734" spans="1:12" x14ac:dyDescent="0.3">
      <c r="A734" s="2">
        <v>46066</v>
      </c>
      <c r="B734">
        <v>305.8045654296875</v>
      </c>
      <c r="C734">
        <f t="shared" si="35"/>
        <v>-1.0456854696583161E-2</v>
      </c>
      <c r="K734">
        <f t="shared" si="33"/>
        <v>314.67831420898438</v>
      </c>
      <c r="L734" s="5">
        <f t="shared" si="34"/>
        <v>-2.8199428999748699E-2</v>
      </c>
    </row>
    <row r="735" spans="1:12" x14ac:dyDescent="0.3">
      <c r="A735" s="2">
        <v>46070</v>
      </c>
      <c r="B735">
        <v>302.6068115234375</v>
      </c>
      <c r="C735">
        <f t="shared" si="35"/>
        <v>3.6986351103590019E-3</v>
      </c>
      <c r="K735">
        <f t="shared" si="33"/>
        <v>314.67831420898438</v>
      </c>
      <c r="L735" s="5">
        <f t="shared" si="34"/>
        <v>-3.8361406364754935E-2</v>
      </c>
    </row>
    <row r="736" spans="1:12" x14ac:dyDescent="0.3">
      <c r="A736" s="2">
        <v>46071</v>
      </c>
      <c r="B736">
        <v>303.72604370117188</v>
      </c>
      <c r="C736">
        <f t="shared" si="35"/>
        <v>-1.2503397389297859E-3</v>
      </c>
      <c r="K736">
        <f t="shared" si="33"/>
        <v>314.67831420898438</v>
      </c>
      <c r="L736" s="5">
        <f t="shared" si="34"/>
        <v>-3.4804656098859299E-2</v>
      </c>
    </row>
    <row r="737" spans="1:13" x14ac:dyDescent="0.3">
      <c r="A737" s="2">
        <v>46072</v>
      </c>
      <c r="B737">
        <v>303.34628295898438</v>
      </c>
      <c r="C737">
        <f t="shared" si="35"/>
        <v>3.7356749980457848E-2</v>
      </c>
      <c r="K737">
        <f t="shared" si="33"/>
        <v>314.67831420898438</v>
      </c>
      <c r="L737" s="5">
        <f t="shared" si="34"/>
        <v>-3.6011478193168966E-2</v>
      </c>
    </row>
    <row r="738" spans="1:13" x14ac:dyDescent="0.3">
      <c r="A738" s="2">
        <v>46073</v>
      </c>
      <c r="B738">
        <v>314.67831420898438</v>
      </c>
      <c r="C738">
        <f t="shared" si="35"/>
        <v>-1.0193689903164261E-2</v>
      </c>
      <c r="K738">
        <f t="shared" si="33"/>
        <v>314.67831420898438</v>
      </c>
      <c r="L738" s="5">
        <f t="shared" si="34"/>
        <v>0</v>
      </c>
    </row>
    <row r="739" spans="1:13" x14ac:dyDescent="0.3">
      <c r="A739" s="2">
        <v>46076</v>
      </c>
      <c r="B739">
        <v>311.4705810546875</v>
      </c>
      <c r="C739">
        <f t="shared" si="35"/>
        <v>-2.470344694064471E-3</v>
      </c>
      <c r="K739">
        <f t="shared" si="33"/>
        <v>312.80963134765619</v>
      </c>
      <c r="L739" s="5">
        <f t="shared" si="34"/>
        <v>-4.280719513653608E-3</v>
      </c>
    </row>
    <row r="740" spans="1:13" x14ac:dyDescent="0.3">
      <c r="A740" s="2">
        <v>46077</v>
      </c>
      <c r="B740">
        <v>310.70114135742188</v>
      </c>
      <c r="C740">
        <f t="shared" si="35"/>
        <v>6.7862318787196554E-3</v>
      </c>
      <c r="K740">
        <f t="shared" si="33"/>
        <v>312.80963134765619</v>
      </c>
      <c r="L740" s="5">
        <f t="shared" si="34"/>
        <v>-6.7404893549807277E-3</v>
      </c>
    </row>
    <row r="741" spans="1:13" x14ac:dyDescent="0.3">
      <c r="A741" s="2">
        <v>46078</v>
      </c>
      <c r="B741">
        <v>312.80963134765619</v>
      </c>
      <c r="C741">
        <f t="shared" si="35"/>
        <v>-1.8784122684691155E-2</v>
      </c>
      <c r="D741">
        <f t="shared" si="35"/>
        <v>-1.7418248372609793</v>
      </c>
      <c r="E741">
        <f t="shared" si="35"/>
        <v>-1</v>
      </c>
      <c r="F741">
        <f>(E742-E741)/E741</f>
        <v>-1</v>
      </c>
      <c r="G741">
        <f t="shared" si="35"/>
        <v>-1</v>
      </c>
      <c r="H741">
        <f t="shared" si="35"/>
        <v>-1</v>
      </c>
      <c r="I741">
        <f t="shared" si="35"/>
        <v>-1</v>
      </c>
      <c r="J741">
        <f t="shared" si="35"/>
        <v>-1</v>
      </c>
      <c r="K741">
        <f t="shared" si="35"/>
        <v>-1</v>
      </c>
      <c r="L741">
        <f t="shared" si="35"/>
        <v>-1</v>
      </c>
      <c r="M741" t="s">
        <v>3</v>
      </c>
    </row>
    <row r="742" spans="1:13" x14ac:dyDescent="0.3">
      <c r="A742" s="2">
        <v>46079</v>
      </c>
      <c r="B742">
        <v>306.93377685546881</v>
      </c>
      <c r="C742">
        <f t="shared" si="35"/>
        <v>1.3934528753661284E-2</v>
      </c>
    </row>
    <row r="743" spans="1:13" x14ac:dyDescent="0.3">
      <c r="A743" s="2">
        <v>46080</v>
      </c>
      <c r="B743">
        <v>311.21075439453119</v>
      </c>
      <c r="C743">
        <f t="shared" si="35"/>
        <v>-1.6279761210164334E-2</v>
      </c>
    </row>
    <row r="744" spans="1:13" x14ac:dyDescent="0.3">
      <c r="A744" s="2">
        <v>46083</v>
      </c>
      <c r="B744">
        <v>306.14431762695313</v>
      </c>
      <c r="C744">
        <f t="shared" si="35"/>
        <v>-9.1395936715645554E-3</v>
      </c>
    </row>
    <row r="745" spans="1:13" x14ac:dyDescent="0.3">
      <c r="A745" s="2">
        <v>46084</v>
      </c>
      <c r="B745">
        <v>303.34628295898438</v>
      </c>
      <c r="C745">
        <f t="shared" si="35"/>
        <v>-3.6227178311276902E-4</v>
      </c>
    </row>
    <row r="746" spans="1:13" x14ac:dyDescent="0.3">
      <c r="A746" s="2">
        <v>46085</v>
      </c>
      <c r="B746">
        <v>303.23638916015619</v>
      </c>
      <c r="C746">
        <f t="shared" si="35"/>
        <v>-8.3704944924996513E-3</v>
      </c>
    </row>
    <row r="747" spans="1:13" x14ac:dyDescent="0.3">
      <c r="A747" s="2">
        <v>46086</v>
      </c>
      <c r="B747">
        <v>300.69815063476563</v>
      </c>
      <c r="C747">
        <f t="shared" si="35"/>
        <v>-8.6736625794646798E-3</v>
      </c>
    </row>
    <row r="748" spans="1:13" x14ac:dyDescent="0.3">
      <c r="A748" s="2">
        <v>46087</v>
      </c>
      <c r="B748">
        <v>298.08999633789063</v>
      </c>
      <c r="C748">
        <f t="shared" si="35"/>
        <v>2.6569202338333053E-2</v>
      </c>
    </row>
    <row r="749" spans="1:13" x14ac:dyDescent="0.3">
      <c r="A749" s="2">
        <v>46090</v>
      </c>
      <c r="B749">
        <v>306.010009765625</v>
      </c>
      <c r="C749">
        <f t="shared" si="35"/>
        <v>3.0063817548347973E-3</v>
      </c>
    </row>
    <row r="750" spans="1:13" x14ac:dyDescent="0.3">
      <c r="A750" s="2">
        <v>46091</v>
      </c>
      <c r="B750">
        <v>306.92999267578119</v>
      </c>
      <c r="C750">
        <f t="shared" si="35"/>
        <v>4.8545948180669747E-3</v>
      </c>
    </row>
    <row r="751" spans="1:13" x14ac:dyDescent="0.3">
      <c r="A751" s="2">
        <v>46092</v>
      </c>
      <c r="B751">
        <v>308.42001342773438</v>
      </c>
      <c r="C751">
        <f t="shared" si="35"/>
        <v>-1.6892619628515144E-2</v>
      </c>
    </row>
    <row r="752" spans="1:13" x14ac:dyDescent="0.3">
      <c r="A752" s="2">
        <v>46093</v>
      </c>
      <c r="B752">
        <v>303.20999145507813</v>
      </c>
      <c r="C752">
        <f t="shared" si="35"/>
        <v>-5.7715776172213313E-3</v>
      </c>
    </row>
    <row r="753" spans="1:3" x14ac:dyDescent="0.3">
      <c r="A753" s="2">
        <v>46094</v>
      </c>
      <c r="B753">
        <v>301.45999145507813</v>
      </c>
      <c r="C753">
        <f t="shared" si="35"/>
        <v>-1</v>
      </c>
    </row>
    <row r="754" spans="1:3" x14ac:dyDescent="0.3">
      <c r="C754" t="s">
        <v>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41"/>
  <sheetViews>
    <sheetView showGridLines="0" zoomScaleNormal="100" workbookViewId="0"/>
  </sheetViews>
  <sheetFormatPr defaultRowHeight="14.4" outlineLevelCol="1" x14ac:dyDescent="0.3"/>
  <cols>
    <col min="1" max="1" width="18.109375" bestFit="1" customWidth="1"/>
    <col min="2" max="2" width="12" bestFit="1" customWidth="1"/>
    <col min="3" max="3" width="12.6640625" bestFit="1" customWidth="1"/>
    <col min="4" max="5" width="12" bestFit="1" customWidth="1"/>
    <col min="6" max="6" width="8.21875" customWidth="1"/>
    <col min="7" max="7" width="12" bestFit="1" customWidth="1"/>
    <col min="8" max="8" width="13.21875" bestFit="1" customWidth="1"/>
    <col min="9" max="9" width="12" bestFit="1" customWidth="1"/>
    <col min="10" max="10" width="11" bestFit="1" customWidth="1"/>
    <col min="11" max="11" width="12" hidden="1" customWidth="1" outlineLevel="1"/>
    <col min="12" max="12" width="12.6640625" hidden="1" customWidth="1" outlineLevel="1"/>
    <col min="13" max="13" width="16.21875" bestFit="1" customWidth="1" collapsed="1"/>
    <col min="15" max="15" width="14" bestFit="1" customWidth="1"/>
  </cols>
  <sheetData>
    <row r="1" spans="1:15" x14ac:dyDescent="0.3">
      <c r="A1" s="1" t="s">
        <v>1</v>
      </c>
      <c r="B1" s="1" t="s">
        <v>0</v>
      </c>
      <c r="C1" s="4" t="s">
        <v>2</v>
      </c>
      <c r="D1" s="4" t="s">
        <v>4</v>
      </c>
      <c r="E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s="2">
        <v>45000</v>
      </c>
      <c r="B2">
        <v>854.43731689453125</v>
      </c>
      <c r="C2">
        <f>(B3-B2)/B2</f>
        <v>6.2645451304337331E-3</v>
      </c>
      <c r="D2">
        <f>((B740/B2)^(1/3)-1)</f>
        <v>0.15727186745729926</v>
      </c>
      <c r="E2">
        <f>SLOPE(C2:C739,Nifty_50!C2:C739)</f>
        <v>0.46406042143082821</v>
      </c>
      <c r="G2">
        <f>_xlfn.STDEV.S(C2:C740)</f>
        <v>1.4219372249351206E-2</v>
      </c>
      <c r="H2">
        <v>6.4799999999999996E-2</v>
      </c>
      <c r="I2">
        <f>(D2-H2)/G2</f>
        <v>6.5032313547821019</v>
      </c>
      <c r="J2">
        <f>(D2-H2)/E2</f>
        <v>0.19926686954294143</v>
      </c>
      <c r="K2">
        <f t="shared" ref="K2:K65" si="0">MAX(B2:B741)</f>
        <v>1663.599975585938</v>
      </c>
      <c r="L2" s="5">
        <f t="shared" ref="L2:L65" si="1">B2/K2-1</f>
        <v>-0.48639256465870695</v>
      </c>
      <c r="M2" s="5">
        <f>MIN(L2:L740)</f>
        <v>-0.49551874416972275</v>
      </c>
      <c r="N2">
        <f>D2/M2</f>
        <v>-0.31738833153692214</v>
      </c>
      <c r="O2">
        <f>(D2-(H2+E2*(Nifty_50!D2-Larsen_and_Toubro!H2)))</f>
        <v>7.1944551547655278E-2</v>
      </c>
    </row>
    <row r="3" spans="1:15" x14ac:dyDescent="0.3">
      <c r="A3" s="2">
        <v>45001</v>
      </c>
      <c r="B3">
        <v>859.78997802734375</v>
      </c>
      <c r="C3">
        <f t="shared" ref="C3:C66" si="2">(B4-B3)/B3</f>
        <v>-1.0640103546589967E-2</v>
      </c>
      <c r="K3">
        <f t="shared" si="0"/>
        <v>1663.599975585938</v>
      </c>
      <c r="L3" s="5">
        <f t="shared" si="1"/>
        <v>-0.48317504770068509</v>
      </c>
    </row>
    <row r="4" spans="1:15" x14ac:dyDescent="0.3">
      <c r="A4" s="2">
        <v>45002</v>
      </c>
      <c r="B4">
        <v>850.6417236328125</v>
      </c>
      <c r="C4">
        <f t="shared" si="2"/>
        <v>-8.4091069228094534E-3</v>
      </c>
      <c r="K4">
        <f t="shared" si="0"/>
        <v>1663.599975585938</v>
      </c>
      <c r="L4" s="5">
        <f t="shared" si="1"/>
        <v>-0.48867411870861122</v>
      </c>
    </row>
    <row r="5" spans="1:15" x14ac:dyDescent="0.3">
      <c r="A5" s="2">
        <v>45005</v>
      </c>
      <c r="B5">
        <v>843.48858642578125</v>
      </c>
      <c r="C5">
        <f t="shared" si="2"/>
        <v>-5.0191331703825772E-3</v>
      </c>
      <c r="K5">
        <f t="shared" si="0"/>
        <v>1663.599975585938</v>
      </c>
      <c r="L5" s="5">
        <f t="shared" si="1"/>
        <v>-0.49297391271679036</v>
      </c>
    </row>
    <row r="6" spans="1:15" x14ac:dyDescent="0.3">
      <c r="A6" s="2">
        <v>45006</v>
      </c>
      <c r="B6">
        <v>839.2550048828125</v>
      </c>
      <c r="C6">
        <f t="shared" si="2"/>
        <v>1.2177141039423421E-3</v>
      </c>
      <c r="K6">
        <f t="shared" si="0"/>
        <v>1663.599975585938</v>
      </c>
      <c r="L6" s="5">
        <f t="shared" si="1"/>
        <v>-0.49551874416972275</v>
      </c>
    </row>
    <row r="7" spans="1:15" x14ac:dyDescent="0.3">
      <c r="A7" s="2">
        <v>45007</v>
      </c>
      <c r="B7">
        <v>840.2769775390625</v>
      </c>
      <c r="C7">
        <f t="shared" si="2"/>
        <v>6.6016817778154846E-3</v>
      </c>
      <c r="K7">
        <f t="shared" si="0"/>
        <v>1663.599975585938</v>
      </c>
      <c r="L7" s="5">
        <f t="shared" si="1"/>
        <v>-0.49490443022932373</v>
      </c>
    </row>
    <row r="8" spans="1:15" x14ac:dyDescent="0.3">
      <c r="A8" s="2">
        <v>45008</v>
      </c>
      <c r="B8">
        <v>845.82421875</v>
      </c>
      <c r="C8">
        <f t="shared" si="2"/>
        <v>9.3775544841154385E-3</v>
      </c>
      <c r="K8">
        <f t="shared" si="0"/>
        <v>1663.599975585938</v>
      </c>
      <c r="L8" s="5">
        <f t="shared" si="1"/>
        <v>-0.49156995001031334</v>
      </c>
    </row>
    <row r="9" spans="1:15" x14ac:dyDescent="0.3">
      <c r="A9" s="2">
        <v>45009</v>
      </c>
      <c r="B9">
        <v>853.7559814453125</v>
      </c>
      <c r="C9">
        <f t="shared" si="2"/>
        <v>1.3736120363130004E-2</v>
      </c>
      <c r="K9">
        <f t="shared" si="0"/>
        <v>1663.599975585938</v>
      </c>
      <c r="L9" s="5">
        <f t="shared" si="1"/>
        <v>-0.48680211951517349</v>
      </c>
    </row>
    <row r="10" spans="1:15" x14ac:dyDescent="0.3">
      <c r="A10" s="2">
        <v>45012</v>
      </c>
      <c r="B10">
        <v>865.4832763671875</v>
      </c>
      <c r="C10">
        <f t="shared" si="2"/>
        <v>2.2496350161120411E-4</v>
      </c>
      <c r="K10">
        <f t="shared" si="0"/>
        <v>1663.599975585938</v>
      </c>
      <c r="L10" s="5">
        <f t="shared" si="1"/>
        <v>-0.47975277165873065</v>
      </c>
    </row>
    <row r="11" spans="1:15" x14ac:dyDescent="0.3">
      <c r="A11" s="2">
        <v>45013</v>
      </c>
      <c r="B11">
        <v>865.677978515625</v>
      </c>
      <c r="C11">
        <f t="shared" si="2"/>
        <v>-2.0236520948486627E-3</v>
      </c>
      <c r="K11">
        <f t="shared" si="0"/>
        <v>1663.599975585938</v>
      </c>
      <c r="L11" s="5">
        <f t="shared" si="1"/>
        <v>-0.47963573502053947</v>
      </c>
    </row>
    <row r="12" spans="1:15" x14ac:dyDescent="0.3">
      <c r="A12" s="2">
        <v>45014</v>
      </c>
      <c r="B12">
        <v>863.9261474609375</v>
      </c>
      <c r="C12">
        <f t="shared" si="2"/>
        <v>1.4419304696449187E-2</v>
      </c>
      <c r="K12">
        <f t="shared" si="0"/>
        <v>1663.599975585938</v>
      </c>
      <c r="L12" s="5">
        <f t="shared" si="1"/>
        <v>-0.48068877125544962</v>
      </c>
    </row>
    <row r="13" spans="1:15" x14ac:dyDescent="0.3">
      <c r="A13" s="2">
        <v>45016</v>
      </c>
      <c r="B13">
        <v>876.38336181640625</v>
      </c>
      <c r="C13">
        <f t="shared" si="2"/>
        <v>-1.0050029024286032E-2</v>
      </c>
      <c r="K13">
        <f t="shared" si="0"/>
        <v>1663.599975585938</v>
      </c>
      <c r="L13" s="5">
        <f t="shared" si="1"/>
        <v>-0.47320066441589448</v>
      </c>
    </row>
    <row r="14" spans="1:15" x14ac:dyDescent="0.3">
      <c r="A14" s="2">
        <v>45019</v>
      </c>
      <c r="B14">
        <v>867.57568359375</v>
      </c>
      <c r="C14">
        <f t="shared" si="2"/>
        <v>4.8236431327193068E-3</v>
      </c>
      <c r="K14">
        <f t="shared" si="0"/>
        <v>1663.599975585938</v>
      </c>
      <c r="L14" s="5">
        <f t="shared" si="1"/>
        <v>-0.4784950130284894</v>
      </c>
    </row>
    <row r="15" spans="1:15" x14ac:dyDescent="0.3">
      <c r="A15" s="2">
        <v>45021</v>
      </c>
      <c r="B15">
        <v>871.76055908203125</v>
      </c>
      <c r="C15">
        <f t="shared" si="2"/>
        <v>-2.6793531437013076E-3</v>
      </c>
      <c r="K15">
        <f t="shared" si="0"/>
        <v>1663.599975585938</v>
      </c>
      <c r="L15" s="5">
        <f t="shared" si="1"/>
        <v>-0.47597945907940531</v>
      </c>
    </row>
    <row r="16" spans="1:15" x14ac:dyDescent="0.3">
      <c r="A16" s="2">
        <v>45022</v>
      </c>
      <c r="B16">
        <v>869.4248046875</v>
      </c>
      <c r="C16">
        <f t="shared" si="2"/>
        <v>9.5147260839433395E-3</v>
      </c>
      <c r="K16">
        <f t="shared" si="0"/>
        <v>1663.599975585938</v>
      </c>
      <c r="L16" s="5">
        <f t="shared" si="1"/>
        <v>-0.47738349516308498</v>
      </c>
    </row>
    <row r="17" spans="1:12" x14ac:dyDescent="0.3">
      <c r="A17" s="2">
        <v>45026</v>
      </c>
      <c r="B17">
        <v>877.6971435546875</v>
      </c>
      <c r="C17">
        <f t="shared" si="2"/>
        <v>5.8769042689978367E-3</v>
      </c>
      <c r="K17">
        <f t="shared" si="0"/>
        <v>1663.599975585938</v>
      </c>
      <c r="L17" s="5">
        <f t="shared" si="1"/>
        <v>-0.47241094227261393</v>
      </c>
    </row>
    <row r="18" spans="1:12" x14ac:dyDescent="0.3">
      <c r="A18" s="2">
        <v>45027</v>
      </c>
      <c r="B18">
        <v>882.85528564453125</v>
      </c>
      <c r="C18">
        <f t="shared" si="2"/>
        <v>1.1905465588262073E-2</v>
      </c>
      <c r="K18">
        <f t="shared" si="0"/>
        <v>1663.599975585938</v>
      </c>
      <c r="L18" s="5">
        <f t="shared" si="1"/>
        <v>-0.46931035188697934</v>
      </c>
    </row>
    <row r="19" spans="1:12" x14ac:dyDescent="0.3">
      <c r="A19" s="2">
        <v>45028</v>
      </c>
      <c r="B19">
        <v>893.3660888671875</v>
      </c>
      <c r="C19">
        <f t="shared" si="2"/>
        <v>-2.3968173610413672E-3</v>
      </c>
      <c r="K19">
        <f t="shared" si="0"/>
        <v>1663.599975585938</v>
      </c>
      <c r="L19" s="5">
        <f t="shared" si="1"/>
        <v>-0.46299224454332277</v>
      </c>
    </row>
    <row r="20" spans="1:12" x14ac:dyDescent="0.3">
      <c r="A20" s="2">
        <v>45029</v>
      </c>
      <c r="B20">
        <v>891.224853515625</v>
      </c>
      <c r="C20">
        <f t="shared" si="2"/>
        <v>-1.0155577781083299E-2</v>
      </c>
      <c r="K20">
        <f t="shared" si="0"/>
        <v>1663.599975585938</v>
      </c>
      <c r="L20" s="5">
        <f t="shared" si="1"/>
        <v>-0.46427935405461529</v>
      </c>
    </row>
    <row r="21" spans="1:12" x14ac:dyDescent="0.3">
      <c r="A21" s="2">
        <v>45033</v>
      </c>
      <c r="B21">
        <v>882.1739501953125</v>
      </c>
      <c r="C21">
        <f t="shared" si="2"/>
        <v>1.9637060489964463E-2</v>
      </c>
      <c r="K21">
        <f t="shared" si="0"/>
        <v>1663.599975585938</v>
      </c>
      <c r="L21" s="5">
        <f t="shared" si="1"/>
        <v>-0.46971990674344577</v>
      </c>
    </row>
    <row r="22" spans="1:12" x14ac:dyDescent="0.3">
      <c r="A22" s="2">
        <v>45034</v>
      </c>
      <c r="B22">
        <v>899.49725341796875</v>
      </c>
      <c r="C22">
        <f t="shared" si="2"/>
        <v>-1.3362091983484427E-2</v>
      </c>
      <c r="K22">
        <f t="shared" si="0"/>
        <v>1663.599975585938</v>
      </c>
      <c r="L22" s="5">
        <f t="shared" si="1"/>
        <v>-0.45930676447554286</v>
      </c>
    </row>
    <row r="23" spans="1:12" x14ac:dyDescent="0.3">
      <c r="A23" s="2">
        <v>45035</v>
      </c>
      <c r="B23">
        <v>887.47808837890625</v>
      </c>
      <c r="C23">
        <f t="shared" si="2"/>
        <v>-8.663286072272498E-3</v>
      </c>
      <c r="K23">
        <f t="shared" si="0"/>
        <v>1663.599975585938</v>
      </c>
      <c r="L23" s="5">
        <f t="shared" si="1"/>
        <v>-0.4665315572234684</v>
      </c>
    </row>
    <row r="24" spans="1:12" x14ac:dyDescent="0.3">
      <c r="A24" s="2">
        <v>45036</v>
      </c>
      <c r="B24">
        <v>879.78961181640625</v>
      </c>
      <c r="C24">
        <f t="shared" si="2"/>
        <v>1.2223478444199798E-2</v>
      </c>
      <c r="K24">
        <f t="shared" si="0"/>
        <v>1663.599975585938</v>
      </c>
      <c r="L24" s="5">
        <f t="shared" si="1"/>
        <v>-0.47115314695377131</v>
      </c>
    </row>
    <row r="25" spans="1:12" x14ac:dyDescent="0.3">
      <c r="A25" s="2">
        <v>45037</v>
      </c>
      <c r="B25">
        <v>890.543701171875</v>
      </c>
      <c r="C25">
        <f t="shared" si="2"/>
        <v>-1.3168691111332257E-2</v>
      </c>
      <c r="K25">
        <f t="shared" si="0"/>
        <v>1663.599975585938</v>
      </c>
      <c r="L25" s="5">
        <f t="shared" si="1"/>
        <v>-0.46468879884527781</v>
      </c>
    </row>
    <row r="26" spans="1:12" x14ac:dyDescent="0.3">
      <c r="A26" s="2">
        <v>45040</v>
      </c>
      <c r="B26">
        <v>878.81640625</v>
      </c>
      <c r="C26">
        <f t="shared" si="2"/>
        <v>7.3643639127555262E-3</v>
      </c>
      <c r="K26">
        <f t="shared" si="0"/>
        <v>1663.599975585938</v>
      </c>
      <c r="L26" s="5">
        <f t="shared" si="1"/>
        <v>-0.47173814670172054</v>
      </c>
    </row>
    <row r="27" spans="1:12" x14ac:dyDescent="0.3">
      <c r="A27" s="2">
        <v>45041</v>
      </c>
      <c r="B27">
        <v>885.288330078125</v>
      </c>
      <c r="C27">
        <f t="shared" si="2"/>
        <v>1.5939120955307585E-3</v>
      </c>
      <c r="K27">
        <f t="shared" si="0"/>
        <v>1663.599975585938</v>
      </c>
      <c r="L27" s="5">
        <f t="shared" si="1"/>
        <v>-0.4678478341728054</v>
      </c>
    </row>
    <row r="28" spans="1:12" x14ac:dyDescent="0.3">
      <c r="A28" s="2">
        <v>45042</v>
      </c>
      <c r="B28">
        <v>886.69940185546875</v>
      </c>
      <c r="C28">
        <f t="shared" si="2"/>
        <v>3.1281657233297286E-3</v>
      </c>
      <c r="K28">
        <f t="shared" si="0"/>
        <v>1663.599975585938</v>
      </c>
      <c r="L28" s="5">
        <f t="shared" si="1"/>
        <v>-0.46699963039903047</v>
      </c>
    </row>
    <row r="29" spans="1:12" x14ac:dyDescent="0.3">
      <c r="A29" s="2">
        <v>45043</v>
      </c>
      <c r="B29">
        <v>889.47314453125</v>
      </c>
      <c r="C29">
        <f t="shared" si="2"/>
        <v>-6.455580435442549E-3</v>
      </c>
      <c r="K29">
        <f t="shared" si="0"/>
        <v>1663.599975585938</v>
      </c>
      <c r="L29" s="5">
        <f t="shared" si="1"/>
        <v>-0.46533231691232269</v>
      </c>
    </row>
    <row r="30" spans="1:12" x14ac:dyDescent="0.3">
      <c r="A30" s="2">
        <v>45044</v>
      </c>
      <c r="B30">
        <v>883.7310791015625</v>
      </c>
      <c r="C30">
        <f t="shared" si="2"/>
        <v>1.0627147499317979E-2</v>
      </c>
      <c r="K30">
        <f t="shared" si="0"/>
        <v>1663.599975585938</v>
      </c>
      <c r="L30" s="5">
        <f t="shared" si="1"/>
        <v>-0.46878390714672691</v>
      </c>
    </row>
    <row r="31" spans="1:12" x14ac:dyDescent="0.3">
      <c r="A31" s="2">
        <v>45048</v>
      </c>
      <c r="B31">
        <v>893.12261962890625</v>
      </c>
      <c r="C31">
        <f t="shared" si="2"/>
        <v>3.2147375086628294E-3</v>
      </c>
      <c r="K31">
        <f t="shared" si="0"/>
        <v>1663.599975585938</v>
      </c>
      <c r="L31" s="5">
        <f t="shared" si="1"/>
        <v>-0.46313859537396374</v>
      </c>
    </row>
    <row r="32" spans="1:12" x14ac:dyDescent="0.3">
      <c r="A32" s="2">
        <v>45049</v>
      </c>
      <c r="B32">
        <v>895.9937744140625</v>
      </c>
      <c r="C32">
        <f t="shared" si="2"/>
        <v>1.39573930777205E-2</v>
      </c>
      <c r="K32">
        <f t="shared" si="0"/>
        <v>1663.599975585938</v>
      </c>
      <c r="L32" s="5">
        <f t="shared" si="1"/>
        <v>-0.46141272687955903</v>
      </c>
    </row>
    <row r="33" spans="1:12" x14ac:dyDescent="0.3">
      <c r="A33" s="2">
        <v>45050</v>
      </c>
      <c r="B33">
        <v>908.49951171875</v>
      </c>
      <c r="C33">
        <f t="shared" si="2"/>
        <v>-9.3196736333895341E-3</v>
      </c>
      <c r="K33">
        <f t="shared" si="0"/>
        <v>1663.599975585938</v>
      </c>
      <c r="L33" s="5">
        <f t="shared" si="1"/>
        <v>-0.4538954526019594</v>
      </c>
    </row>
    <row r="34" spans="1:12" x14ac:dyDescent="0.3">
      <c r="A34" s="2">
        <v>45051</v>
      </c>
      <c r="B34">
        <v>900.0325927734375</v>
      </c>
      <c r="C34">
        <f t="shared" si="2"/>
        <v>9.1910869655734851E-3</v>
      </c>
      <c r="K34">
        <f t="shared" si="0"/>
        <v>1663.599975585938</v>
      </c>
      <c r="L34" s="5">
        <f t="shared" si="1"/>
        <v>-0.4589849687534191</v>
      </c>
    </row>
    <row r="35" spans="1:12" x14ac:dyDescent="0.3">
      <c r="A35" s="2">
        <v>45054</v>
      </c>
      <c r="B35">
        <v>908.30487060546875</v>
      </c>
      <c r="C35">
        <f t="shared" si="2"/>
        <v>6.3217380149683498E-3</v>
      </c>
      <c r="K35">
        <f t="shared" si="0"/>
        <v>1663.599975585938</v>
      </c>
      <c r="L35" s="5">
        <f t="shared" si="1"/>
        <v>-0.45401245255154932</v>
      </c>
    </row>
    <row r="36" spans="1:12" x14ac:dyDescent="0.3">
      <c r="A36" s="2">
        <v>45055</v>
      </c>
      <c r="B36">
        <v>914.04693603515625</v>
      </c>
      <c r="C36">
        <f t="shared" si="2"/>
        <v>5.5366193802044569E-3</v>
      </c>
      <c r="K36">
        <f t="shared" si="0"/>
        <v>1663.599975585938</v>
      </c>
      <c r="L36" s="5">
        <f t="shared" si="1"/>
        <v>-0.45056086231714509</v>
      </c>
    </row>
    <row r="37" spans="1:12" x14ac:dyDescent="0.3">
      <c r="A37" s="2">
        <v>45056</v>
      </c>
      <c r="B37">
        <v>919.107666015625</v>
      </c>
      <c r="C37">
        <f t="shared" si="2"/>
        <v>-8.4715373081004552E-4</v>
      </c>
      <c r="K37">
        <f t="shared" si="0"/>
        <v>1663.599975585938</v>
      </c>
      <c r="L37" s="5">
        <f t="shared" si="1"/>
        <v>-0.4475188269392073</v>
      </c>
    </row>
    <row r="38" spans="1:12" x14ac:dyDescent="0.3">
      <c r="A38" s="2">
        <v>45057</v>
      </c>
      <c r="B38">
        <v>918.32904052734375</v>
      </c>
      <c r="C38">
        <f t="shared" si="2"/>
        <v>-6.5175882098934173E-3</v>
      </c>
      <c r="K38">
        <f t="shared" si="0"/>
        <v>1663.599975585938</v>
      </c>
      <c r="L38" s="5">
        <f t="shared" si="1"/>
        <v>-0.44798686342616811</v>
      </c>
    </row>
    <row r="39" spans="1:12" x14ac:dyDescent="0.3">
      <c r="A39" s="2">
        <v>45058</v>
      </c>
      <c r="B39">
        <v>912.34375</v>
      </c>
      <c r="C39">
        <f t="shared" si="2"/>
        <v>-1.5627542173317348E-2</v>
      </c>
      <c r="K39">
        <f t="shared" si="0"/>
        <v>1663.599975585938</v>
      </c>
      <c r="L39" s="5">
        <f t="shared" si="1"/>
        <v>-0.451584657736808</v>
      </c>
    </row>
    <row r="40" spans="1:12" x14ac:dyDescent="0.3">
      <c r="A40" s="2">
        <v>45061</v>
      </c>
      <c r="B40">
        <v>898.0860595703125</v>
      </c>
      <c r="C40">
        <f t="shared" si="2"/>
        <v>-7.5851681656452302E-4</v>
      </c>
      <c r="K40">
        <f t="shared" si="0"/>
        <v>1663.599975585938</v>
      </c>
      <c r="L40" s="5">
        <f t="shared" si="1"/>
        <v>-0.46015504162652032</v>
      </c>
    </row>
    <row r="41" spans="1:12" x14ac:dyDescent="0.3">
      <c r="A41" s="2">
        <v>45062</v>
      </c>
      <c r="B41">
        <v>897.40484619140625</v>
      </c>
      <c r="C41">
        <f t="shared" si="2"/>
        <v>2.0063141868020724E-3</v>
      </c>
      <c r="K41">
        <f t="shared" si="0"/>
        <v>1663.599975585938</v>
      </c>
      <c r="L41" s="5">
        <f t="shared" si="1"/>
        <v>-0.46056452310578422</v>
      </c>
    </row>
    <row r="42" spans="1:12" x14ac:dyDescent="0.3">
      <c r="A42" s="2">
        <v>45063</v>
      </c>
      <c r="B42">
        <v>899.205322265625</v>
      </c>
      <c r="C42">
        <f t="shared" si="2"/>
        <v>-1.0227875904967086E-2</v>
      </c>
      <c r="K42">
        <f t="shared" si="0"/>
        <v>1663.599975585938</v>
      </c>
      <c r="L42" s="5">
        <f t="shared" si="1"/>
        <v>-0.45948224605562693</v>
      </c>
    </row>
    <row r="43" spans="1:12" x14ac:dyDescent="0.3">
      <c r="A43" s="2">
        <v>45064</v>
      </c>
      <c r="B43">
        <v>890.00836181640625</v>
      </c>
      <c r="C43">
        <f t="shared" si="2"/>
        <v>1.9136741947909795E-3</v>
      </c>
      <c r="K43">
        <f t="shared" si="0"/>
        <v>1663.599975585938</v>
      </c>
      <c r="L43" s="5">
        <f t="shared" si="1"/>
        <v>-0.46501059456740157</v>
      </c>
    </row>
    <row r="44" spans="1:12" x14ac:dyDescent="0.3">
      <c r="A44" s="2">
        <v>45065</v>
      </c>
      <c r="B44">
        <v>891.7115478515625</v>
      </c>
      <c r="C44">
        <f t="shared" si="2"/>
        <v>9.4952005509725598E-3</v>
      </c>
      <c r="K44">
        <f t="shared" si="0"/>
        <v>1663.599975585938</v>
      </c>
      <c r="L44" s="5">
        <f t="shared" si="1"/>
        <v>-0.46398679914773866</v>
      </c>
    </row>
    <row r="45" spans="1:12" x14ac:dyDescent="0.3">
      <c r="A45" s="2">
        <v>45068</v>
      </c>
      <c r="B45">
        <v>900.17852783203125</v>
      </c>
      <c r="C45">
        <f t="shared" si="2"/>
        <v>5.8921824385828412E-3</v>
      </c>
      <c r="K45">
        <f t="shared" si="0"/>
        <v>1663.599975585938</v>
      </c>
      <c r="L45" s="5">
        <f t="shared" si="1"/>
        <v>-0.4588972463076777</v>
      </c>
    </row>
    <row r="46" spans="1:12" x14ac:dyDescent="0.3">
      <c r="A46" s="2">
        <v>45069</v>
      </c>
      <c r="B46">
        <v>905.4825439453125</v>
      </c>
      <c r="C46">
        <f t="shared" si="2"/>
        <v>8.1685554563785366E-3</v>
      </c>
      <c r="K46">
        <f t="shared" si="0"/>
        <v>1663.599975585938</v>
      </c>
      <c r="L46" s="5">
        <f t="shared" si="1"/>
        <v>-0.45570897016490297</v>
      </c>
    </row>
    <row r="47" spans="1:12" x14ac:dyDescent="0.3">
      <c r="A47" s="2">
        <v>45070</v>
      </c>
      <c r="B47">
        <v>912.8790283203125</v>
      </c>
      <c r="C47">
        <f t="shared" si="2"/>
        <v>7.9425083625233265E-3</v>
      </c>
      <c r="K47">
        <f t="shared" si="0"/>
        <v>1663.599975585938</v>
      </c>
      <c r="L47" s="5">
        <f t="shared" si="1"/>
        <v>-0.45126289870328551</v>
      </c>
    </row>
    <row r="48" spans="1:12" x14ac:dyDescent="0.3">
      <c r="A48" s="2">
        <v>45071</v>
      </c>
      <c r="B48">
        <v>920.12957763671875</v>
      </c>
      <c r="C48">
        <f t="shared" si="2"/>
        <v>6.2402975230579239E-3</v>
      </c>
      <c r="K48">
        <f t="shared" si="0"/>
        <v>1663.599975585938</v>
      </c>
      <c r="L48" s="5">
        <f t="shared" si="1"/>
        <v>-0.44690454968740956</v>
      </c>
    </row>
    <row r="49" spans="1:12" x14ac:dyDescent="0.3">
      <c r="A49" s="2">
        <v>45072</v>
      </c>
      <c r="B49">
        <v>925.8714599609375</v>
      </c>
      <c r="C49">
        <f t="shared" si="2"/>
        <v>5.150605709702074E-3</v>
      </c>
      <c r="K49">
        <f t="shared" si="0"/>
        <v>1663.599975585938</v>
      </c>
      <c r="L49" s="5">
        <f t="shared" si="1"/>
        <v>-0.44345306951880936</v>
      </c>
    </row>
    <row r="50" spans="1:12" x14ac:dyDescent="0.3">
      <c r="A50" s="2">
        <v>45075</v>
      </c>
      <c r="B50">
        <v>930.6402587890625</v>
      </c>
      <c r="C50">
        <f t="shared" si="2"/>
        <v>3.764721159578452E-3</v>
      </c>
      <c r="K50">
        <f t="shared" si="0"/>
        <v>1663.599975585938</v>
      </c>
      <c r="L50" s="5">
        <f t="shared" si="1"/>
        <v>-0.44058651572095575</v>
      </c>
    </row>
    <row r="51" spans="1:12" x14ac:dyDescent="0.3">
      <c r="A51" s="2">
        <v>45076</v>
      </c>
      <c r="B51">
        <v>934.14385986328125</v>
      </c>
      <c r="C51">
        <f t="shared" si="2"/>
        <v>-7.0844761778379407E-3</v>
      </c>
      <c r="K51">
        <f t="shared" si="0"/>
        <v>1663.599975585938</v>
      </c>
      <c r="L51" s="5">
        <f t="shared" si="1"/>
        <v>-0.43848047993973693</v>
      </c>
    </row>
    <row r="52" spans="1:12" x14ac:dyDescent="0.3">
      <c r="A52" s="2">
        <v>45077</v>
      </c>
      <c r="B52">
        <v>927.52593994140625</v>
      </c>
      <c r="C52">
        <f t="shared" si="2"/>
        <v>1.2276376567498554E-2</v>
      </c>
      <c r="K52">
        <f t="shared" si="0"/>
        <v>1663.599975585938</v>
      </c>
      <c r="L52" s="5">
        <f t="shared" si="1"/>
        <v>-0.44245855160299485</v>
      </c>
    </row>
    <row r="53" spans="1:12" x14ac:dyDescent="0.3">
      <c r="A53" s="2">
        <v>45078</v>
      </c>
      <c r="B53">
        <v>938.91259765625</v>
      </c>
      <c r="C53">
        <f t="shared" si="2"/>
        <v>1.140209049593503E-3</v>
      </c>
      <c r="K53">
        <f t="shared" si="0"/>
        <v>1663.599975585938</v>
      </c>
      <c r="L53" s="5">
        <f t="shared" si="1"/>
        <v>-0.4356139628304847</v>
      </c>
    </row>
    <row r="54" spans="1:12" x14ac:dyDescent="0.3">
      <c r="A54" s="2">
        <v>45079</v>
      </c>
      <c r="B54">
        <v>939.983154296875</v>
      </c>
      <c r="C54">
        <f t="shared" si="2"/>
        <v>9.2664715411341463E-3</v>
      </c>
      <c r="K54">
        <f t="shared" si="0"/>
        <v>1663.599975585938</v>
      </c>
      <c r="L54" s="5">
        <f t="shared" si="1"/>
        <v>-0.43497044476343971</v>
      </c>
    </row>
    <row r="55" spans="1:12" x14ac:dyDescent="0.3">
      <c r="A55" s="2">
        <v>45082</v>
      </c>
      <c r="B55">
        <v>948.6934814453125</v>
      </c>
      <c r="C55">
        <f t="shared" si="2"/>
        <v>-2.8211341744280561E-3</v>
      </c>
      <c r="K55">
        <f t="shared" si="0"/>
        <v>1663.599975585938</v>
      </c>
      <c r="L55" s="5">
        <f t="shared" si="1"/>
        <v>-0.42973461446994043</v>
      </c>
    </row>
    <row r="56" spans="1:12" x14ac:dyDescent="0.3">
      <c r="A56" s="2">
        <v>45083</v>
      </c>
      <c r="B56">
        <v>946.01708984375</v>
      </c>
      <c r="C56">
        <f t="shared" si="2"/>
        <v>-1.1933447848530253E-2</v>
      </c>
      <c r="K56">
        <f t="shared" si="0"/>
        <v>1663.599975585938</v>
      </c>
      <c r="L56" s="5">
        <f t="shared" si="1"/>
        <v>-0.43134340963755269</v>
      </c>
    </row>
    <row r="57" spans="1:12" x14ac:dyDescent="0.3">
      <c r="A57" s="2">
        <v>45084</v>
      </c>
      <c r="B57">
        <v>934.72784423828125</v>
      </c>
      <c r="C57">
        <f t="shared" si="2"/>
        <v>5.1537812232668985E-3</v>
      </c>
      <c r="K57">
        <f t="shared" si="0"/>
        <v>1663.599975585938</v>
      </c>
      <c r="L57" s="5">
        <f t="shared" si="1"/>
        <v>-0.43812944340236604</v>
      </c>
    </row>
    <row r="58" spans="1:12" x14ac:dyDescent="0.3">
      <c r="A58" s="2">
        <v>45085</v>
      </c>
      <c r="B58">
        <v>939.54522705078125</v>
      </c>
      <c r="C58">
        <f t="shared" si="2"/>
        <v>3.9879796088078427E-3</v>
      </c>
      <c r="K58">
        <f t="shared" si="0"/>
        <v>1663.599975585938</v>
      </c>
      <c r="L58" s="5">
        <f t="shared" si="1"/>
        <v>-0.43523368547786667</v>
      </c>
    </row>
    <row r="59" spans="1:12" x14ac:dyDescent="0.3">
      <c r="A59" s="2">
        <v>45086</v>
      </c>
      <c r="B59">
        <v>943.2921142578125</v>
      </c>
      <c r="C59">
        <f t="shared" si="2"/>
        <v>-9.5950811192671726E-3</v>
      </c>
      <c r="K59">
        <f t="shared" si="0"/>
        <v>1663.599975585938</v>
      </c>
      <c r="L59" s="5">
        <f t="shared" si="1"/>
        <v>-0.43298140893181081</v>
      </c>
    </row>
    <row r="60" spans="1:12" x14ac:dyDescent="0.3">
      <c r="A60" s="2">
        <v>45089</v>
      </c>
      <c r="B60">
        <v>934.24114990234375</v>
      </c>
      <c r="C60">
        <f t="shared" si="2"/>
        <v>2.2449129320430059E-2</v>
      </c>
      <c r="K60">
        <f t="shared" si="0"/>
        <v>1663.599975585938</v>
      </c>
      <c r="L60" s="5">
        <f t="shared" si="1"/>
        <v>-0.43842199830924267</v>
      </c>
    </row>
    <row r="61" spans="1:12" x14ac:dyDescent="0.3">
      <c r="A61" s="2">
        <v>45090</v>
      </c>
      <c r="B61">
        <v>955.21405029296875</v>
      </c>
      <c r="C61">
        <f t="shared" si="2"/>
        <v>-2.8528020711776256E-3</v>
      </c>
      <c r="K61">
        <f t="shared" si="0"/>
        <v>1663.599975585938</v>
      </c>
      <c r="L61" s="5">
        <f t="shared" si="1"/>
        <v>-0.42581506112577816</v>
      </c>
    </row>
    <row r="62" spans="1:12" x14ac:dyDescent="0.3">
      <c r="A62" s="2">
        <v>45091</v>
      </c>
      <c r="B62">
        <v>952.489013671875</v>
      </c>
      <c r="C62">
        <f t="shared" si="2"/>
        <v>1.9924411652754975E-2</v>
      </c>
      <c r="K62">
        <f t="shared" si="0"/>
        <v>1663.599975585938</v>
      </c>
      <c r="L62" s="5">
        <f t="shared" si="1"/>
        <v>-0.42745309710863755</v>
      </c>
    </row>
    <row r="63" spans="1:12" x14ac:dyDescent="0.3">
      <c r="A63" s="2">
        <v>45092</v>
      </c>
      <c r="B63">
        <v>971.466796875</v>
      </c>
      <c r="C63">
        <f t="shared" si="2"/>
        <v>7.8641601878602554E-3</v>
      </c>
      <c r="K63">
        <f t="shared" si="0"/>
        <v>1663.599975585938</v>
      </c>
      <c r="L63" s="5">
        <f t="shared" si="1"/>
        <v>-0.41604543692492013</v>
      </c>
    </row>
    <row r="64" spans="1:12" x14ac:dyDescent="0.3">
      <c r="A64" s="2">
        <v>45093</v>
      </c>
      <c r="B64">
        <v>979.1065673828125</v>
      </c>
      <c r="C64">
        <f t="shared" si="2"/>
        <v>5.1687846698369906E-3</v>
      </c>
      <c r="K64">
        <f t="shared" si="0"/>
        <v>1663.599975585938</v>
      </c>
      <c r="L64" s="5">
        <f t="shared" si="1"/>
        <v>-0.41145312469846573</v>
      </c>
    </row>
    <row r="65" spans="1:12" x14ac:dyDescent="0.3">
      <c r="A65" s="2">
        <v>45096</v>
      </c>
      <c r="B65">
        <v>984.1673583984375</v>
      </c>
      <c r="C65">
        <f t="shared" si="2"/>
        <v>-9.8917194710838681E-5</v>
      </c>
      <c r="K65">
        <f t="shared" si="0"/>
        <v>1663.599975585938</v>
      </c>
      <c r="L65" s="5">
        <f t="shared" si="1"/>
        <v>-0.40841105263192667</v>
      </c>
    </row>
    <row r="66" spans="1:12" x14ac:dyDescent="0.3">
      <c r="A66" s="2">
        <v>45097</v>
      </c>
      <c r="B66">
        <v>984.07000732421875</v>
      </c>
      <c r="C66">
        <f t="shared" si="2"/>
        <v>-2.2252678362709478E-3</v>
      </c>
      <c r="K66">
        <f t="shared" ref="K66:K129" si="3">MAX(B66:B805)</f>
        <v>1663.599975585938</v>
      </c>
      <c r="L66" s="5">
        <f t="shared" ref="L66:L129" si="4">B66/K66-1</f>
        <v>-0.40846957095102232</v>
      </c>
    </row>
    <row r="67" spans="1:12" x14ac:dyDescent="0.3">
      <c r="A67" s="2">
        <v>45098</v>
      </c>
      <c r="B67">
        <v>981.88018798828125</v>
      </c>
      <c r="C67">
        <f t="shared" ref="C67:C130" si="5">(B68-B67)/B67</f>
        <v>-1.0506476452442558E-2</v>
      </c>
      <c r="K67">
        <f t="shared" si="3"/>
        <v>1663.599975585938</v>
      </c>
      <c r="L67" s="5">
        <f t="shared" si="4"/>
        <v>-0.40978588458896048</v>
      </c>
    </row>
    <row r="68" spans="1:12" x14ac:dyDescent="0.3">
      <c r="A68" s="2">
        <v>45099</v>
      </c>
      <c r="B68">
        <v>971.5640869140625</v>
      </c>
      <c r="C68">
        <f t="shared" si="5"/>
        <v>-8.9150681620036951E-3</v>
      </c>
      <c r="K68">
        <f t="shared" si="3"/>
        <v>1663.599975585938</v>
      </c>
      <c r="L68" s="5">
        <f t="shared" si="4"/>
        <v>-0.41598695529442586</v>
      </c>
    </row>
    <row r="69" spans="1:12" x14ac:dyDescent="0.3">
      <c r="A69" s="2">
        <v>45100</v>
      </c>
      <c r="B69">
        <v>962.90252685546875</v>
      </c>
      <c r="C69">
        <f t="shared" si="5"/>
        <v>3.2848161422954013E-2</v>
      </c>
      <c r="K69">
        <f t="shared" si="3"/>
        <v>1663.599975585938</v>
      </c>
      <c r="L69" s="5">
        <f t="shared" si="4"/>
        <v>-0.42119347139547536</v>
      </c>
    </row>
    <row r="70" spans="1:12" x14ac:dyDescent="0.3">
      <c r="A70" s="2">
        <v>45103</v>
      </c>
      <c r="B70">
        <v>994.5321044921875</v>
      </c>
      <c r="C70">
        <f t="shared" si="5"/>
        <v>-1.2378966190499394E-2</v>
      </c>
      <c r="K70">
        <f t="shared" si="3"/>
        <v>1663.599975585938</v>
      </c>
      <c r="L70" s="5">
        <f t="shared" si="4"/>
        <v>-0.40218074111121427</v>
      </c>
    </row>
    <row r="71" spans="1:12" x14ac:dyDescent="0.3">
      <c r="A71" s="2">
        <v>45104</v>
      </c>
      <c r="B71">
        <v>982.2208251953125</v>
      </c>
      <c r="C71">
        <f t="shared" si="5"/>
        <v>6.4414275635185279E-4</v>
      </c>
      <c r="K71">
        <f t="shared" si="3"/>
        <v>1663.599975585938</v>
      </c>
      <c r="L71" s="5">
        <f t="shared" si="4"/>
        <v>-0.4095811255050279</v>
      </c>
    </row>
    <row r="72" spans="1:12" x14ac:dyDescent="0.3">
      <c r="A72" s="2">
        <v>45105</v>
      </c>
      <c r="B72">
        <v>982.853515625</v>
      </c>
      <c r="C72">
        <f t="shared" si="5"/>
        <v>5.0004123436820005E-3</v>
      </c>
      <c r="K72">
        <f t="shared" si="3"/>
        <v>1663.599975585938</v>
      </c>
      <c r="L72" s="5">
        <f t="shared" si="4"/>
        <v>-0.4092008114638086</v>
      </c>
    </row>
    <row r="73" spans="1:12" x14ac:dyDescent="0.3">
      <c r="A73" s="2">
        <v>45107</v>
      </c>
      <c r="B73">
        <v>987.7681884765625</v>
      </c>
      <c r="C73">
        <f t="shared" si="5"/>
        <v>-1.2956330960848375E-2</v>
      </c>
      <c r="K73">
        <f t="shared" si="3"/>
        <v>1663.599975585938</v>
      </c>
      <c r="L73" s="5">
        <f t="shared" si="4"/>
        <v>-0.40624657190881486</v>
      </c>
    </row>
    <row r="74" spans="1:12" x14ac:dyDescent="0.3">
      <c r="A74" s="2">
        <v>45110</v>
      </c>
      <c r="B74">
        <v>974.9703369140625</v>
      </c>
      <c r="C74">
        <f t="shared" si="5"/>
        <v>1.0031980890844911E-2</v>
      </c>
      <c r="K74">
        <f t="shared" si="3"/>
        <v>1663.599975585938</v>
      </c>
      <c r="L74" s="5">
        <f t="shared" si="4"/>
        <v>-0.41393943783230258</v>
      </c>
    </row>
    <row r="75" spans="1:12" x14ac:dyDescent="0.3">
      <c r="A75" s="2">
        <v>45111</v>
      </c>
      <c r="B75">
        <v>984.751220703125</v>
      </c>
      <c r="C75">
        <f t="shared" si="5"/>
        <v>-1.037735825667819E-3</v>
      </c>
      <c r="K75">
        <f t="shared" si="3"/>
        <v>1663.599975585938</v>
      </c>
      <c r="L75" s="5">
        <f t="shared" si="4"/>
        <v>-0.40806008947175842</v>
      </c>
    </row>
    <row r="76" spans="1:12" x14ac:dyDescent="0.3">
      <c r="A76" s="2">
        <v>45112</v>
      </c>
      <c r="B76">
        <v>983.72930908203125</v>
      </c>
      <c r="C76">
        <f t="shared" si="5"/>
        <v>1.0338378578061589E-2</v>
      </c>
      <c r="K76">
        <f t="shared" si="3"/>
        <v>1663.599975585938</v>
      </c>
      <c r="L76" s="5">
        <f t="shared" si="4"/>
        <v>-0.40867436672355617</v>
      </c>
    </row>
    <row r="77" spans="1:12" x14ac:dyDescent="0.3">
      <c r="A77" s="2">
        <v>45113</v>
      </c>
      <c r="B77">
        <v>993.89947509765625</v>
      </c>
      <c r="C77">
        <f t="shared" si="5"/>
        <v>-5.8744603384575913E-4</v>
      </c>
      <c r="K77">
        <f t="shared" si="3"/>
        <v>1663.599975585938</v>
      </c>
      <c r="L77" s="5">
        <f t="shared" si="4"/>
        <v>-0.4025610184638323</v>
      </c>
    </row>
    <row r="78" spans="1:12" x14ac:dyDescent="0.3">
      <c r="A78" s="2">
        <v>45114</v>
      </c>
      <c r="B78">
        <v>993.31561279296875</v>
      </c>
      <c r="C78">
        <f t="shared" si="5"/>
        <v>-3.8701075788398318E-3</v>
      </c>
      <c r="K78">
        <f t="shared" si="3"/>
        <v>1663.599975585938</v>
      </c>
      <c r="L78" s="5">
        <f t="shared" si="4"/>
        <v>-0.40291198162400055</v>
      </c>
    </row>
    <row r="79" spans="1:12" x14ac:dyDescent="0.3">
      <c r="A79" s="2">
        <v>45117</v>
      </c>
      <c r="B79">
        <v>989.47137451171875</v>
      </c>
      <c r="C79">
        <f t="shared" si="5"/>
        <v>1.0917682565936915E-2</v>
      </c>
      <c r="K79">
        <f t="shared" si="3"/>
        <v>1663.599975585938</v>
      </c>
      <c r="L79" s="5">
        <f t="shared" si="4"/>
        <v>-0.40522277648915195</v>
      </c>
    </row>
    <row r="80" spans="1:12" x14ac:dyDescent="0.3">
      <c r="A80" s="2">
        <v>45118</v>
      </c>
      <c r="B80">
        <v>1000.274108886719</v>
      </c>
      <c r="C80">
        <f t="shared" si="5"/>
        <v>-5.448579738061528E-3</v>
      </c>
      <c r="K80">
        <f t="shared" si="3"/>
        <v>1663.599975585938</v>
      </c>
      <c r="L80" s="5">
        <f t="shared" si="4"/>
        <v>-0.3987291875654112</v>
      </c>
    </row>
    <row r="81" spans="1:12" x14ac:dyDescent="0.3">
      <c r="A81" s="2">
        <v>45119</v>
      </c>
      <c r="B81">
        <v>994.82403564453125</v>
      </c>
      <c r="C81">
        <f t="shared" si="5"/>
        <v>-1.4674342545832166E-3</v>
      </c>
      <c r="K81">
        <f t="shared" si="3"/>
        <v>1663.599975585938</v>
      </c>
      <c r="L81" s="5">
        <f t="shared" si="4"/>
        <v>-0.40200525953113009</v>
      </c>
    </row>
    <row r="82" spans="1:12" x14ac:dyDescent="0.3">
      <c r="A82" s="2">
        <v>45120</v>
      </c>
      <c r="B82">
        <v>993.36419677734375</v>
      </c>
      <c r="C82">
        <f t="shared" si="5"/>
        <v>9.9931927434237094E-3</v>
      </c>
      <c r="K82">
        <f t="shared" si="3"/>
        <v>1663.599975585938</v>
      </c>
      <c r="L82" s="5">
        <f t="shared" si="4"/>
        <v>-0.40288277749735468</v>
      </c>
    </row>
    <row r="83" spans="1:12" x14ac:dyDescent="0.3">
      <c r="A83" s="2">
        <v>45121</v>
      </c>
      <c r="B83">
        <v>1003.291076660156</v>
      </c>
      <c r="C83">
        <f t="shared" si="5"/>
        <v>1.6975382714152238E-3</v>
      </c>
      <c r="K83">
        <f t="shared" si="3"/>
        <v>1663.599975585938</v>
      </c>
      <c r="L83" s="5">
        <f t="shared" si="4"/>
        <v>-0.39691567000246797</v>
      </c>
    </row>
    <row r="84" spans="1:12" x14ac:dyDescent="0.3">
      <c r="A84" s="2">
        <v>45124</v>
      </c>
      <c r="B84">
        <v>1004.994201660156</v>
      </c>
      <c r="C84">
        <f t="shared" si="5"/>
        <v>-1.7914680861719687E-3</v>
      </c>
      <c r="K84">
        <f t="shared" si="3"/>
        <v>1663.599975585938</v>
      </c>
      <c r="L84" s="5">
        <f t="shared" si="4"/>
        <v>-0.39589191127140633</v>
      </c>
    </row>
    <row r="85" spans="1:12" x14ac:dyDescent="0.3">
      <c r="A85" s="2">
        <v>45125</v>
      </c>
      <c r="B85">
        <v>1003.193786621094</v>
      </c>
      <c r="C85">
        <f t="shared" si="5"/>
        <v>4.8505362542371087E-3</v>
      </c>
      <c r="K85">
        <f t="shared" si="3"/>
        <v>1663.599975585938</v>
      </c>
      <c r="L85" s="5">
        <f t="shared" si="4"/>
        <v>-0.39697415163296201</v>
      </c>
    </row>
    <row r="86" spans="1:12" x14ac:dyDescent="0.3">
      <c r="A86" s="2">
        <v>45126</v>
      </c>
      <c r="B86">
        <v>1008.059814453125</v>
      </c>
      <c r="C86">
        <f t="shared" si="5"/>
        <v>2.0032874684579583E-2</v>
      </c>
      <c r="K86">
        <f t="shared" si="3"/>
        <v>1663.599975585938</v>
      </c>
      <c r="L86" s="5">
        <f t="shared" si="4"/>
        <v>-0.39404915289321552</v>
      </c>
    </row>
    <row r="87" spans="1:12" x14ac:dyDescent="0.3">
      <c r="A87" s="2">
        <v>45127</v>
      </c>
      <c r="B87">
        <v>1028.254150390625</v>
      </c>
      <c r="C87">
        <f t="shared" si="5"/>
        <v>8.5867348065411201E-4</v>
      </c>
      <c r="K87">
        <f t="shared" si="3"/>
        <v>1663.599975585938</v>
      </c>
      <c r="L87" s="5">
        <f t="shared" si="4"/>
        <v>-0.38191021550811055</v>
      </c>
    </row>
    <row r="88" spans="1:12" x14ac:dyDescent="0.3">
      <c r="A88" s="2">
        <v>45128</v>
      </c>
      <c r="B88">
        <v>1029.137084960938</v>
      </c>
      <c r="C88">
        <f t="shared" si="5"/>
        <v>0</v>
      </c>
      <c r="K88">
        <f t="shared" si="3"/>
        <v>1663.599975585938</v>
      </c>
      <c r="L88" s="5">
        <f t="shared" si="4"/>
        <v>-0.38137947820150409</v>
      </c>
    </row>
    <row r="89" spans="1:12" x14ac:dyDescent="0.3">
      <c r="A89" s="2">
        <v>45131</v>
      </c>
      <c r="B89">
        <v>1029.137084960938</v>
      </c>
      <c r="C89">
        <f t="shared" si="5"/>
        <v>5.5294399948943992E-3</v>
      </c>
      <c r="K89">
        <f t="shared" si="3"/>
        <v>1663.599975585938</v>
      </c>
      <c r="L89" s="5">
        <f t="shared" si="4"/>
        <v>-0.38137947820150409</v>
      </c>
    </row>
    <row r="90" spans="1:12" x14ac:dyDescent="0.3">
      <c r="A90" s="2">
        <v>45132</v>
      </c>
      <c r="B90">
        <v>1034.82763671875</v>
      </c>
      <c r="C90">
        <f t="shared" si="5"/>
        <v>1.3036213854681226E-2</v>
      </c>
      <c r="K90">
        <f t="shared" si="3"/>
        <v>1663.599975585938</v>
      </c>
      <c r="L90" s="5">
        <f t="shared" si="4"/>
        <v>-0.37795885314660904</v>
      </c>
    </row>
    <row r="91" spans="1:12" x14ac:dyDescent="0.3">
      <c r="A91" s="2">
        <v>45133</v>
      </c>
      <c r="B91">
        <v>1048.31787109375</v>
      </c>
      <c r="C91">
        <f t="shared" si="5"/>
        <v>9.6349946785097965E-2</v>
      </c>
      <c r="K91">
        <f t="shared" si="3"/>
        <v>1663.599975585938</v>
      </c>
      <c r="L91" s="5">
        <f t="shared" si="4"/>
        <v>-0.36984979172981713</v>
      </c>
    </row>
    <row r="92" spans="1:12" x14ac:dyDescent="0.3">
      <c r="A92" s="2">
        <v>45134</v>
      </c>
      <c r="B92">
        <v>1149.3232421875</v>
      </c>
      <c r="C92">
        <f t="shared" si="5"/>
        <v>5.4206704522953252E-3</v>
      </c>
      <c r="K92">
        <f t="shared" si="3"/>
        <v>1663.599975585938</v>
      </c>
      <c r="L92" s="5">
        <f t="shared" si="4"/>
        <v>-0.30913485269636654</v>
      </c>
    </row>
    <row r="93" spans="1:12" x14ac:dyDescent="0.3">
      <c r="A93" s="2">
        <v>45135</v>
      </c>
      <c r="B93">
        <v>1155.553344726562</v>
      </c>
      <c r="C93">
        <f t="shared" si="5"/>
        <v>-2.3772769340648986E-3</v>
      </c>
      <c r="K93">
        <f t="shared" si="3"/>
        <v>1663.599975585938</v>
      </c>
      <c r="L93" s="5">
        <f t="shared" si="4"/>
        <v>-0.30538990040585712</v>
      </c>
    </row>
    <row r="94" spans="1:12" x14ac:dyDescent="0.3">
      <c r="A94" s="2">
        <v>45138</v>
      </c>
      <c r="B94">
        <v>1152.806274414062</v>
      </c>
      <c r="C94">
        <f t="shared" si="5"/>
        <v>2.8510802179086948E-3</v>
      </c>
      <c r="K94">
        <f t="shared" si="3"/>
        <v>1663.599975585938</v>
      </c>
      <c r="L94" s="5">
        <f t="shared" si="4"/>
        <v>-0.30704118097379074</v>
      </c>
    </row>
    <row r="95" spans="1:12" x14ac:dyDescent="0.3">
      <c r="A95" s="2">
        <v>45139</v>
      </c>
      <c r="B95">
        <v>1156.093017578125</v>
      </c>
      <c r="C95">
        <f t="shared" si="5"/>
        <v>-8.5288184185479572E-3</v>
      </c>
      <c r="K95">
        <f t="shared" si="3"/>
        <v>1663.599975585938</v>
      </c>
      <c r="L95" s="5">
        <f t="shared" si="4"/>
        <v>-0.30506549979303976</v>
      </c>
    </row>
    <row r="96" spans="1:12" x14ac:dyDescent="0.3">
      <c r="A96" s="2">
        <v>45140</v>
      </c>
      <c r="B96">
        <v>1146.23291015625</v>
      </c>
      <c r="C96">
        <f t="shared" si="5"/>
        <v>-2.0971380008817948E-3</v>
      </c>
      <c r="K96">
        <f t="shared" si="3"/>
        <v>1663.599975585938</v>
      </c>
      <c r="L96" s="5">
        <f t="shared" si="4"/>
        <v>-0.31099246995808938</v>
      </c>
    </row>
    <row r="97" spans="1:12" x14ac:dyDescent="0.3">
      <c r="A97" s="2">
        <v>45141</v>
      </c>
      <c r="B97">
        <v>1143.8291015625</v>
      </c>
      <c r="C97">
        <f t="shared" si="5"/>
        <v>3.7654926529159097E-2</v>
      </c>
      <c r="K97">
        <f t="shared" si="3"/>
        <v>1663.599975585938</v>
      </c>
      <c r="L97" s="5">
        <f t="shared" si="4"/>
        <v>-0.31243741383223389</v>
      </c>
    </row>
    <row r="98" spans="1:12" x14ac:dyDescent="0.3">
      <c r="A98" s="2">
        <v>45142</v>
      </c>
      <c r="B98">
        <v>1186.89990234375</v>
      </c>
      <c r="C98">
        <f t="shared" si="5"/>
        <v>1.148997581425811E-2</v>
      </c>
      <c r="K98">
        <f t="shared" si="3"/>
        <v>1663.599975585938</v>
      </c>
      <c r="L98" s="5">
        <f t="shared" si="4"/>
        <v>-0.28654729516588806</v>
      </c>
    </row>
    <row r="99" spans="1:12" x14ac:dyDescent="0.3">
      <c r="A99" s="2">
        <v>45145</v>
      </c>
      <c r="B99">
        <v>1200.537353515625</v>
      </c>
      <c r="C99">
        <f t="shared" si="5"/>
        <v>3.4977216623171471E-2</v>
      </c>
      <c r="K99">
        <f t="shared" si="3"/>
        <v>1663.599975585938</v>
      </c>
      <c r="L99" s="5">
        <f t="shared" si="4"/>
        <v>-0.27834974084272712</v>
      </c>
    </row>
    <row r="100" spans="1:12" x14ac:dyDescent="0.3">
      <c r="A100" s="2">
        <v>45146</v>
      </c>
      <c r="B100">
        <v>1242.52880859375</v>
      </c>
      <c r="C100">
        <f t="shared" si="5"/>
        <v>-3.1575443696877314E-4</v>
      </c>
      <c r="K100">
        <f t="shared" si="3"/>
        <v>1663.599975585938</v>
      </c>
      <c r="L100" s="5">
        <f t="shared" si="4"/>
        <v>-0.25310842340201534</v>
      </c>
    </row>
    <row r="101" spans="1:12" x14ac:dyDescent="0.3">
      <c r="A101" s="2">
        <v>45147</v>
      </c>
      <c r="B101">
        <v>1242.136474609375</v>
      </c>
      <c r="C101">
        <f t="shared" si="5"/>
        <v>-5.6080330343761886E-3</v>
      </c>
      <c r="K101">
        <f t="shared" si="3"/>
        <v>1663.599975585938</v>
      </c>
      <c r="L101" s="5">
        <f t="shared" si="4"/>
        <v>-0.25334425773126079</v>
      </c>
    </row>
    <row r="102" spans="1:12" x14ac:dyDescent="0.3">
      <c r="A102" s="2">
        <v>45148</v>
      </c>
      <c r="B102">
        <v>1235.170532226562</v>
      </c>
      <c r="C102">
        <f t="shared" si="5"/>
        <v>-6.9503268117251079E-3</v>
      </c>
      <c r="K102">
        <f t="shared" si="3"/>
        <v>1663.599975585938</v>
      </c>
      <c r="L102" s="5">
        <f t="shared" si="4"/>
        <v>-0.25753152779921051</v>
      </c>
    </row>
    <row r="103" spans="1:12" x14ac:dyDescent="0.3">
      <c r="A103" s="2">
        <v>45149</v>
      </c>
      <c r="B103">
        <v>1226.585693359375</v>
      </c>
      <c r="C103">
        <f t="shared" si="5"/>
        <v>-1.1678023604250742E-2</v>
      </c>
      <c r="K103">
        <f t="shared" si="3"/>
        <v>1663.599975585938</v>
      </c>
      <c r="L103" s="5">
        <f t="shared" si="4"/>
        <v>-0.26269192632840821</v>
      </c>
    </row>
    <row r="104" spans="1:12" x14ac:dyDescent="0.3">
      <c r="A104" s="2">
        <v>45152</v>
      </c>
      <c r="B104">
        <v>1212.261596679688</v>
      </c>
      <c r="C104">
        <f t="shared" si="5"/>
        <v>6.4341943844262476E-3</v>
      </c>
      <c r="K104">
        <f t="shared" si="3"/>
        <v>1663.599975585938</v>
      </c>
      <c r="L104" s="5">
        <f t="shared" si="4"/>
        <v>-0.27130222741634968</v>
      </c>
    </row>
    <row r="105" spans="1:12" x14ac:dyDescent="0.3">
      <c r="A105" s="2">
        <v>45154</v>
      </c>
      <c r="B105">
        <v>1220.0615234375</v>
      </c>
      <c r="C105">
        <f t="shared" si="5"/>
        <v>-2.0506778362707439E-3</v>
      </c>
      <c r="K105">
        <f t="shared" si="3"/>
        <v>1663.599975585938</v>
      </c>
      <c r="L105" s="5">
        <f t="shared" si="4"/>
        <v>-0.26661364430004808</v>
      </c>
    </row>
    <row r="106" spans="1:12" x14ac:dyDescent="0.3">
      <c r="A106" s="2">
        <v>45155</v>
      </c>
      <c r="B106">
        <v>1217.5595703125</v>
      </c>
      <c r="C106">
        <f t="shared" si="5"/>
        <v>-3.7066453531137107E-3</v>
      </c>
      <c r="K106">
        <f t="shared" si="3"/>
        <v>1663.599975585938</v>
      </c>
      <c r="L106" s="5">
        <f t="shared" si="4"/>
        <v>-0.26811758344510539</v>
      </c>
    </row>
    <row r="107" spans="1:12" x14ac:dyDescent="0.3">
      <c r="A107" s="2">
        <v>45156</v>
      </c>
      <c r="B107">
        <v>1213.046508789062</v>
      </c>
      <c r="C107">
        <f t="shared" si="5"/>
        <v>-2.1028899566748801E-3</v>
      </c>
      <c r="K107">
        <f t="shared" si="3"/>
        <v>1663.599975585938</v>
      </c>
      <c r="L107" s="5">
        <f t="shared" si="4"/>
        <v>-0.27083041200345415</v>
      </c>
    </row>
    <row r="108" spans="1:12" x14ac:dyDescent="0.3">
      <c r="A108" s="2">
        <v>45159</v>
      </c>
      <c r="B108">
        <v>1210.49560546875</v>
      </c>
      <c r="C108">
        <f t="shared" si="5"/>
        <v>-1.0374451160604602E-2</v>
      </c>
      <c r="K108">
        <f t="shared" si="3"/>
        <v>1663.599975585938</v>
      </c>
      <c r="L108" s="5">
        <f t="shared" si="4"/>
        <v>-0.27236377540676493</v>
      </c>
    </row>
    <row r="109" spans="1:12" x14ac:dyDescent="0.3">
      <c r="A109" s="2">
        <v>45160</v>
      </c>
      <c r="B109">
        <v>1197.937377929688</v>
      </c>
      <c r="C109">
        <f t="shared" si="5"/>
        <v>7.9033959637042923E-3</v>
      </c>
      <c r="K109">
        <f t="shared" si="3"/>
        <v>1663.599975585938</v>
      </c>
      <c r="L109" s="5">
        <f t="shared" si="4"/>
        <v>-0.27991260188149414</v>
      </c>
    </row>
    <row r="110" spans="1:12" x14ac:dyDescent="0.3">
      <c r="A110" s="2">
        <v>45161</v>
      </c>
      <c r="B110">
        <v>1207.405151367188</v>
      </c>
      <c r="C110">
        <f t="shared" si="5"/>
        <v>-8.2477484978109722E-3</v>
      </c>
      <c r="K110">
        <f t="shared" si="3"/>
        <v>1663.599975585938</v>
      </c>
      <c r="L110" s="5">
        <f t="shared" si="4"/>
        <v>-0.27422146604568998</v>
      </c>
    </row>
    <row r="111" spans="1:12" x14ac:dyDescent="0.3">
      <c r="A111" s="2">
        <v>45162</v>
      </c>
      <c r="B111">
        <v>1197.44677734375</v>
      </c>
      <c r="C111">
        <f t="shared" si="5"/>
        <v>-9.0945660342578952E-3</v>
      </c>
      <c r="K111">
        <f t="shared" si="3"/>
        <v>1663.599975585938</v>
      </c>
      <c r="L111" s="5">
        <f t="shared" si="4"/>
        <v>-0.28020750485885515</v>
      </c>
    </row>
    <row r="112" spans="1:12" x14ac:dyDescent="0.3">
      <c r="A112" s="2">
        <v>45163</v>
      </c>
      <c r="B112">
        <v>1186.556518554688</v>
      </c>
      <c r="C112">
        <f t="shared" si="5"/>
        <v>1.6123727414595355E-2</v>
      </c>
      <c r="K112">
        <f t="shared" si="3"/>
        <v>1663.599975585938</v>
      </c>
      <c r="L112" s="5">
        <f t="shared" si="4"/>
        <v>-0.28675370523687949</v>
      </c>
    </row>
    <row r="113" spans="1:12" x14ac:dyDescent="0.3">
      <c r="A113" s="2">
        <v>45166</v>
      </c>
      <c r="B113">
        <v>1205.688232421875</v>
      </c>
      <c r="C113">
        <f t="shared" si="5"/>
        <v>6.9160690323074626E-4</v>
      </c>
      <c r="K113">
        <f t="shared" si="3"/>
        <v>1663.599975585938</v>
      </c>
      <c r="L113" s="5">
        <f t="shared" si="4"/>
        <v>-0.27525351640064877</v>
      </c>
    </row>
    <row r="114" spans="1:12" x14ac:dyDescent="0.3">
      <c r="A114" s="2">
        <v>45167</v>
      </c>
      <c r="B114">
        <v>1206.522094726562</v>
      </c>
      <c r="C114">
        <f t="shared" si="5"/>
        <v>5.2043595655088476E-3</v>
      </c>
      <c r="K114">
        <f t="shared" si="3"/>
        <v>1663.599975585938</v>
      </c>
      <c r="L114" s="5">
        <f t="shared" si="4"/>
        <v>-0.27475227672949931</v>
      </c>
    </row>
    <row r="115" spans="1:12" x14ac:dyDescent="0.3">
      <c r="A115" s="2">
        <v>45168</v>
      </c>
      <c r="B115">
        <v>1212.80126953125</v>
      </c>
      <c r="C115">
        <f t="shared" si="5"/>
        <v>1.7352224419110156E-2</v>
      </c>
      <c r="K115">
        <f t="shared" si="3"/>
        <v>1663.599975585938</v>
      </c>
      <c r="L115" s="5">
        <f t="shared" si="4"/>
        <v>-0.270977826803533</v>
      </c>
    </row>
    <row r="116" spans="1:12" x14ac:dyDescent="0.3">
      <c r="A116" s="2">
        <v>45169</v>
      </c>
      <c r="B116">
        <v>1233.846069335938</v>
      </c>
      <c r="C116">
        <f t="shared" si="5"/>
        <v>-9.7010516868040551E-3</v>
      </c>
      <c r="K116">
        <f t="shared" si="3"/>
        <v>1663.599975585938</v>
      </c>
      <c r="L116" s="5">
        <f t="shared" si="4"/>
        <v>-0.25832767044772043</v>
      </c>
    </row>
    <row r="117" spans="1:12" x14ac:dyDescent="0.3">
      <c r="A117" s="2">
        <v>45170</v>
      </c>
      <c r="B117">
        <v>1221.87646484375</v>
      </c>
      <c r="C117">
        <f t="shared" si="5"/>
        <v>-5.2593447178571956E-3</v>
      </c>
      <c r="K117">
        <f t="shared" si="3"/>
        <v>1663.599975585938</v>
      </c>
      <c r="L117" s="5">
        <f t="shared" si="4"/>
        <v>-0.26552267205137947</v>
      </c>
    </row>
    <row r="118" spans="1:12" x14ac:dyDescent="0.3">
      <c r="A118" s="2">
        <v>45173</v>
      </c>
      <c r="B118">
        <v>1215.4501953125</v>
      </c>
      <c r="C118">
        <f t="shared" si="5"/>
        <v>8.0747472523764262E-5</v>
      </c>
      <c r="K118">
        <f t="shared" si="3"/>
        <v>1663.599975585938</v>
      </c>
      <c r="L118" s="5">
        <f t="shared" si="4"/>
        <v>-0.26938554150651195</v>
      </c>
    </row>
    <row r="119" spans="1:12" x14ac:dyDescent="0.3">
      <c r="A119" s="2">
        <v>45174</v>
      </c>
      <c r="B119">
        <v>1215.54833984375</v>
      </c>
      <c r="C119">
        <f t="shared" si="5"/>
        <v>1.4366968836001038E-2</v>
      </c>
      <c r="K119">
        <f t="shared" si="3"/>
        <v>1663.599975585938</v>
      </c>
      <c r="L119" s="5">
        <f t="shared" si="4"/>
        <v>-0.26932654623559926</v>
      </c>
    </row>
    <row r="120" spans="1:12" x14ac:dyDescent="0.3">
      <c r="A120" s="2">
        <v>45175</v>
      </c>
      <c r="B120">
        <v>1233.012084960938</v>
      </c>
      <c r="C120">
        <f t="shared" si="5"/>
        <v>-5.9279257605934265E-3</v>
      </c>
      <c r="K120">
        <f t="shared" si="3"/>
        <v>1663.599975585938</v>
      </c>
      <c r="L120" s="5">
        <f t="shared" si="4"/>
        <v>-0.25882898349607286</v>
      </c>
    </row>
    <row r="121" spans="1:12" x14ac:dyDescent="0.3">
      <c r="A121" s="2">
        <v>45176</v>
      </c>
      <c r="B121">
        <v>1225.702880859375</v>
      </c>
      <c r="C121">
        <f t="shared" si="5"/>
        <v>-3.7621908188441781E-3</v>
      </c>
      <c r="K121">
        <f t="shared" si="3"/>
        <v>1663.599975585938</v>
      </c>
      <c r="L121" s="5">
        <f t="shared" si="4"/>
        <v>-0.26322259025781169</v>
      </c>
    </row>
    <row r="122" spans="1:12" x14ac:dyDescent="0.3">
      <c r="A122" s="2">
        <v>45177</v>
      </c>
      <c r="B122">
        <v>1221.091552734375</v>
      </c>
      <c r="C122">
        <f t="shared" si="5"/>
        <v>2.2095969062640541E-3</v>
      </c>
      <c r="K122">
        <f t="shared" si="3"/>
        <v>1663.599975585938</v>
      </c>
      <c r="L122" s="5">
        <f t="shared" si="4"/>
        <v>-0.26599448746427556</v>
      </c>
    </row>
    <row r="123" spans="1:12" x14ac:dyDescent="0.3">
      <c r="A123" s="2">
        <v>45180</v>
      </c>
      <c r="B123">
        <v>1223.789672851562</v>
      </c>
      <c r="C123">
        <f t="shared" si="5"/>
        <v>-6.0527955065612891E-3</v>
      </c>
      <c r="K123">
        <f t="shared" si="3"/>
        <v>1663.599975585938</v>
      </c>
      <c r="L123" s="5">
        <f t="shared" si="4"/>
        <v>-0.26437263115459586</v>
      </c>
    </row>
    <row r="124" spans="1:12" x14ac:dyDescent="0.3">
      <c r="A124" s="2">
        <v>45181</v>
      </c>
      <c r="B124">
        <v>1216.38232421875</v>
      </c>
      <c r="C124">
        <f t="shared" si="5"/>
        <v>-9.1144615480956391E-3</v>
      </c>
      <c r="K124">
        <f t="shared" si="3"/>
        <v>1663.599975585938</v>
      </c>
      <c r="L124" s="5">
        <f t="shared" si="4"/>
        <v>-0.26882523318724683</v>
      </c>
    </row>
    <row r="125" spans="1:12" x14ac:dyDescent="0.3">
      <c r="A125" s="2">
        <v>45182</v>
      </c>
      <c r="B125">
        <v>1205.295654296875</v>
      </c>
      <c r="C125">
        <f t="shared" si="5"/>
        <v>4.2735397641957256E-3</v>
      </c>
      <c r="K125">
        <f t="shared" si="3"/>
        <v>1663.599975585938</v>
      </c>
      <c r="L125" s="5">
        <f t="shared" si="4"/>
        <v>-0.27548949748429952</v>
      </c>
    </row>
    <row r="126" spans="1:12" x14ac:dyDescent="0.3">
      <c r="A126" s="2">
        <v>45183</v>
      </c>
      <c r="B126">
        <v>1210.446533203125</v>
      </c>
      <c r="C126">
        <f t="shared" si="5"/>
        <v>1.4184178302940693E-3</v>
      </c>
      <c r="K126">
        <f t="shared" si="3"/>
        <v>1663.599975585938</v>
      </c>
      <c r="L126" s="5">
        <f t="shared" si="4"/>
        <v>-0.27239327304222127</v>
      </c>
    </row>
    <row r="127" spans="1:12" x14ac:dyDescent="0.3">
      <c r="A127" s="2">
        <v>45184</v>
      </c>
      <c r="B127">
        <v>1212.163452148438</v>
      </c>
      <c r="C127">
        <f t="shared" si="5"/>
        <v>4.08749488798752E-3</v>
      </c>
      <c r="K127">
        <f t="shared" si="3"/>
        <v>1663.599975585938</v>
      </c>
      <c r="L127" s="5">
        <f t="shared" si="4"/>
        <v>-0.27136122268726237</v>
      </c>
    </row>
    <row r="128" spans="1:12" x14ac:dyDescent="0.3">
      <c r="A128" s="2">
        <v>45187</v>
      </c>
      <c r="B128">
        <v>1217.1181640625</v>
      </c>
      <c r="C128">
        <f t="shared" si="5"/>
        <v>-6.852123315753705E-4</v>
      </c>
      <c r="K128">
        <f t="shared" si="3"/>
        <v>1663.599975585938</v>
      </c>
      <c r="L128" s="5">
        <f t="shared" si="4"/>
        <v>-0.26838291540980708</v>
      </c>
    </row>
    <row r="129" spans="1:12" x14ac:dyDescent="0.3">
      <c r="A129" s="2">
        <v>45189</v>
      </c>
      <c r="B129">
        <v>1216.2841796875</v>
      </c>
      <c r="C129">
        <f t="shared" si="5"/>
        <v>-2.6861338043717885E-2</v>
      </c>
      <c r="K129">
        <f t="shared" si="3"/>
        <v>1663.599975585938</v>
      </c>
      <c r="L129" s="5">
        <f t="shared" si="4"/>
        <v>-0.26888422845815951</v>
      </c>
    </row>
    <row r="130" spans="1:12" x14ac:dyDescent="0.3">
      <c r="A130" s="2">
        <v>45190</v>
      </c>
      <c r="B130">
        <v>1183.613159179688</v>
      </c>
      <c r="C130">
        <f t="shared" si="5"/>
        <v>-1.6992708143503003E-2</v>
      </c>
      <c r="K130">
        <f t="shared" ref="K130:K193" si="6">MAX(B130:B869)</f>
        <v>1663.599975585938</v>
      </c>
      <c r="L130" s="5">
        <f t="shared" ref="L130:L193" si="7">B130/K130-1</f>
        <v>-0.28852297634663848</v>
      </c>
    </row>
    <row r="131" spans="1:12" x14ac:dyDescent="0.3">
      <c r="A131" s="2">
        <v>45191</v>
      </c>
      <c r="B131">
        <v>1163.500366210938</v>
      </c>
      <c r="C131">
        <f t="shared" ref="C131:C194" si="8">(B132-B131)/B131</f>
        <v>-5.5232208926395332E-3</v>
      </c>
      <c r="K131">
        <f t="shared" si="6"/>
        <v>1663.599975585938</v>
      </c>
      <c r="L131" s="5">
        <f t="shared" si="7"/>
        <v>-0.30061289776038824</v>
      </c>
    </row>
    <row r="132" spans="1:12" x14ac:dyDescent="0.3">
      <c r="A132" s="2">
        <v>45194</v>
      </c>
      <c r="B132">
        <v>1157.074096679688</v>
      </c>
      <c r="C132">
        <f t="shared" si="8"/>
        <v>-1.3312407932226902E-2</v>
      </c>
      <c r="K132">
        <f t="shared" si="6"/>
        <v>1663.599975585938</v>
      </c>
      <c r="L132" s="5">
        <f t="shared" si="7"/>
        <v>-0.30447576721552072</v>
      </c>
    </row>
    <row r="133" spans="1:12" x14ac:dyDescent="0.3">
      <c r="A133" s="2">
        <v>45195</v>
      </c>
      <c r="B133">
        <v>1141.670654296875</v>
      </c>
      <c r="C133">
        <f t="shared" si="8"/>
        <v>1.4480197199356441E-2</v>
      </c>
      <c r="K133">
        <f t="shared" si="6"/>
        <v>1663.599975585938</v>
      </c>
      <c r="L133" s="5">
        <f t="shared" si="7"/>
        <v>-0.3137348695290969</v>
      </c>
    </row>
    <row r="134" spans="1:12" x14ac:dyDescent="0.3">
      <c r="A134" s="2">
        <v>45196</v>
      </c>
      <c r="B134">
        <v>1158.202270507812</v>
      </c>
      <c r="C134">
        <f t="shared" si="8"/>
        <v>-1.3934664580802289E-2</v>
      </c>
      <c r="K134">
        <f t="shared" si="6"/>
        <v>1663.599975585938</v>
      </c>
      <c r="L134" s="5">
        <f t="shared" si="7"/>
        <v>-0.30379761510883607</v>
      </c>
    </row>
    <row r="135" spans="1:12" x14ac:dyDescent="0.3">
      <c r="A135" s="2">
        <v>45197</v>
      </c>
      <c r="B135">
        <v>1142.063110351562</v>
      </c>
      <c r="C135">
        <f t="shared" si="8"/>
        <v>1.8985373856015206E-2</v>
      </c>
      <c r="K135">
        <f t="shared" si="6"/>
        <v>1663.599975585938</v>
      </c>
      <c r="L135" s="5">
        <f t="shared" si="7"/>
        <v>-0.31349896182264914</v>
      </c>
    </row>
    <row r="136" spans="1:12" x14ac:dyDescent="0.3">
      <c r="A136" s="2">
        <v>45198</v>
      </c>
      <c r="B136">
        <v>1163.74560546875</v>
      </c>
      <c r="C136">
        <f t="shared" si="8"/>
        <v>-2.8241748697527139E-3</v>
      </c>
      <c r="K136">
        <f t="shared" si="6"/>
        <v>1663.599975585938</v>
      </c>
      <c r="L136" s="5">
        <f t="shared" si="7"/>
        <v>-0.3004654829603095</v>
      </c>
    </row>
    <row r="137" spans="1:12" x14ac:dyDescent="0.3">
      <c r="A137" s="2">
        <v>45202</v>
      </c>
      <c r="B137">
        <v>1160.458984375</v>
      </c>
      <c r="C137">
        <f t="shared" si="8"/>
        <v>-1.331586454713035E-2</v>
      </c>
      <c r="K137">
        <f t="shared" si="6"/>
        <v>1663.599975585938</v>
      </c>
      <c r="L137" s="5">
        <f t="shared" si="7"/>
        <v>-0.30244109076385761</v>
      </c>
    </row>
    <row r="138" spans="1:12" x14ac:dyDescent="0.3">
      <c r="A138" s="2">
        <v>45203</v>
      </c>
      <c r="B138">
        <v>1145.006469726562</v>
      </c>
      <c r="C138">
        <f t="shared" si="8"/>
        <v>-5.0984590122719201E-3</v>
      </c>
      <c r="K138">
        <f t="shared" si="6"/>
        <v>1663.599975585938</v>
      </c>
      <c r="L138" s="5">
        <f t="shared" si="7"/>
        <v>-0.31172969071289003</v>
      </c>
    </row>
    <row r="139" spans="1:12" x14ac:dyDescent="0.3">
      <c r="A139" s="2">
        <v>45204</v>
      </c>
      <c r="B139">
        <v>1139.168701171875</v>
      </c>
      <c r="C139">
        <f t="shared" si="8"/>
        <v>1.636507227228257E-3</v>
      </c>
      <c r="K139">
        <f t="shared" si="6"/>
        <v>1663.599975585938</v>
      </c>
      <c r="L139" s="5">
        <f t="shared" si="7"/>
        <v>-0.3152388086741541</v>
      </c>
    </row>
    <row r="140" spans="1:12" x14ac:dyDescent="0.3">
      <c r="A140" s="2">
        <v>45205</v>
      </c>
      <c r="B140">
        <v>1141.032958984375</v>
      </c>
      <c r="C140">
        <f t="shared" si="8"/>
        <v>-3.0095186417696362E-3</v>
      </c>
      <c r="K140">
        <f t="shared" si="6"/>
        <v>1663.599975585938</v>
      </c>
      <c r="L140" s="5">
        <f t="shared" si="7"/>
        <v>-0.31411819203562397</v>
      </c>
    </row>
    <row r="141" spans="1:12" x14ac:dyDescent="0.3">
      <c r="A141" s="2">
        <v>45208</v>
      </c>
      <c r="B141">
        <v>1137.598999023438</v>
      </c>
      <c r="C141">
        <f t="shared" si="8"/>
        <v>-3.8377712447978385E-3</v>
      </c>
      <c r="K141">
        <f t="shared" si="6"/>
        <v>1663.599975585938</v>
      </c>
      <c r="L141" s="5">
        <f t="shared" si="7"/>
        <v>-0.31618236612274342</v>
      </c>
    </row>
    <row r="142" spans="1:12" x14ac:dyDescent="0.3">
      <c r="A142" s="2">
        <v>45209</v>
      </c>
      <c r="B142">
        <v>1133.233154296875</v>
      </c>
      <c r="C142">
        <f t="shared" si="8"/>
        <v>1.4631312553550021E-2</v>
      </c>
      <c r="K142">
        <f t="shared" si="6"/>
        <v>1663.599975585938</v>
      </c>
      <c r="L142" s="5">
        <f t="shared" si="7"/>
        <v>-0.31880670177472326</v>
      </c>
    </row>
    <row r="143" spans="1:12" x14ac:dyDescent="0.3">
      <c r="A143" s="2">
        <v>45210</v>
      </c>
      <c r="B143">
        <v>1149.813842773438</v>
      </c>
      <c r="C143">
        <f t="shared" si="8"/>
        <v>-1.1988608465088868E-2</v>
      </c>
      <c r="K143">
        <f t="shared" si="6"/>
        <v>1663.599975585938</v>
      </c>
      <c r="L143" s="5">
        <f t="shared" si="7"/>
        <v>-0.30883994971900564</v>
      </c>
    </row>
    <row r="144" spans="1:12" x14ac:dyDescent="0.3">
      <c r="A144" s="2">
        <v>45211</v>
      </c>
      <c r="B144">
        <v>1136.029174804688</v>
      </c>
      <c r="C144">
        <f t="shared" si="8"/>
        <v>8.5067713435691642E-3</v>
      </c>
      <c r="K144">
        <f t="shared" si="6"/>
        <v>1663.599975585938</v>
      </c>
      <c r="L144" s="5">
        <f t="shared" si="7"/>
        <v>-0.3171259969485356</v>
      </c>
    </row>
    <row r="145" spans="1:12" x14ac:dyDescent="0.3">
      <c r="A145" s="2">
        <v>45212</v>
      </c>
      <c r="B145">
        <v>1145.693115234375</v>
      </c>
      <c r="C145">
        <f t="shared" si="8"/>
        <v>-2.8687814567084869E-3</v>
      </c>
      <c r="K145">
        <f t="shared" si="6"/>
        <v>1663.599975585938</v>
      </c>
      <c r="L145" s="5">
        <f t="shared" si="7"/>
        <v>-0.31131694394810905</v>
      </c>
    </row>
    <row r="146" spans="1:12" x14ac:dyDescent="0.3">
      <c r="A146" s="2">
        <v>45215</v>
      </c>
      <c r="B146">
        <v>1142.406372070312</v>
      </c>
      <c r="C146">
        <f t="shared" si="8"/>
        <v>7.8152773606032476E-3</v>
      </c>
      <c r="K146">
        <f t="shared" si="6"/>
        <v>1663.599975585938</v>
      </c>
      <c r="L146" s="5">
        <f t="shared" si="7"/>
        <v>-0.31329262512886003</v>
      </c>
    </row>
    <row r="147" spans="1:12" x14ac:dyDescent="0.3">
      <c r="A147" s="2">
        <v>45216</v>
      </c>
      <c r="B147">
        <v>1151.334594726562</v>
      </c>
      <c r="C147">
        <f t="shared" si="8"/>
        <v>3.1614762631640182E-2</v>
      </c>
      <c r="K147">
        <f t="shared" si="6"/>
        <v>1663.599975585938</v>
      </c>
      <c r="L147" s="5">
        <f t="shared" si="7"/>
        <v>-0.30792581652867024</v>
      </c>
    </row>
    <row r="148" spans="1:12" x14ac:dyDescent="0.3">
      <c r="A148" s="2">
        <v>45217</v>
      </c>
      <c r="B148">
        <v>1187.733764648438</v>
      </c>
      <c r="C148">
        <f t="shared" si="8"/>
        <v>1.0490841903551699E-2</v>
      </c>
      <c r="K148">
        <f t="shared" si="6"/>
        <v>1663.599975585938</v>
      </c>
      <c r="L148" s="5">
        <f t="shared" si="7"/>
        <v>-0.28604605549473805</v>
      </c>
    </row>
    <row r="149" spans="1:12" x14ac:dyDescent="0.3">
      <c r="A149" s="2">
        <v>45218</v>
      </c>
      <c r="B149">
        <v>1200.194091796875</v>
      </c>
      <c r="C149">
        <f t="shared" si="8"/>
        <v>-1.8883461028743928E-2</v>
      </c>
      <c r="K149">
        <f t="shared" si="6"/>
        <v>1663.599975585938</v>
      </c>
      <c r="L149" s="5">
        <f t="shared" si="7"/>
        <v>-0.27855607753651623</v>
      </c>
    </row>
    <row r="150" spans="1:12" x14ac:dyDescent="0.3">
      <c r="A150" s="2">
        <v>45219</v>
      </c>
      <c r="B150">
        <v>1177.5302734375</v>
      </c>
      <c r="C150">
        <f t="shared" si="8"/>
        <v>-1.3664370525240664E-2</v>
      </c>
      <c r="K150">
        <f t="shared" si="6"/>
        <v>1663.599975585938</v>
      </c>
      <c r="L150" s="5">
        <f t="shared" si="7"/>
        <v>-0.29217943573077954</v>
      </c>
    </row>
    <row r="151" spans="1:12" x14ac:dyDescent="0.3">
      <c r="A151" s="2">
        <v>45222</v>
      </c>
      <c r="B151">
        <v>1161.440063476562</v>
      </c>
      <c r="C151">
        <f t="shared" si="8"/>
        <v>-2.2258933375177779E-2</v>
      </c>
      <c r="K151">
        <f t="shared" si="6"/>
        <v>1663.599975585938</v>
      </c>
      <c r="L151" s="5">
        <f t="shared" si="7"/>
        <v>-0.30185135818633912</v>
      </c>
    </row>
    <row r="152" spans="1:12" x14ac:dyDescent="0.3">
      <c r="A152" s="2">
        <v>45224</v>
      </c>
      <c r="B152">
        <v>1135.587646484375</v>
      </c>
      <c r="C152">
        <f t="shared" si="8"/>
        <v>-5.7020871498640853E-3</v>
      </c>
      <c r="K152">
        <f t="shared" si="6"/>
        <v>1663.599975585938</v>
      </c>
      <c r="L152" s="5">
        <f t="shared" si="7"/>
        <v>-0.31739140229044016</v>
      </c>
    </row>
    <row r="153" spans="1:12" x14ac:dyDescent="0.3">
      <c r="A153" s="2">
        <v>45225</v>
      </c>
      <c r="B153">
        <v>1129.112426757812</v>
      </c>
      <c r="C153">
        <f t="shared" si="8"/>
        <v>2.0332791729538158E-2</v>
      </c>
      <c r="K153">
        <f t="shared" si="6"/>
        <v>1663.599975585938</v>
      </c>
      <c r="L153" s="5">
        <f t="shared" si="7"/>
        <v>-0.32128369600382667</v>
      </c>
    </row>
    <row r="154" spans="1:12" x14ac:dyDescent="0.3">
      <c r="A154" s="2">
        <v>45226</v>
      </c>
      <c r="B154">
        <v>1152.070434570312</v>
      </c>
      <c r="C154">
        <f t="shared" si="8"/>
        <v>1.6350806086316848E-2</v>
      </c>
      <c r="K154">
        <f t="shared" si="6"/>
        <v>1663.599975585938</v>
      </c>
      <c r="L154" s="5">
        <f t="shared" si="7"/>
        <v>-0.30748349875123049</v>
      </c>
    </row>
    <row r="155" spans="1:12" x14ac:dyDescent="0.3">
      <c r="A155" s="2">
        <v>45229</v>
      </c>
      <c r="B155">
        <v>1170.90771484375</v>
      </c>
      <c r="C155">
        <f t="shared" si="8"/>
        <v>5.488280117880634E-3</v>
      </c>
      <c r="K155">
        <f t="shared" si="6"/>
        <v>1663.599975585938</v>
      </c>
      <c r="L155" s="5">
        <f t="shared" si="7"/>
        <v>-0.29616029572773728</v>
      </c>
    </row>
    <row r="156" spans="1:12" x14ac:dyDescent="0.3">
      <c r="A156" s="2">
        <v>45230</v>
      </c>
      <c r="B156">
        <v>1177.333984375</v>
      </c>
      <c r="C156">
        <f t="shared" si="8"/>
        <v>1.0417098681977004E-3</v>
      </c>
      <c r="K156">
        <f t="shared" si="6"/>
        <v>1663.599975585938</v>
      </c>
      <c r="L156" s="5">
        <f t="shared" si="7"/>
        <v>-0.29229742627260491</v>
      </c>
    </row>
    <row r="157" spans="1:12" x14ac:dyDescent="0.3">
      <c r="A157" s="2">
        <v>45231</v>
      </c>
      <c r="B157">
        <v>1178.560424804688</v>
      </c>
      <c r="C157">
        <f t="shared" si="8"/>
        <v>6.0353605633354512E-3</v>
      </c>
      <c r="K157">
        <f t="shared" si="6"/>
        <v>1663.599975585938</v>
      </c>
      <c r="L157" s="5">
        <f t="shared" si="7"/>
        <v>-0.29156020551780415</v>
      </c>
    </row>
    <row r="158" spans="1:12" x14ac:dyDescent="0.3">
      <c r="A158" s="2">
        <v>45232</v>
      </c>
      <c r="B158">
        <v>1185.673461914062</v>
      </c>
      <c r="C158">
        <f t="shared" si="8"/>
        <v>-1.7790522161091331E-3</v>
      </c>
      <c r="K158">
        <f t="shared" si="6"/>
        <v>1663.599975585938</v>
      </c>
      <c r="L158" s="5">
        <f t="shared" si="7"/>
        <v>-0.28728451592068882</v>
      </c>
    </row>
    <row r="159" spans="1:12" x14ac:dyDescent="0.3">
      <c r="A159" s="2">
        <v>45233</v>
      </c>
      <c r="B159">
        <v>1183.564086914062</v>
      </c>
      <c r="C159">
        <f t="shared" si="8"/>
        <v>-1.8651457539622751E-3</v>
      </c>
      <c r="K159">
        <f t="shared" si="6"/>
        <v>1663.599975585938</v>
      </c>
      <c r="L159" s="5">
        <f t="shared" si="7"/>
        <v>-0.28855247398209538</v>
      </c>
    </row>
    <row r="160" spans="1:12" x14ac:dyDescent="0.3">
      <c r="A160" s="2">
        <v>45236</v>
      </c>
      <c r="B160">
        <v>1181.356567382812</v>
      </c>
      <c r="C160">
        <f t="shared" si="8"/>
        <v>1.0256597841237251E-2</v>
      </c>
      <c r="K160">
        <f t="shared" si="6"/>
        <v>1663.599975585938</v>
      </c>
      <c r="L160" s="5">
        <f t="shared" si="7"/>
        <v>-0.28987942731441463</v>
      </c>
    </row>
    <row r="161" spans="1:12" x14ac:dyDescent="0.3">
      <c r="A161" s="2">
        <v>45237</v>
      </c>
      <c r="B161">
        <v>1193.473266601562</v>
      </c>
      <c r="C161">
        <f t="shared" si="8"/>
        <v>2.0181686833693532E-2</v>
      </c>
      <c r="K161">
        <f t="shared" si="6"/>
        <v>1663.599975585938</v>
      </c>
      <c r="L161" s="5">
        <f t="shared" si="7"/>
        <v>-0.28259600618158953</v>
      </c>
    </row>
    <row r="162" spans="1:12" x14ac:dyDescent="0.3">
      <c r="A162" s="2">
        <v>45238</v>
      </c>
      <c r="B162">
        <v>1217.5595703125</v>
      </c>
      <c r="C162">
        <f t="shared" si="8"/>
        <v>-2.2964137246232774E-3</v>
      </c>
      <c r="K162">
        <f t="shared" si="6"/>
        <v>1663.599975585938</v>
      </c>
      <c r="L162" s="5">
        <f t="shared" si="7"/>
        <v>-0.26811758344510539</v>
      </c>
    </row>
    <row r="163" spans="1:12" x14ac:dyDescent="0.3">
      <c r="A163" s="2">
        <v>45239</v>
      </c>
      <c r="B163">
        <v>1214.763549804688</v>
      </c>
      <c r="C163">
        <f t="shared" si="8"/>
        <v>1.5748628099744922E-3</v>
      </c>
      <c r="K163">
        <f t="shared" si="6"/>
        <v>1663.599975585938</v>
      </c>
      <c r="L163" s="5">
        <f t="shared" si="7"/>
        <v>-0.26979828827129249</v>
      </c>
    </row>
    <row r="164" spans="1:12" x14ac:dyDescent="0.3">
      <c r="A164" s="2">
        <v>45240</v>
      </c>
      <c r="B164">
        <v>1216.676635742188</v>
      </c>
      <c r="C164">
        <f t="shared" si="8"/>
        <v>3.6289701580626428E-4</v>
      </c>
      <c r="K164">
        <f t="shared" si="6"/>
        <v>1663.599975585938</v>
      </c>
      <c r="L164" s="5">
        <f t="shared" si="7"/>
        <v>-0.26864832075171119</v>
      </c>
    </row>
    <row r="165" spans="1:12" x14ac:dyDescent="0.3">
      <c r="A165" s="2">
        <v>45243</v>
      </c>
      <c r="B165">
        <v>1217.1181640625</v>
      </c>
      <c r="C165">
        <f t="shared" si="8"/>
        <v>9.6724059217108806E-4</v>
      </c>
      <c r="K165">
        <f t="shared" si="6"/>
        <v>1663.599975585938</v>
      </c>
      <c r="L165" s="5">
        <f t="shared" si="7"/>
        <v>-0.26838291540980708</v>
      </c>
    </row>
    <row r="166" spans="1:12" x14ac:dyDescent="0.3">
      <c r="A166" s="2">
        <v>45245</v>
      </c>
      <c r="B166">
        <v>1218.29541015625</v>
      </c>
      <c r="C166">
        <f t="shared" si="8"/>
        <v>-5.5968392056492226E-3</v>
      </c>
      <c r="K166">
        <f t="shared" si="6"/>
        <v>1663.599975585938</v>
      </c>
      <c r="L166" s="5">
        <f t="shared" si="7"/>
        <v>-0.26767526566766564</v>
      </c>
    </row>
    <row r="167" spans="1:12" x14ac:dyDescent="0.3">
      <c r="A167" s="2">
        <v>45246</v>
      </c>
      <c r="B167">
        <v>1211.476806640625</v>
      </c>
      <c r="C167">
        <f t="shared" si="8"/>
        <v>1.1823766391137495E-2</v>
      </c>
      <c r="K167">
        <f t="shared" si="6"/>
        <v>1663.599975585938</v>
      </c>
      <c r="L167" s="5">
        <f t="shared" si="7"/>
        <v>-0.27177396945204346</v>
      </c>
    </row>
    <row r="168" spans="1:12" x14ac:dyDescent="0.3">
      <c r="A168" s="2">
        <v>45247</v>
      </c>
      <c r="B168">
        <v>1225.801025390625</v>
      </c>
      <c r="C168">
        <f t="shared" si="8"/>
        <v>-1.8409119833750292E-3</v>
      </c>
      <c r="K168">
        <f t="shared" si="6"/>
        <v>1663.599975585938</v>
      </c>
      <c r="L168" s="5">
        <f t="shared" si="7"/>
        <v>-0.26316359498689912</v>
      </c>
    </row>
    <row r="169" spans="1:12" x14ac:dyDescent="0.3">
      <c r="A169" s="2">
        <v>45250</v>
      </c>
      <c r="B169">
        <v>1223.54443359375</v>
      </c>
      <c r="C169">
        <f t="shared" si="8"/>
        <v>4.931421623029863E-3</v>
      </c>
      <c r="K169">
        <f t="shared" si="6"/>
        <v>1663.599975585938</v>
      </c>
      <c r="L169" s="5">
        <f t="shared" si="7"/>
        <v>-0.26452004595467471</v>
      </c>
    </row>
    <row r="170" spans="1:12" x14ac:dyDescent="0.3">
      <c r="A170" s="2">
        <v>45251</v>
      </c>
      <c r="B170">
        <v>1229.578247070312</v>
      </c>
      <c r="C170">
        <f t="shared" si="8"/>
        <v>1.456212606246287E-2</v>
      </c>
      <c r="K170">
        <f t="shared" si="6"/>
        <v>1663.599975585938</v>
      </c>
      <c r="L170" s="5">
        <f t="shared" si="7"/>
        <v>-0.26089308420599056</v>
      </c>
    </row>
    <row r="171" spans="1:12" x14ac:dyDescent="0.3">
      <c r="A171" s="2">
        <v>45252</v>
      </c>
      <c r="B171">
        <v>1247.483520507812</v>
      </c>
      <c r="C171">
        <f t="shared" si="8"/>
        <v>-7.9315731817520607E-2</v>
      </c>
      <c r="K171">
        <f t="shared" si="6"/>
        <v>1663.599975585938</v>
      </c>
      <c r="L171" s="5">
        <f t="shared" si="7"/>
        <v>-0.25013011612456004</v>
      </c>
    </row>
    <row r="172" spans="1:12" x14ac:dyDescent="0.3">
      <c r="A172" s="2">
        <v>45253</v>
      </c>
      <c r="B172">
        <v>1148.538452148438</v>
      </c>
      <c r="C172">
        <f t="shared" si="8"/>
        <v>2.3918284394005351E-2</v>
      </c>
      <c r="K172">
        <f t="shared" si="6"/>
        <v>1663.599975585938</v>
      </c>
      <c r="L172" s="5">
        <f t="shared" si="7"/>
        <v>-0.30960659473205976</v>
      </c>
    </row>
    <row r="173" spans="1:12" x14ac:dyDescent="0.3">
      <c r="A173" s="2">
        <v>45254</v>
      </c>
      <c r="B173">
        <v>1176.009521484375</v>
      </c>
      <c r="C173">
        <f t="shared" si="8"/>
        <v>-5.2975595477206981E-3</v>
      </c>
      <c r="K173">
        <f t="shared" si="6"/>
        <v>1663.599975585938</v>
      </c>
      <c r="L173" s="5">
        <f t="shared" si="7"/>
        <v>-0.29309356892111538</v>
      </c>
    </row>
    <row r="174" spans="1:12" x14ac:dyDescent="0.3">
      <c r="A174" s="2">
        <v>45258</v>
      </c>
      <c r="B174">
        <v>1169.779541015625</v>
      </c>
      <c r="C174">
        <f t="shared" si="8"/>
        <v>7.7581433634354643E-3</v>
      </c>
      <c r="K174">
        <f t="shared" si="6"/>
        <v>1663.599975585938</v>
      </c>
      <c r="L174" s="5">
        <f t="shared" si="7"/>
        <v>-0.29683844783442248</v>
      </c>
    </row>
    <row r="175" spans="1:12" x14ac:dyDescent="0.3">
      <c r="A175" s="2">
        <v>45259</v>
      </c>
      <c r="B175">
        <v>1178.854858398438</v>
      </c>
      <c r="C175">
        <f t="shared" si="8"/>
        <v>8.9467120781337867E-3</v>
      </c>
      <c r="K175">
        <f t="shared" si="6"/>
        <v>1663.599975585938</v>
      </c>
      <c r="L175" s="5">
        <f t="shared" si="7"/>
        <v>-0.29138321970506609</v>
      </c>
    </row>
    <row r="176" spans="1:12" x14ac:dyDescent="0.3">
      <c r="A176" s="2">
        <v>45260</v>
      </c>
      <c r="B176">
        <v>1189.401733398438</v>
      </c>
      <c r="C176">
        <f t="shared" si="8"/>
        <v>-5.4442007397905254E-3</v>
      </c>
      <c r="K176">
        <f t="shared" si="6"/>
        <v>1663.599975585938</v>
      </c>
      <c r="L176" s="5">
        <f t="shared" si="7"/>
        <v>-0.28504342939803318</v>
      </c>
    </row>
    <row r="177" spans="1:12" x14ac:dyDescent="0.3">
      <c r="A177" s="2">
        <v>45261</v>
      </c>
      <c r="B177">
        <v>1182.926391601562</v>
      </c>
      <c r="C177">
        <f t="shared" si="8"/>
        <v>8.9574020335112092E-3</v>
      </c>
      <c r="K177">
        <f t="shared" si="6"/>
        <v>1663.599975585938</v>
      </c>
      <c r="L177" s="5">
        <f t="shared" si="7"/>
        <v>-0.28893579648862244</v>
      </c>
    </row>
    <row r="178" spans="1:12" x14ac:dyDescent="0.3">
      <c r="A178" s="2">
        <v>45264</v>
      </c>
      <c r="B178">
        <v>1193.522338867188</v>
      </c>
      <c r="C178">
        <f t="shared" si="8"/>
        <v>6.5351141185200235E-3</v>
      </c>
      <c r="K178">
        <f t="shared" si="6"/>
        <v>1663.599975585938</v>
      </c>
      <c r="L178" s="5">
        <f t="shared" si="7"/>
        <v>-0.28256650854613263</v>
      </c>
    </row>
    <row r="179" spans="1:12" x14ac:dyDescent="0.3">
      <c r="A179" s="2">
        <v>45265</v>
      </c>
      <c r="B179">
        <v>1201.322143554688</v>
      </c>
      <c r="C179">
        <f t="shared" si="8"/>
        <v>-1.5721305596830687E-2</v>
      </c>
      <c r="K179">
        <f t="shared" si="6"/>
        <v>1663.599975585938</v>
      </c>
      <c r="L179" s="5">
        <f t="shared" si="7"/>
        <v>-0.27787799880703334</v>
      </c>
    </row>
    <row r="180" spans="1:12" x14ac:dyDescent="0.3">
      <c r="A180" s="2">
        <v>45266</v>
      </c>
      <c r="B180">
        <v>1182.435791015625</v>
      </c>
      <c r="C180">
        <f t="shared" si="8"/>
        <v>1.460349925680216E-2</v>
      </c>
      <c r="K180">
        <f t="shared" si="6"/>
        <v>1663.599975585938</v>
      </c>
      <c r="L180" s="5">
        <f t="shared" si="7"/>
        <v>-0.2892306994659829</v>
      </c>
    </row>
    <row r="181" spans="1:12" x14ac:dyDescent="0.3">
      <c r="A181" s="2">
        <v>45267</v>
      </c>
      <c r="B181">
        <v>1199.703491210938</v>
      </c>
      <c r="C181">
        <f t="shared" si="8"/>
        <v>-3.0259552047929034E-3</v>
      </c>
      <c r="K181">
        <f t="shared" si="6"/>
        <v>1663.599975585938</v>
      </c>
      <c r="L181" s="5">
        <f t="shared" si="7"/>
        <v>-0.27885098051387658</v>
      </c>
    </row>
    <row r="182" spans="1:12" x14ac:dyDescent="0.3">
      <c r="A182" s="2">
        <v>45268</v>
      </c>
      <c r="B182">
        <v>1196.0732421875</v>
      </c>
      <c r="C182">
        <f t="shared" si="8"/>
        <v>-1.3780547347725209E-2</v>
      </c>
      <c r="K182">
        <f t="shared" si="6"/>
        <v>1663.599975585938</v>
      </c>
      <c r="L182" s="5">
        <f t="shared" si="7"/>
        <v>-0.28103314514282196</v>
      </c>
    </row>
    <row r="183" spans="1:12" x14ac:dyDescent="0.3">
      <c r="A183" s="2">
        <v>45271</v>
      </c>
      <c r="B183">
        <v>1179.590698242188</v>
      </c>
      <c r="C183">
        <f t="shared" si="8"/>
        <v>-3.035948624509825E-3</v>
      </c>
      <c r="K183">
        <f t="shared" si="6"/>
        <v>1663.599975585938</v>
      </c>
      <c r="L183" s="5">
        <f t="shared" si="7"/>
        <v>-0.29094090192762634</v>
      </c>
    </row>
    <row r="184" spans="1:12" x14ac:dyDescent="0.3">
      <c r="A184" s="2">
        <v>45272</v>
      </c>
      <c r="B184">
        <v>1176.009521484375</v>
      </c>
      <c r="C184">
        <f t="shared" si="8"/>
        <v>1.4891730945093065E-2</v>
      </c>
      <c r="K184">
        <f t="shared" si="6"/>
        <v>1663.599975585938</v>
      </c>
      <c r="L184" s="5">
        <f t="shared" si="7"/>
        <v>-0.29309356892111538</v>
      </c>
    </row>
    <row r="185" spans="1:12" x14ac:dyDescent="0.3">
      <c r="A185" s="2">
        <v>45273</v>
      </c>
      <c r="B185">
        <v>1193.522338867188</v>
      </c>
      <c r="C185">
        <f t="shared" si="8"/>
        <v>-9.7409979304180216E-3</v>
      </c>
      <c r="K185">
        <f t="shared" si="6"/>
        <v>1663.599975585938</v>
      </c>
      <c r="L185" s="5">
        <f t="shared" si="7"/>
        <v>-0.28256650854613263</v>
      </c>
    </row>
    <row r="186" spans="1:12" x14ac:dyDescent="0.3">
      <c r="A186" s="2">
        <v>45274</v>
      </c>
      <c r="B186">
        <v>1181.896240234375</v>
      </c>
      <c r="C186">
        <f t="shared" si="8"/>
        <v>2.0337542684460896E-3</v>
      </c>
      <c r="K186">
        <f t="shared" si="6"/>
        <v>1663.599975585938</v>
      </c>
      <c r="L186" s="5">
        <f t="shared" si="7"/>
        <v>-0.28955502670159738</v>
      </c>
    </row>
    <row r="187" spans="1:12" x14ac:dyDescent="0.3">
      <c r="A187" s="2">
        <v>45275</v>
      </c>
      <c r="B187">
        <v>1184.299926757812</v>
      </c>
      <c r="C187">
        <f t="shared" si="8"/>
        <v>8.0358408272299866E-3</v>
      </c>
      <c r="K187">
        <f t="shared" si="6"/>
        <v>1663.599975585938</v>
      </c>
      <c r="L187" s="5">
        <f t="shared" si="7"/>
        <v>-0.28811015620465563</v>
      </c>
    </row>
    <row r="188" spans="1:12" x14ac:dyDescent="0.3">
      <c r="A188" s="2">
        <v>45278</v>
      </c>
      <c r="B188">
        <v>1193.816772460938</v>
      </c>
      <c r="C188">
        <f t="shared" si="8"/>
        <v>1.6683049162723732E-2</v>
      </c>
      <c r="K188">
        <f t="shared" si="6"/>
        <v>1663.599975585938</v>
      </c>
      <c r="L188" s="5">
        <f t="shared" si="7"/>
        <v>-0.28238952273339468</v>
      </c>
    </row>
    <row r="189" spans="1:12" x14ac:dyDescent="0.3">
      <c r="A189" s="2">
        <v>45279</v>
      </c>
      <c r="B189">
        <v>1213.733276367188</v>
      </c>
      <c r="C189">
        <f t="shared" si="8"/>
        <v>-7.2755411573535895E-4</v>
      </c>
      <c r="K189">
        <f t="shared" si="6"/>
        <v>1663.599975585938</v>
      </c>
      <c r="L189" s="5">
        <f t="shared" si="7"/>
        <v>-0.27041759186147019</v>
      </c>
    </row>
    <row r="190" spans="1:12" x14ac:dyDescent="0.3">
      <c r="A190" s="2">
        <v>45280</v>
      </c>
      <c r="B190">
        <v>1212.850219726562</v>
      </c>
      <c r="C190">
        <f t="shared" si="8"/>
        <v>-1.1608176560631832E-2</v>
      </c>
      <c r="K190">
        <f t="shared" si="6"/>
        <v>1663.599975585938</v>
      </c>
      <c r="L190" s="5">
        <f t="shared" si="7"/>
        <v>-0.27094840254527952</v>
      </c>
    </row>
    <row r="191" spans="1:12" x14ac:dyDescent="0.3">
      <c r="A191" s="2">
        <v>45281</v>
      </c>
      <c r="B191">
        <v>1198.771240234375</v>
      </c>
      <c r="C191">
        <f t="shared" si="8"/>
        <v>1.1253486897696527E-2</v>
      </c>
      <c r="K191">
        <f t="shared" si="6"/>
        <v>1663.599975585938</v>
      </c>
      <c r="L191" s="5">
        <f t="shared" si="7"/>
        <v>-0.27941136221034457</v>
      </c>
    </row>
    <row r="192" spans="1:12" x14ac:dyDescent="0.3">
      <c r="A192" s="2">
        <v>45282</v>
      </c>
      <c r="B192">
        <v>1212.261596679688</v>
      </c>
      <c r="C192">
        <f t="shared" si="8"/>
        <v>7.5671289669451127E-3</v>
      </c>
      <c r="K192">
        <f t="shared" si="6"/>
        <v>1663.599975585938</v>
      </c>
      <c r="L192" s="5">
        <f t="shared" si="7"/>
        <v>-0.27130222741634968</v>
      </c>
    </row>
    <row r="193" spans="1:12" x14ac:dyDescent="0.3">
      <c r="A193" s="2">
        <v>45286</v>
      </c>
      <c r="B193">
        <v>1221.434936523438</v>
      </c>
      <c r="C193">
        <f t="shared" si="8"/>
        <v>-4.1767960107919012E-3</v>
      </c>
      <c r="K193">
        <f t="shared" si="6"/>
        <v>1663.599975585938</v>
      </c>
      <c r="L193" s="5">
        <f t="shared" si="7"/>
        <v>-0.26578807739328358</v>
      </c>
    </row>
    <row r="194" spans="1:12" x14ac:dyDescent="0.3">
      <c r="A194" s="2">
        <v>45287</v>
      </c>
      <c r="B194">
        <v>1216.333251953125</v>
      </c>
      <c r="C194">
        <f t="shared" si="8"/>
        <v>1.6979282435262123E-2</v>
      </c>
      <c r="K194">
        <f t="shared" ref="K194:K257" si="9">MAX(B194:B933)</f>
        <v>1663.599975585938</v>
      </c>
      <c r="L194" s="5">
        <f t="shared" ref="L194:L257" si="10">B194/K194-1</f>
        <v>-0.26885473082270317</v>
      </c>
    </row>
    <row r="195" spans="1:12" x14ac:dyDescent="0.3">
      <c r="A195" s="2">
        <v>45288</v>
      </c>
      <c r="B195">
        <v>1236.985717773438</v>
      </c>
      <c r="C195">
        <f t="shared" ref="C195:C258" si="11">(B196-B195)/B195</f>
        <v>-1.1500695670658161E-2</v>
      </c>
      <c r="K195">
        <f t="shared" si="9"/>
        <v>1663.599975585938</v>
      </c>
      <c r="L195" s="5">
        <f t="shared" si="10"/>
        <v>-0.25644040879613617</v>
      </c>
    </row>
    <row r="196" spans="1:12" x14ac:dyDescent="0.3">
      <c r="A196" s="2">
        <v>45289</v>
      </c>
      <c r="B196">
        <v>1222.759521484375</v>
      </c>
      <c r="C196">
        <f t="shared" si="11"/>
        <v>3.7711471255519229E-3</v>
      </c>
      <c r="K196">
        <f t="shared" si="9"/>
        <v>1663.599975585938</v>
      </c>
      <c r="L196" s="5">
        <f t="shared" si="10"/>
        <v>-0.2649918613675708</v>
      </c>
    </row>
    <row r="197" spans="1:12" x14ac:dyDescent="0.3">
      <c r="A197" s="2">
        <v>45292</v>
      </c>
      <c r="B197">
        <v>1227.370727539062</v>
      </c>
      <c r="C197">
        <f t="shared" si="11"/>
        <v>2.4420512717486201E-2</v>
      </c>
      <c r="K197">
        <f t="shared" si="9"/>
        <v>1663.599975585938</v>
      </c>
      <c r="L197" s="5">
        <f t="shared" si="10"/>
        <v>-0.2622200375383098</v>
      </c>
    </row>
    <row r="198" spans="1:12" x14ac:dyDescent="0.3">
      <c r="A198" s="2">
        <v>45293</v>
      </c>
      <c r="B198">
        <v>1257.34375</v>
      </c>
      <c r="C198">
        <f t="shared" si="11"/>
        <v>1.451365804026309E-2</v>
      </c>
      <c r="K198">
        <f t="shared" si="9"/>
        <v>1663.599975585938</v>
      </c>
      <c r="L198" s="5">
        <f t="shared" si="10"/>
        <v>-0.24420307258230756</v>
      </c>
    </row>
    <row r="199" spans="1:12" x14ac:dyDescent="0.3">
      <c r="A199" s="2">
        <v>45294</v>
      </c>
      <c r="B199">
        <v>1275.592407226562</v>
      </c>
      <c r="C199">
        <f t="shared" si="11"/>
        <v>-2.6919554170834726E-3</v>
      </c>
      <c r="K199">
        <f t="shared" si="9"/>
        <v>1663.599975585938</v>
      </c>
      <c r="L199" s="5">
        <f t="shared" si="10"/>
        <v>-0.23323369442988562</v>
      </c>
    </row>
    <row r="200" spans="1:12" x14ac:dyDescent="0.3">
      <c r="A200" s="2">
        <v>45295</v>
      </c>
      <c r="B200">
        <v>1272.158569335938</v>
      </c>
      <c r="C200">
        <f t="shared" si="11"/>
        <v>-7.5194383776728191E-3</v>
      </c>
      <c r="K200">
        <f t="shared" si="9"/>
        <v>1663.599975585938</v>
      </c>
      <c r="L200" s="5">
        <f t="shared" si="10"/>
        <v>-0.2352977951398022</v>
      </c>
    </row>
    <row r="201" spans="1:12" x14ac:dyDescent="0.3">
      <c r="A201" s="2">
        <v>45296</v>
      </c>
      <c r="B201">
        <v>1262.592651367188</v>
      </c>
      <c r="C201">
        <f t="shared" si="11"/>
        <v>-1.1772418851919415E-2</v>
      </c>
      <c r="K201">
        <f t="shared" si="9"/>
        <v>1663.599975585938</v>
      </c>
      <c r="L201" s="5">
        <f t="shared" si="10"/>
        <v>-0.24104792624651905</v>
      </c>
    </row>
    <row r="202" spans="1:12" x14ac:dyDescent="0.3">
      <c r="A202" s="2">
        <v>45299</v>
      </c>
      <c r="B202">
        <v>1247.728881835938</v>
      </c>
      <c r="C202">
        <f t="shared" si="11"/>
        <v>1.3839109045291393E-2</v>
      </c>
      <c r="K202">
        <f t="shared" si="9"/>
        <v>1663.599975585938</v>
      </c>
      <c r="L202" s="5">
        <f t="shared" si="10"/>
        <v>-0.24998262794727788</v>
      </c>
    </row>
    <row r="203" spans="1:12" x14ac:dyDescent="0.3">
      <c r="A203" s="2">
        <v>45300</v>
      </c>
      <c r="B203">
        <v>1264.996337890625</v>
      </c>
      <c r="C203">
        <f t="shared" si="11"/>
        <v>3.0907038121752581E-2</v>
      </c>
      <c r="K203">
        <f t="shared" si="9"/>
        <v>1663.599975585938</v>
      </c>
      <c r="L203" s="5">
        <f t="shared" si="10"/>
        <v>-0.2396030557495773</v>
      </c>
    </row>
    <row r="204" spans="1:12" x14ac:dyDescent="0.3">
      <c r="A204" s="2">
        <v>45301</v>
      </c>
      <c r="B204">
        <v>1304.093627929688</v>
      </c>
      <c r="C204">
        <f t="shared" si="11"/>
        <v>-2.6706580044157185E-3</v>
      </c>
      <c r="K204">
        <f t="shared" si="9"/>
        <v>1663.599975585938</v>
      </c>
      <c r="L204" s="5">
        <f t="shared" si="10"/>
        <v>-0.2161014384059653</v>
      </c>
    </row>
    <row r="205" spans="1:12" x14ac:dyDescent="0.3">
      <c r="A205" s="2">
        <v>45302</v>
      </c>
      <c r="B205">
        <v>1300.61083984375</v>
      </c>
      <c r="C205">
        <f t="shared" si="11"/>
        <v>-1.3314338102101564E-2</v>
      </c>
      <c r="K205">
        <f t="shared" si="9"/>
        <v>1663.599975585938</v>
      </c>
      <c r="L205" s="5">
        <f t="shared" si="10"/>
        <v>-0.21819496337413646</v>
      </c>
    </row>
    <row r="206" spans="1:12" x14ac:dyDescent="0.3">
      <c r="A206" s="2">
        <v>45303</v>
      </c>
      <c r="B206">
        <v>1283.294067382812</v>
      </c>
      <c r="C206">
        <f t="shared" si="11"/>
        <v>3.9373160863314018E-3</v>
      </c>
      <c r="K206">
        <f t="shared" si="9"/>
        <v>1663.599975585938</v>
      </c>
      <c r="L206" s="5">
        <f t="shared" si="10"/>
        <v>-0.22860417996169902</v>
      </c>
    </row>
    <row r="207" spans="1:12" x14ac:dyDescent="0.3">
      <c r="A207" s="2">
        <v>45306</v>
      </c>
      <c r="B207">
        <v>1288.346801757812</v>
      </c>
      <c r="C207">
        <f t="shared" si="11"/>
        <v>-8.2245473978588973E-3</v>
      </c>
      <c r="K207">
        <f t="shared" si="9"/>
        <v>1663.599975585938</v>
      </c>
      <c r="L207" s="5">
        <f t="shared" si="10"/>
        <v>-0.22556695079053346</v>
      </c>
    </row>
    <row r="208" spans="1:12" x14ac:dyDescent="0.3">
      <c r="A208" s="2">
        <v>45307</v>
      </c>
      <c r="B208">
        <v>1277.750732421875</v>
      </c>
      <c r="C208">
        <f t="shared" si="11"/>
        <v>-6.4114701986194645E-3</v>
      </c>
      <c r="K208">
        <f t="shared" si="9"/>
        <v>1663.599975585938</v>
      </c>
      <c r="L208" s="5">
        <f t="shared" si="10"/>
        <v>-0.23193631211022514</v>
      </c>
    </row>
    <row r="209" spans="1:12" x14ac:dyDescent="0.3">
      <c r="A209" s="2">
        <v>45308</v>
      </c>
      <c r="B209">
        <v>1269.558471679688</v>
      </c>
      <c r="C209">
        <f t="shared" si="11"/>
        <v>2.2372501051179019E-2</v>
      </c>
      <c r="K209">
        <f t="shared" si="9"/>
        <v>1663.599975585938</v>
      </c>
      <c r="L209" s="5">
        <f t="shared" si="10"/>
        <v>-0.2368607295557722</v>
      </c>
    </row>
    <row r="210" spans="1:12" x14ac:dyDescent="0.3">
      <c r="A210" s="2">
        <v>45309</v>
      </c>
      <c r="B210">
        <v>1297.961669921875</v>
      </c>
      <c r="C210">
        <f t="shared" si="11"/>
        <v>3.7794950052202378E-3</v>
      </c>
      <c r="K210">
        <f t="shared" si="9"/>
        <v>1663.599975585938</v>
      </c>
      <c r="L210" s="5">
        <f t="shared" si="10"/>
        <v>-0.21978739542556269</v>
      </c>
    </row>
    <row r="211" spans="1:12" x14ac:dyDescent="0.3">
      <c r="A211" s="2">
        <v>45310</v>
      </c>
      <c r="B211">
        <v>1302.867309570312</v>
      </c>
      <c r="C211">
        <f t="shared" si="11"/>
        <v>6.1033876884189778E-2</v>
      </c>
      <c r="K211">
        <f t="shared" si="9"/>
        <v>1663.599975585938</v>
      </c>
      <c r="L211" s="5">
        <f t="shared" si="10"/>
        <v>-0.21683858578356374</v>
      </c>
    </row>
    <row r="212" spans="1:12" x14ac:dyDescent="0.3">
      <c r="A212" s="2">
        <v>45314</v>
      </c>
      <c r="B212">
        <v>1382.386352539062</v>
      </c>
      <c r="C212">
        <f t="shared" si="11"/>
        <v>5.9261730464432276E-3</v>
      </c>
      <c r="K212">
        <f t="shared" si="9"/>
        <v>1663.599975585938</v>
      </c>
      <c r="L212" s="5">
        <f t="shared" si="10"/>
        <v>-0.16903920844782983</v>
      </c>
    </row>
    <row r="213" spans="1:12" x14ac:dyDescent="0.3">
      <c r="A213" s="2">
        <v>45315</v>
      </c>
      <c r="B213">
        <v>1390.57861328125</v>
      </c>
      <c r="C213">
        <f t="shared" si="11"/>
        <v>-3.3654300266335806E-2</v>
      </c>
      <c r="K213">
        <f t="shared" si="9"/>
        <v>1663.599975585938</v>
      </c>
      <c r="L213" s="5">
        <f t="shared" si="10"/>
        <v>-0.16411479100228221</v>
      </c>
    </row>
    <row r="214" spans="1:12" x14ac:dyDescent="0.3">
      <c r="A214" s="2">
        <v>45316</v>
      </c>
      <c r="B214">
        <v>1343.779663085938</v>
      </c>
      <c r="C214">
        <f t="shared" si="11"/>
        <v>-2.3947781675968057E-2</v>
      </c>
      <c r="K214">
        <f t="shared" si="9"/>
        <v>1663.599975585938</v>
      </c>
      <c r="L214" s="5">
        <f t="shared" si="10"/>
        <v>-0.19224592281408026</v>
      </c>
    </row>
    <row r="215" spans="1:12" x14ac:dyDescent="0.3">
      <c r="A215" s="2">
        <v>45320</v>
      </c>
      <c r="B215">
        <v>1311.59912109375</v>
      </c>
      <c r="C215">
        <f t="shared" si="11"/>
        <v>-1.4773533172880939E-2</v>
      </c>
      <c r="K215">
        <f t="shared" si="9"/>
        <v>1663.599975585938</v>
      </c>
      <c r="L215" s="5">
        <f t="shared" si="10"/>
        <v>-0.21158984110240164</v>
      </c>
    </row>
    <row r="216" spans="1:12" x14ac:dyDescent="0.3">
      <c r="A216" s="2">
        <v>45321</v>
      </c>
      <c r="B216">
        <v>1292.22216796875</v>
      </c>
      <c r="C216">
        <f t="shared" si="11"/>
        <v>2.5738426757746447E-2</v>
      </c>
      <c r="K216">
        <f t="shared" si="9"/>
        <v>1663.599975585938</v>
      </c>
      <c r="L216" s="5">
        <f t="shared" si="10"/>
        <v>-0.22323744473871165</v>
      </c>
    </row>
    <row r="217" spans="1:12" x14ac:dyDescent="0.3">
      <c r="A217" s="2">
        <v>45322</v>
      </c>
      <c r="B217">
        <v>1325.48193359375</v>
      </c>
      <c r="C217">
        <f t="shared" si="11"/>
        <v>2.7127975636809236E-2</v>
      </c>
      <c r="K217">
        <f t="shared" si="9"/>
        <v>1663.599975585938</v>
      </c>
      <c r="L217" s="5">
        <f t="shared" si="10"/>
        <v>-0.2032447986019591</v>
      </c>
    </row>
    <row r="218" spans="1:12" x14ac:dyDescent="0.3">
      <c r="A218" s="2">
        <v>45323</v>
      </c>
      <c r="B218">
        <v>1361.439575195312</v>
      </c>
      <c r="C218">
        <f t="shared" si="11"/>
        <v>3.6032738711405474E-3</v>
      </c>
      <c r="K218">
        <f t="shared" si="9"/>
        <v>1663.599975585938</v>
      </c>
      <c r="L218" s="5">
        <f t="shared" si="10"/>
        <v>-0.18163044290993191</v>
      </c>
    </row>
    <row r="219" spans="1:12" x14ac:dyDescent="0.3">
      <c r="A219" s="2">
        <v>45324</v>
      </c>
      <c r="B219">
        <v>1366.34521484375</v>
      </c>
      <c r="C219">
        <f t="shared" si="11"/>
        <v>2.9619855089296085E-2</v>
      </c>
      <c r="K219">
        <f t="shared" si="9"/>
        <v>1663.599975585938</v>
      </c>
      <c r="L219" s="5">
        <f t="shared" si="10"/>
        <v>-0.1786816332679324</v>
      </c>
    </row>
    <row r="220" spans="1:12" x14ac:dyDescent="0.3">
      <c r="A220" s="2">
        <v>45327</v>
      </c>
      <c r="B220">
        <v>1406.816162109375</v>
      </c>
      <c r="C220">
        <f t="shared" si="11"/>
        <v>-5.8932002896753656E-3</v>
      </c>
      <c r="K220">
        <f t="shared" si="9"/>
        <v>1663.599975585938</v>
      </c>
      <c r="L220" s="5">
        <f t="shared" si="10"/>
        <v>-0.15435430226315128</v>
      </c>
    </row>
    <row r="221" spans="1:12" x14ac:dyDescent="0.3">
      <c r="A221" s="2">
        <v>45328</v>
      </c>
      <c r="B221">
        <v>1398.525512695312</v>
      </c>
      <c r="C221">
        <f t="shared" si="11"/>
        <v>9.3305056481696423E-3</v>
      </c>
      <c r="K221">
        <f t="shared" si="9"/>
        <v>1663.599975585938</v>
      </c>
      <c r="L221" s="5">
        <f t="shared" si="10"/>
        <v>-0.15933786173401676</v>
      </c>
    </row>
    <row r="222" spans="1:12" x14ac:dyDescent="0.3">
      <c r="A222" s="2">
        <v>45329</v>
      </c>
      <c r="B222">
        <v>1411.574462890625</v>
      </c>
      <c r="C222">
        <f t="shared" si="11"/>
        <v>-1.2893196575673808E-2</v>
      </c>
      <c r="K222">
        <f t="shared" si="9"/>
        <v>1663.599975585938</v>
      </c>
      <c r="L222" s="5">
        <f t="shared" si="10"/>
        <v>-0.15149405890472367</v>
      </c>
    </row>
    <row r="223" spans="1:12" x14ac:dyDescent="0.3">
      <c r="A223" s="2">
        <v>45330</v>
      </c>
      <c r="B223">
        <v>1393.374755859375</v>
      </c>
      <c r="C223">
        <f t="shared" si="11"/>
        <v>1.3765705207557785E-2</v>
      </c>
      <c r="K223">
        <f t="shared" si="9"/>
        <v>1663.599975585938</v>
      </c>
      <c r="L223" s="5">
        <f t="shared" si="10"/>
        <v>-0.16243401279889214</v>
      </c>
    </row>
    <row r="224" spans="1:12" x14ac:dyDescent="0.3">
      <c r="A224" s="2">
        <v>45331</v>
      </c>
      <c r="B224">
        <v>1412.555541992188</v>
      </c>
      <c r="C224">
        <f t="shared" si="11"/>
        <v>-3.472796242197632E-3</v>
      </c>
      <c r="K224">
        <f t="shared" si="9"/>
        <v>1663.599975585938</v>
      </c>
      <c r="L224" s="5">
        <f t="shared" si="10"/>
        <v>-0.15090432632720463</v>
      </c>
    </row>
    <row r="225" spans="1:12" x14ac:dyDescent="0.3">
      <c r="A225" s="2">
        <v>45334</v>
      </c>
      <c r="B225">
        <v>1407.650024414062</v>
      </c>
      <c r="C225">
        <f t="shared" si="11"/>
        <v>1.6030654897481299E-2</v>
      </c>
      <c r="K225">
        <f t="shared" si="9"/>
        <v>1663.599975585938</v>
      </c>
      <c r="L225" s="5">
        <f t="shared" si="10"/>
        <v>-0.15385306259200171</v>
      </c>
    </row>
    <row r="226" spans="1:12" x14ac:dyDescent="0.3">
      <c r="A226" s="2">
        <v>45335</v>
      </c>
      <c r="B226">
        <v>1430.215576171875</v>
      </c>
      <c r="C226">
        <f t="shared" si="11"/>
        <v>-2.2226080086880477E-2</v>
      </c>
      <c r="K226">
        <f t="shared" si="9"/>
        <v>1663.599975585938</v>
      </c>
      <c r="L226" s="5">
        <f t="shared" si="10"/>
        <v>-0.14028877304585341</v>
      </c>
    </row>
    <row r="227" spans="1:12" x14ac:dyDescent="0.3">
      <c r="A227" s="2">
        <v>45336</v>
      </c>
      <c r="B227">
        <v>1398.427490234375</v>
      </c>
      <c r="C227">
        <f t="shared" si="11"/>
        <v>-2.1046763777460937E-3</v>
      </c>
      <c r="K227">
        <f t="shared" si="9"/>
        <v>1663.599975585938</v>
      </c>
      <c r="L227" s="5">
        <f t="shared" si="10"/>
        <v>-0.15939678362772658</v>
      </c>
    </row>
    <row r="228" spans="1:12" x14ac:dyDescent="0.3">
      <c r="A228" s="2">
        <v>45337</v>
      </c>
      <c r="B228">
        <v>1395.484252929688</v>
      </c>
      <c r="C228">
        <f t="shared" si="11"/>
        <v>1.2901110034485032E-2</v>
      </c>
      <c r="K228">
        <f t="shared" si="9"/>
        <v>1663.599975585938</v>
      </c>
      <c r="L228" s="5">
        <f t="shared" si="10"/>
        <v>-0.16116598136028271</v>
      </c>
    </row>
    <row r="229" spans="1:12" x14ac:dyDescent="0.3">
      <c r="A229" s="2">
        <v>45338</v>
      </c>
      <c r="B229">
        <v>1413.487548828125</v>
      </c>
      <c r="C229">
        <f t="shared" si="11"/>
        <v>2.058036373560037E-2</v>
      </c>
      <c r="K229">
        <f t="shared" si="9"/>
        <v>1663.599975585938</v>
      </c>
      <c r="L229" s="5">
        <f t="shared" si="10"/>
        <v>-0.15034409138514238</v>
      </c>
    </row>
    <row r="230" spans="1:12" x14ac:dyDescent="0.3">
      <c r="A230" s="2">
        <v>45341</v>
      </c>
      <c r="B230">
        <v>1442.57763671875</v>
      </c>
      <c r="C230">
        <f t="shared" si="11"/>
        <v>-1.2718068886429717E-2</v>
      </c>
      <c r="K230">
        <f t="shared" si="9"/>
        <v>1663.599975585938</v>
      </c>
      <c r="L230" s="5">
        <f t="shared" si="10"/>
        <v>-0.1328578637357466</v>
      </c>
    </row>
    <row r="231" spans="1:12" x14ac:dyDescent="0.3">
      <c r="A231" s="2">
        <v>45342</v>
      </c>
      <c r="B231">
        <v>1424.230834960938</v>
      </c>
      <c r="C231">
        <f t="shared" si="11"/>
        <v>-2.9965804424835121E-3</v>
      </c>
      <c r="K231">
        <f t="shared" si="9"/>
        <v>1663.599975585938</v>
      </c>
      <c r="L231" s="5">
        <f t="shared" si="10"/>
        <v>-0.14388623715908122</v>
      </c>
    </row>
    <row r="232" spans="1:12" x14ac:dyDescent="0.3">
      <c r="A232" s="2">
        <v>45343</v>
      </c>
      <c r="B232">
        <v>1419.963012695312</v>
      </c>
      <c r="C232">
        <f t="shared" si="11"/>
        <v>4.1456845688016102E-3</v>
      </c>
      <c r="K232">
        <f t="shared" si="9"/>
        <v>1663.599975585938</v>
      </c>
      <c r="L232" s="5">
        <f t="shared" si="10"/>
        <v>-0.14645165091735124</v>
      </c>
    </row>
    <row r="233" spans="1:12" x14ac:dyDescent="0.3">
      <c r="A233" s="2">
        <v>45344</v>
      </c>
      <c r="B233">
        <v>1425.849731445312</v>
      </c>
      <c r="C233">
        <f t="shared" si="11"/>
        <v>9.0139506141871124E-3</v>
      </c>
      <c r="K233">
        <f t="shared" si="9"/>
        <v>1663.599975585938</v>
      </c>
      <c r="L233" s="5">
        <f t="shared" si="10"/>
        <v>-0.14291310869783325</v>
      </c>
    </row>
    <row r="234" spans="1:12" x14ac:dyDescent="0.3">
      <c r="A234" s="2">
        <v>45345</v>
      </c>
      <c r="B234">
        <v>1438.702270507812</v>
      </c>
      <c r="C234">
        <f t="shared" si="11"/>
        <v>2.3526518963546883E-3</v>
      </c>
      <c r="K234">
        <f t="shared" si="9"/>
        <v>1663.599975585938</v>
      </c>
      <c r="L234" s="5">
        <f t="shared" si="10"/>
        <v>-0.1351873697875684</v>
      </c>
    </row>
    <row r="235" spans="1:12" x14ac:dyDescent="0.3">
      <c r="A235" s="2">
        <v>45348</v>
      </c>
      <c r="B235">
        <v>1442.087036132812</v>
      </c>
      <c r="C235">
        <f t="shared" si="11"/>
        <v>1.1973934736278755E-2</v>
      </c>
      <c r="K235">
        <f t="shared" si="9"/>
        <v>1663.599975585938</v>
      </c>
      <c r="L235" s="5">
        <f t="shared" si="10"/>
        <v>-0.13315276671310761</v>
      </c>
    </row>
    <row r="236" spans="1:12" x14ac:dyDescent="0.3">
      <c r="A236" s="2">
        <v>45349</v>
      </c>
      <c r="B236">
        <v>1459.3544921875</v>
      </c>
      <c r="C236">
        <f t="shared" si="11"/>
        <v>-7.0254098859790816E-3</v>
      </c>
      <c r="K236">
        <f t="shared" si="9"/>
        <v>1663.599975585938</v>
      </c>
      <c r="L236" s="5">
        <f t="shared" si="10"/>
        <v>-0.12277319451540658</v>
      </c>
    </row>
    <row r="237" spans="1:12" x14ac:dyDescent="0.3">
      <c r="A237" s="2">
        <v>45350</v>
      </c>
      <c r="B237">
        <v>1449.101928710938</v>
      </c>
      <c r="C237">
        <f t="shared" si="11"/>
        <v>2.2681242077883354E-3</v>
      </c>
      <c r="K237">
        <f t="shared" si="9"/>
        <v>1663.599975585938</v>
      </c>
      <c r="L237" s="5">
        <f t="shared" si="10"/>
        <v>-0.12893607238690385</v>
      </c>
    </row>
    <row r="238" spans="1:12" x14ac:dyDescent="0.3">
      <c r="A238" s="2">
        <v>45351</v>
      </c>
      <c r="B238">
        <v>1452.388671875</v>
      </c>
      <c r="C238">
        <f t="shared" si="11"/>
        <v>-6.3836110502230297E-3</v>
      </c>
      <c r="K238">
        <f t="shared" si="9"/>
        <v>1663.599975585938</v>
      </c>
      <c r="L238" s="5">
        <f t="shared" si="10"/>
        <v>-0.12696039120615343</v>
      </c>
    </row>
    <row r="239" spans="1:12" x14ac:dyDescent="0.3">
      <c r="A239" s="2">
        <v>45352</v>
      </c>
      <c r="B239">
        <v>1443.1171875</v>
      </c>
      <c r="C239">
        <f t="shared" si="11"/>
        <v>4.0788305480215896E-4</v>
      </c>
      <c r="K239">
        <f t="shared" si="9"/>
        <v>1663.599975585938</v>
      </c>
      <c r="L239" s="5">
        <f t="shared" si="10"/>
        <v>-0.13253353650013222</v>
      </c>
    </row>
    <row r="240" spans="1:12" x14ac:dyDescent="0.3">
      <c r="A240" s="2">
        <v>45355</v>
      </c>
      <c r="B240">
        <v>1443.705810546875</v>
      </c>
      <c r="C240">
        <f t="shared" si="11"/>
        <v>1.3251217273797104E-3</v>
      </c>
      <c r="K240">
        <f t="shared" si="9"/>
        <v>1663.599975585938</v>
      </c>
      <c r="L240" s="5">
        <f t="shared" si="10"/>
        <v>-0.1321797116290615</v>
      </c>
    </row>
    <row r="241" spans="1:12" x14ac:dyDescent="0.3">
      <c r="A241" s="2">
        <v>45356</v>
      </c>
      <c r="B241">
        <v>1445.618896484375</v>
      </c>
      <c r="C241">
        <f t="shared" si="11"/>
        <v>8.0085218420760228E-3</v>
      </c>
      <c r="K241">
        <f t="shared" si="9"/>
        <v>1663.599975585938</v>
      </c>
      <c r="L241" s="5">
        <f t="shared" si="10"/>
        <v>-0.13102974410948021</v>
      </c>
    </row>
    <row r="242" spans="1:12" x14ac:dyDescent="0.3">
      <c r="A242" s="2">
        <v>45357</v>
      </c>
      <c r="B242">
        <v>1457.196166992188</v>
      </c>
      <c r="C242">
        <f t="shared" si="11"/>
        <v>-1.4138815219563743E-3</v>
      </c>
      <c r="K242">
        <f t="shared" si="9"/>
        <v>1663.599975585938</v>
      </c>
      <c r="L242" s="5">
        <f t="shared" si="10"/>
        <v>-0.12407057683506661</v>
      </c>
    </row>
    <row r="243" spans="1:12" x14ac:dyDescent="0.3">
      <c r="A243" s="2">
        <v>45358</v>
      </c>
      <c r="B243">
        <v>1455.135864257812</v>
      </c>
      <c r="C243">
        <f t="shared" si="11"/>
        <v>1.4125362307351711E-2</v>
      </c>
      <c r="K243">
        <f t="shared" si="9"/>
        <v>1663.599975585938</v>
      </c>
      <c r="L243" s="5">
        <f t="shared" si="10"/>
        <v>-0.12530903726101739</v>
      </c>
    </row>
    <row r="244" spans="1:12" x14ac:dyDescent="0.3">
      <c r="A244" s="2">
        <v>45362</v>
      </c>
      <c r="B244">
        <v>1475.690185546875</v>
      </c>
      <c r="C244">
        <f t="shared" si="11"/>
        <v>-2.5497040496973492E-2</v>
      </c>
      <c r="K244">
        <f t="shared" si="9"/>
        <v>1663.599975585938</v>
      </c>
      <c r="L244" s="5">
        <f t="shared" si="10"/>
        <v>-0.11295371050536296</v>
      </c>
    </row>
    <row r="245" spans="1:12" x14ac:dyDescent="0.3">
      <c r="A245" s="2">
        <v>45363</v>
      </c>
      <c r="B245">
        <v>1438.064453125</v>
      </c>
      <c r="C245">
        <f t="shared" si="11"/>
        <v>3.7523479231657232E-3</v>
      </c>
      <c r="K245">
        <f t="shared" si="9"/>
        <v>1663.599975585938</v>
      </c>
      <c r="L245" s="5">
        <f t="shared" si="10"/>
        <v>-0.13557076567129778</v>
      </c>
    </row>
    <row r="246" spans="1:12" x14ac:dyDescent="0.3">
      <c r="A246" s="2">
        <v>45364</v>
      </c>
      <c r="B246">
        <v>1443.460571289062</v>
      </c>
      <c r="C246">
        <f t="shared" si="11"/>
        <v>1.7264266569943953E-2</v>
      </c>
      <c r="K246">
        <f t="shared" si="9"/>
        <v>1663.599975585938</v>
      </c>
      <c r="L246" s="5">
        <f t="shared" si="10"/>
        <v>-0.1323271264291408</v>
      </c>
    </row>
    <row r="247" spans="1:12" x14ac:dyDescent="0.3">
      <c r="A247" s="2">
        <v>45365</v>
      </c>
      <c r="B247">
        <v>1468.380859375</v>
      </c>
      <c r="C247">
        <f t="shared" si="11"/>
        <v>-5.7462081560389075E-3</v>
      </c>
      <c r="K247">
        <f t="shared" si="9"/>
        <v>1663.599975585938</v>
      </c>
      <c r="L247" s="5">
        <f t="shared" si="10"/>
        <v>-0.11734739064430422</v>
      </c>
    </row>
    <row r="248" spans="1:12" x14ac:dyDescent="0.3">
      <c r="A248" s="2">
        <v>45366</v>
      </c>
      <c r="B248">
        <v>1459.943237304688</v>
      </c>
      <c r="C248">
        <f t="shared" si="11"/>
        <v>2.6881596808625807E-4</v>
      </c>
      <c r="K248">
        <f t="shared" si="9"/>
        <v>1663.599975585938</v>
      </c>
      <c r="L248" s="5">
        <f t="shared" si="10"/>
        <v>-0.12241929626713288</v>
      </c>
    </row>
    <row r="249" spans="1:12" x14ac:dyDescent="0.3">
      <c r="A249" s="2">
        <v>45369</v>
      </c>
      <c r="B249">
        <v>1460.335693359375</v>
      </c>
      <c r="C249">
        <f t="shared" si="11"/>
        <v>-3.5439565262094096E-2</v>
      </c>
      <c r="K249">
        <f t="shared" si="9"/>
        <v>1663.599975585938</v>
      </c>
      <c r="L249" s="5">
        <f t="shared" si="10"/>
        <v>-0.12218338856068511</v>
      </c>
    </row>
    <row r="250" spans="1:12" x14ac:dyDescent="0.3">
      <c r="A250" s="2">
        <v>45370</v>
      </c>
      <c r="B250">
        <v>1408.58203125</v>
      </c>
      <c r="C250">
        <f t="shared" si="11"/>
        <v>-1.2746396947284641E-2</v>
      </c>
      <c r="K250">
        <f t="shared" si="9"/>
        <v>1663.599975585938</v>
      </c>
      <c r="L250" s="5">
        <f t="shared" si="10"/>
        <v>-0.15329282764993901</v>
      </c>
    </row>
    <row r="251" spans="1:12" x14ac:dyDescent="0.3">
      <c r="A251" s="2">
        <v>45371</v>
      </c>
      <c r="B251">
        <v>1390.627685546875</v>
      </c>
      <c r="C251">
        <f t="shared" si="11"/>
        <v>2.2082646961180376E-2</v>
      </c>
      <c r="K251">
        <f t="shared" si="9"/>
        <v>1663.599975585938</v>
      </c>
      <c r="L251" s="5">
        <f t="shared" si="10"/>
        <v>-0.16408529336682587</v>
      </c>
    </row>
    <row r="252" spans="1:12" x14ac:dyDescent="0.3">
      <c r="A252" s="2">
        <v>45372</v>
      </c>
      <c r="B252">
        <v>1421.33642578125</v>
      </c>
      <c r="C252">
        <f t="shared" si="11"/>
        <v>2.2468503694909162E-2</v>
      </c>
      <c r="K252">
        <f t="shared" si="9"/>
        <v>1663.599975585938</v>
      </c>
      <c r="L252" s="5">
        <f t="shared" si="10"/>
        <v>-0.14562608401058685</v>
      </c>
    </row>
    <row r="253" spans="1:12" x14ac:dyDescent="0.3">
      <c r="A253" s="2">
        <v>45373</v>
      </c>
      <c r="B253">
        <v>1453.271728515625</v>
      </c>
      <c r="C253">
        <f t="shared" si="11"/>
        <v>-6.0759993824548294E-3</v>
      </c>
      <c r="K253">
        <f t="shared" si="9"/>
        <v>1663.599975585938</v>
      </c>
      <c r="L253" s="5">
        <f t="shared" si="10"/>
        <v>-0.12642958052234465</v>
      </c>
    </row>
    <row r="254" spans="1:12" x14ac:dyDescent="0.3">
      <c r="A254" s="2">
        <v>45377</v>
      </c>
      <c r="B254">
        <v>1444.441650390625</v>
      </c>
      <c r="C254">
        <f t="shared" si="11"/>
        <v>-6.0451119787882559E-3</v>
      </c>
      <c r="K254">
        <f t="shared" si="9"/>
        <v>1663.599975585938</v>
      </c>
      <c r="L254" s="5">
        <f t="shared" si="10"/>
        <v>-0.13173739385162175</v>
      </c>
    </row>
    <row r="255" spans="1:12" x14ac:dyDescent="0.3">
      <c r="A255" s="2">
        <v>45378</v>
      </c>
      <c r="B255">
        <v>1435.709838867188</v>
      </c>
      <c r="C255">
        <f t="shared" si="11"/>
        <v>2.2960998900209875E-2</v>
      </c>
      <c r="K255">
        <f t="shared" si="9"/>
        <v>1663.599975585938</v>
      </c>
      <c r="L255" s="5">
        <f t="shared" si="10"/>
        <v>-0.13698613853278319</v>
      </c>
    </row>
    <row r="256" spans="1:12" x14ac:dyDescent="0.3">
      <c r="A256" s="2">
        <v>45379</v>
      </c>
      <c r="B256">
        <v>1468.675170898438</v>
      </c>
      <c r="C256">
        <f t="shared" si="11"/>
        <v>1.1356130427851976E-3</v>
      </c>
      <c r="K256">
        <f t="shared" si="9"/>
        <v>1663.599975585938</v>
      </c>
      <c r="L256" s="5">
        <f t="shared" si="10"/>
        <v>-0.11717047820876858</v>
      </c>
    </row>
    <row r="257" spans="1:12" x14ac:dyDescent="0.3">
      <c r="A257" s="2">
        <v>45383</v>
      </c>
      <c r="B257">
        <v>1470.343017578125</v>
      </c>
      <c r="C257">
        <f t="shared" si="11"/>
        <v>-6.1722450301164153E-3</v>
      </c>
      <c r="K257">
        <f t="shared" si="9"/>
        <v>1663.599975585938</v>
      </c>
      <c r="L257" s="5">
        <f t="shared" si="10"/>
        <v>-0.11616792548926658</v>
      </c>
    </row>
    <row r="258" spans="1:12" x14ac:dyDescent="0.3">
      <c r="A258" s="2">
        <v>45384</v>
      </c>
      <c r="B258">
        <v>1461.267700195312</v>
      </c>
      <c r="C258">
        <f t="shared" si="11"/>
        <v>-1.201825623469932E-2</v>
      </c>
      <c r="K258">
        <f t="shared" ref="K258:K321" si="12">MAX(B258:B997)</f>
        <v>1663.599975585938</v>
      </c>
      <c r="L258" s="5">
        <f t="shared" ref="L258:L321" si="13">B258/K258-1</f>
        <v>-0.12162315361862297</v>
      </c>
    </row>
    <row r="259" spans="1:12" x14ac:dyDescent="0.3">
      <c r="A259" s="2">
        <v>45385</v>
      </c>
      <c r="B259">
        <v>1443.705810546875</v>
      </c>
      <c r="C259">
        <f t="shared" ref="C259:C322" si="14">(B260-B259)/B259</f>
        <v>-8.1208519132501857E-3</v>
      </c>
      <c r="K259">
        <f t="shared" si="12"/>
        <v>1663.599975585938</v>
      </c>
      <c r="L259" s="5">
        <f t="shared" si="13"/>
        <v>-0.1321797116290615</v>
      </c>
    </row>
    <row r="260" spans="1:12" x14ac:dyDescent="0.3">
      <c r="A260" s="2">
        <v>45386</v>
      </c>
      <c r="B260">
        <v>1431.981689453125</v>
      </c>
      <c r="C260">
        <f t="shared" si="14"/>
        <v>-6.9542607260852313E-3</v>
      </c>
      <c r="K260">
        <f t="shared" si="12"/>
        <v>1663.599975585938</v>
      </c>
      <c r="L260" s="5">
        <f t="shared" si="13"/>
        <v>-0.13922715167823596</v>
      </c>
    </row>
    <row r="261" spans="1:12" x14ac:dyDescent="0.3">
      <c r="A261" s="2">
        <v>45387</v>
      </c>
      <c r="B261">
        <v>1422.023315429688</v>
      </c>
      <c r="C261">
        <f t="shared" si="14"/>
        <v>9.0036968156216972E-3</v>
      </c>
      <c r="K261">
        <f t="shared" si="12"/>
        <v>1663.599975585938</v>
      </c>
      <c r="L261" s="5">
        <f t="shared" si="13"/>
        <v>-0.14521319049140047</v>
      </c>
    </row>
    <row r="262" spans="1:12" x14ac:dyDescent="0.3">
      <c r="A262" s="2">
        <v>45390</v>
      </c>
      <c r="B262">
        <v>1434.826782226562</v>
      </c>
      <c r="C262">
        <f t="shared" si="14"/>
        <v>-8.3079088736773693E-3</v>
      </c>
      <c r="K262">
        <f t="shared" si="12"/>
        <v>1663.599975585938</v>
      </c>
      <c r="L262" s="5">
        <f t="shared" si="13"/>
        <v>-0.13751694921659252</v>
      </c>
    </row>
    <row r="263" spans="1:12" x14ac:dyDescent="0.3">
      <c r="A263" s="2">
        <v>45391</v>
      </c>
      <c r="B263">
        <v>1422.906372070312</v>
      </c>
      <c r="C263">
        <f t="shared" si="14"/>
        <v>-1.8858230323831902E-2</v>
      </c>
      <c r="K263">
        <f t="shared" si="12"/>
        <v>1663.599975585938</v>
      </c>
      <c r="L263" s="5">
        <f t="shared" si="13"/>
        <v>-0.14468237980759224</v>
      </c>
    </row>
    <row r="264" spans="1:12" x14ac:dyDescent="0.3">
      <c r="A264" s="2">
        <v>45392</v>
      </c>
      <c r="B264">
        <v>1396.072875976562</v>
      </c>
      <c r="C264">
        <f t="shared" si="14"/>
        <v>-1.8377268336674437E-2</v>
      </c>
      <c r="K264">
        <f t="shared" si="12"/>
        <v>1663.599975585938</v>
      </c>
      <c r="L264" s="5">
        <f t="shared" si="13"/>
        <v>-0.16081215648921243</v>
      </c>
    </row>
    <row r="265" spans="1:12" x14ac:dyDescent="0.3">
      <c r="A265" s="2">
        <v>45394</v>
      </c>
      <c r="B265">
        <v>1370.416870117188</v>
      </c>
      <c r="C265">
        <f t="shared" si="14"/>
        <v>-1.1025207868379414E-2</v>
      </c>
      <c r="K265">
        <f t="shared" si="12"/>
        <v>1663.599975585938</v>
      </c>
      <c r="L265" s="5">
        <f t="shared" si="13"/>
        <v>-0.17623413667428534</v>
      </c>
    </row>
    <row r="266" spans="1:12" x14ac:dyDescent="0.3">
      <c r="A266" s="2">
        <v>45397</v>
      </c>
      <c r="B266">
        <v>1355.307739257812</v>
      </c>
      <c r="C266">
        <f t="shared" si="14"/>
        <v>-4.4882853069452338E-3</v>
      </c>
      <c r="K266">
        <f t="shared" si="12"/>
        <v>1663.599975585938</v>
      </c>
      <c r="L266" s="5">
        <f t="shared" si="13"/>
        <v>-0.18531632655232644</v>
      </c>
    </row>
    <row r="267" spans="1:12" x14ac:dyDescent="0.3">
      <c r="A267" s="2">
        <v>45398</v>
      </c>
      <c r="B267">
        <v>1349.224731445312</v>
      </c>
      <c r="C267">
        <f t="shared" si="14"/>
        <v>-2.0287891384383912E-2</v>
      </c>
      <c r="K267">
        <f t="shared" si="12"/>
        <v>1663.599975585938</v>
      </c>
      <c r="L267" s="5">
        <f t="shared" si="13"/>
        <v>-0.18897285931366981</v>
      </c>
    </row>
    <row r="268" spans="1:12" x14ac:dyDescent="0.3">
      <c r="A268" s="2">
        <v>45400</v>
      </c>
      <c r="B268">
        <v>1321.851806640625</v>
      </c>
      <c r="C268">
        <f t="shared" si="14"/>
        <v>-1.1504708360537501E-3</v>
      </c>
      <c r="K268">
        <f t="shared" si="12"/>
        <v>1663.599975585938</v>
      </c>
      <c r="L268" s="5">
        <f t="shared" si="13"/>
        <v>-0.2054268898537015</v>
      </c>
    </row>
    <row r="269" spans="1:12" x14ac:dyDescent="0.3">
      <c r="A269" s="2">
        <v>45401</v>
      </c>
      <c r="B269">
        <v>1320.3310546875</v>
      </c>
      <c r="C269">
        <f t="shared" si="14"/>
        <v>6.762016658050268E-3</v>
      </c>
      <c r="K269">
        <f t="shared" si="12"/>
        <v>1663.599975585938</v>
      </c>
      <c r="L269" s="5">
        <f t="shared" si="13"/>
        <v>-0.20634102304403734</v>
      </c>
    </row>
    <row r="270" spans="1:12" x14ac:dyDescent="0.3">
      <c r="A270" s="2">
        <v>45404</v>
      </c>
      <c r="B270">
        <v>1329.259155273438</v>
      </c>
      <c r="C270">
        <f t="shared" si="14"/>
        <v>-6.0154513273637357E-3</v>
      </c>
      <c r="K270">
        <f t="shared" si="12"/>
        <v>1663.599975585938</v>
      </c>
      <c r="L270" s="5">
        <f t="shared" si="13"/>
        <v>-0.20097428782104998</v>
      </c>
    </row>
    <row r="271" spans="1:12" x14ac:dyDescent="0.3">
      <c r="A271" s="2">
        <v>45405</v>
      </c>
      <c r="B271">
        <v>1321.263061523438</v>
      </c>
      <c r="C271">
        <f t="shared" si="14"/>
        <v>3.8241606195686978E-2</v>
      </c>
      <c r="K271">
        <f t="shared" si="12"/>
        <v>1663.599975585938</v>
      </c>
      <c r="L271" s="5">
        <f t="shared" si="13"/>
        <v>-0.20578078810197464</v>
      </c>
    </row>
    <row r="272" spans="1:12" x14ac:dyDescent="0.3">
      <c r="A272" s="2">
        <v>45406</v>
      </c>
      <c r="B272">
        <v>1371.790283203125</v>
      </c>
      <c r="C272">
        <f t="shared" si="14"/>
        <v>5.7216303754520715E-3</v>
      </c>
      <c r="K272">
        <f t="shared" si="12"/>
        <v>1663.599975585938</v>
      </c>
      <c r="L272" s="5">
        <f t="shared" si="13"/>
        <v>-0.17540856976752139</v>
      </c>
    </row>
    <row r="273" spans="1:12" x14ac:dyDescent="0.3">
      <c r="A273" s="2">
        <v>45407</v>
      </c>
      <c r="B273">
        <v>1379.63916015625</v>
      </c>
      <c r="C273">
        <f t="shared" si="14"/>
        <v>2.0979465234664337E-3</v>
      </c>
      <c r="K273">
        <f t="shared" si="12"/>
        <v>1663.599975585938</v>
      </c>
      <c r="L273" s="5">
        <f t="shared" si="13"/>
        <v>-0.17069056239296587</v>
      </c>
    </row>
    <row r="274" spans="1:12" x14ac:dyDescent="0.3">
      <c r="A274" s="2">
        <v>45408</v>
      </c>
      <c r="B274">
        <v>1382.533569335938</v>
      </c>
      <c r="C274">
        <f t="shared" si="14"/>
        <v>-8.1610741573522928E-4</v>
      </c>
      <c r="K274">
        <f t="shared" si="12"/>
        <v>1663.599975585938</v>
      </c>
      <c r="L274" s="5">
        <f t="shared" si="13"/>
        <v>-0.16895071554146024</v>
      </c>
    </row>
    <row r="275" spans="1:12" x14ac:dyDescent="0.3">
      <c r="A275" s="2">
        <v>45411</v>
      </c>
      <c r="B275">
        <v>1381.4052734375</v>
      </c>
      <c r="C275">
        <f t="shared" si="14"/>
        <v>-5.6818061318050358E-3</v>
      </c>
      <c r="K275">
        <f t="shared" si="12"/>
        <v>1663.599975585938</v>
      </c>
      <c r="L275" s="5">
        <f t="shared" si="13"/>
        <v>-0.16962894102534831</v>
      </c>
    </row>
    <row r="276" spans="1:12" x14ac:dyDescent="0.3">
      <c r="A276" s="2">
        <v>45412</v>
      </c>
      <c r="B276">
        <v>1373.556396484375</v>
      </c>
      <c r="C276">
        <f t="shared" si="14"/>
        <v>1.4321410244811027E-2</v>
      </c>
      <c r="K276">
        <f t="shared" si="12"/>
        <v>1663.599975585938</v>
      </c>
      <c r="L276" s="5">
        <f t="shared" si="13"/>
        <v>-0.17434694839990394</v>
      </c>
    </row>
    <row r="277" spans="1:12" x14ac:dyDescent="0.3">
      <c r="A277" s="2">
        <v>45414</v>
      </c>
      <c r="B277">
        <v>1393.227661132812</v>
      </c>
      <c r="C277">
        <f t="shared" si="14"/>
        <v>3.3097290438079976E-3</v>
      </c>
      <c r="K277">
        <f t="shared" si="12"/>
        <v>1663.599975585938</v>
      </c>
      <c r="L277" s="5">
        <f t="shared" si="13"/>
        <v>-0.16252243232805885</v>
      </c>
    </row>
    <row r="278" spans="1:12" x14ac:dyDescent="0.3">
      <c r="A278" s="2">
        <v>45415</v>
      </c>
      <c r="B278">
        <v>1397.8388671875</v>
      </c>
      <c r="C278">
        <f t="shared" si="14"/>
        <v>-9.4750755735520864E-4</v>
      </c>
      <c r="K278">
        <f t="shared" si="12"/>
        <v>1663.599975585938</v>
      </c>
      <c r="L278" s="5">
        <f t="shared" si="13"/>
        <v>-0.1597506084987973</v>
      </c>
    </row>
    <row r="279" spans="1:12" x14ac:dyDescent="0.3">
      <c r="A279" s="2">
        <v>45418</v>
      </c>
      <c r="B279">
        <v>1396.514404296875</v>
      </c>
      <c r="C279">
        <f t="shared" si="14"/>
        <v>-2.5432145427642029E-2</v>
      </c>
      <c r="K279">
        <f t="shared" si="12"/>
        <v>1663.599975585938</v>
      </c>
      <c r="L279" s="5">
        <f t="shared" si="13"/>
        <v>-0.16054675114730788</v>
      </c>
    </row>
    <row r="280" spans="1:12" x14ac:dyDescent="0.3">
      <c r="A280" s="2">
        <v>45419</v>
      </c>
      <c r="B280">
        <v>1360.998046875</v>
      </c>
      <c r="C280">
        <f t="shared" si="14"/>
        <v>-1.7661204797149279E-3</v>
      </c>
      <c r="K280">
        <f t="shared" si="12"/>
        <v>1663.599975585938</v>
      </c>
      <c r="L280" s="5">
        <f t="shared" si="13"/>
        <v>-0.18189584825183602</v>
      </c>
    </row>
    <row r="281" spans="1:12" x14ac:dyDescent="0.3">
      <c r="A281" s="2">
        <v>45420</v>
      </c>
      <c r="B281">
        <v>1358.594360351562</v>
      </c>
      <c r="C281">
        <f t="shared" si="14"/>
        <v>-1.8739748625399788E-2</v>
      </c>
      <c r="K281">
        <f t="shared" si="12"/>
        <v>1663.599975585938</v>
      </c>
      <c r="L281" s="5">
        <f t="shared" si="13"/>
        <v>-0.18334071874877833</v>
      </c>
    </row>
    <row r="282" spans="1:12" x14ac:dyDescent="0.3">
      <c r="A282" s="2">
        <v>45421</v>
      </c>
      <c r="B282">
        <v>1333.134643554688</v>
      </c>
      <c r="C282">
        <f t="shared" si="14"/>
        <v>-1.4166967080696938E-2</v>
      </c>
      <c r="K282">
        <f t="shared" si="12"/>
        <v>1663.599975585938</v>
      </c>
      <c r="L282" s="5">
        <f t="shared" si="13"/>
        <v>-0.19864470839202586</v>
      </c>
    </row>
    <row r="283" spans="1:12" x14ac:dyDescent="0.3">
      <c r="A283" s="2">
        <v>45422</v>
      </c>
      <c r="B283">
        <v>1314.248168945312</v>
      </c>
      <c r="C283">
        <f t="shared" si="14"/>
        <v>5.6063626562871748E-2</v>
      </c>
      <c r="K283">
        <f t="shared" si="12"/>
        <v>1663.599975585938</v>
      </c>
      <c r="L283" s="5">
        <f t="shared" si="13"/>
        <v>-0.20999748242817828</v>
      </c>
    </row>
    <row r="284" spans="1:12" x14ac:dyDescent="0.3">
      <c r="A284" s="2">
        <v>45425</v>
      </c>
      <c r="B284">
        <v>1387.9296875</v>
      </c>
      <c r="C284">
        <f t="shared" si="14"/>
        <v>-4.0504770482114212E-2</v>
      </c>
      <c r="K284">
        <f t="shared" si="12"/>
        <v>1663.599975585938</v>
      </c>
      <c r="L284" s="5">
        <f t="shared" si="13"/>
        <v>-0.16570707629930315</v>
      </c>
    </row>
    <row r="285" spans="1:12" x14ac:dyDescent="0.3">
      <c r="A285" s="2">
        <v>45426</v>
      </c>
      <c r="B285">
        <v>1331.7119140625</v>
      </c>
      <c r="C285">
        <f t="shared" si="14"/>
        <v>3.63575981925289E-2</v>
      </c>
      <c r="K285">
        <f t="shared" si="12"/>
        <v>1663.599975585938</v>
      </c>
      <c r="L285" s="5">
        <f t="shared" si="13"/>
        <v>-0.19949991968865199</v>
      </c>
    </row>
    <row r="286" spans="1:12" x14ac:dyDescent="0.3">
      <c r="A286" s="2">
        <v>45427</v>
      </c>
      <c r="B286">
        <v>1380.129760742188</v>
      </c>
      <c r="C286">
        <f t="shared" si="14"/>
        <v>1.0236756107783986E-2</v>
      </c>
      <c r="K286">
        <f t="shared" si="12"/>
        <v>1663.599975585938</v>
      </c>
      <c r="L286" s="5">
        <f t="shared" si="13"/>
        <v>-0.17039565941560486</v>
      </c>
    </row>
    <row r="287" spans="1:12" x14ac:dyDescent="0.3">
      <c r="A287" s="2">
        <v>45428</v>
      </c>
      <c r="B287">
        <v>1394.2578125</v>
      </c>
      <c r="C287">
        <f t="shared" si="14"/>
        <v>-1.5516085086711354E-2</v>
      </c>
      <c r="K287">
        <f t="shared" si="12"/>
        <v>1663.599975585938</v>
      </c>
      <c r="L287" s="5">
        <f t="shared" si="13"/>
        <v>-0.16190320211508347</v>
      </c>
    </row>
    <row r="288" spans="1:12" x14ac:dyDescent="0.3">
      <c r="A288" s="2">
        <v>45429</v>
      </c>
      <c r="B288">
        <v>1372.624389648438</v>
      </c>
      <c r="C288">
        <f t="shared" si="14"/>
        <v>3.0913850714555741E-2</v>
      </c>
      <c r="K288">
        <f t="shared" si="12"/>
        <v>1663.599975585938</v>
      </c>
      <c r="L288" s="5">
        <f t="shared" si="13"/>
        <v>-0.17490718334196609</v>
      </c>
    </row>
    <row r="289" spans="1:12" x14ac:dyDescent="0.3">
      <c r="A289" s="2">
        <v>45433</v>
      </c>
      <c r="B289">
        <v>1415.057495117188</v>
      </c>
      <c r="C289">
        <f t="shared" si="14"/>
        <v>2.7733420656786859E-2</v>
      </c>
      <c r="K289">
        <f t="shared" si="12"/>
        <v>1663.599975585938</v>
      </c>
      <c r="L289" s="5">
        <f t="shared" si="13"/>
        <v>-0.14940038718214732</v>
      </c>
    </row>
    <row r="290" spans="1:12" x14ac:dyDescent="0.3">
      <c r="A290" s="2">
        <v>45434</v>
      </c>
      <c r="B290">
        <v>1454.301879882812</v>
      </c>
      <c r="C290">
        <f t="shared" si="14"/>
        <v>4.621173325602454E-3</v>
      </c>
      <c r="K290">
        <f t="shared" si="12"/>
        <v>1663.599975585938</v>
      </c>
      <c r="L290" s="5">
        <f t="shared" si="13"/>
        <v>-0.12581035030936982</v>
      </c>
    </row>
    <row r="291" spans="1:12" x14ac:dyDescent="0.3">
      <c r="A291" s="2">
        <v>45435</v>
      </c>
      <c r="B291">
        <v>1461.0224609375</v>
      </c>
      <c r="C291">
        <f t="shared" si="14"/>
        <v>-1.8131465616635493E-3</v>
      </c>
      <c r="K291">
        <f t="shared" si="12"/>
        <v>1663.599975585938</v>
      </c>
      <c r="L291" s="5">
        <f t="shared" si="13"/>
        <v>-0.12177056841870171</v>
      </c>
    </row>
    <row r="292" spans="1:12" x14ac:dyDescent="0.3">
      <c r="A292" s="2">
        <v>45436</v>
      </c>
      <c r="B292">
        <v>1458.373413085938</v>
      </c>
      <c r="C292">
        <f t="shared" si="14"/>
        <v>-5.2473446251553157E-3</v>
      </c>
      <c r="K292">
        <f t="shared" si="12"/>
        <v>1663.599975585938</v>
      </c>
      <c r="L292" s="5">
        <f t="shared" si="13"/>
        <v>-0.12336292709292507</v>
      </c>
    </row>
    <row r="293" spans="1:12" x14ac:dyDescent="0.3">
      <c r="A293" s="2">
        <v>45439</v>
      </c>
      <c r="B293">
        <v>1450.720825195312</v>
      </c>
      <c r="C293">
        <f t="shared" si="14"/>
        <v>5.4096558444130538E-4</v>
      </c>
      <c r="K293">
        <f t="shared" si="12"/>
        <v>1663.599975585938</v>
      </c>
      <c r="L293" s="5">
        <f t="shared" si="13"/>
        <v>-0.12796294392565588</v>
      </c>
    </row>
    <row r="294" spans="1:12" x14ac:dyDescent="0.3">
      <c r="A294" s="2">
        <v>45440</v>
      </c>
      <c r="B294">
        <v>1451.505615234375</v>
      </c>
      <c r="C294">
        <f t="shared" si="14"/>
        <v>9.5306984413238306E-3</v>
      </c>
      <c r="K294">
        <f t="shared" si="12"/>
        <v>1663.599975585938</v>
      </c>
      <c r="L294" s="5">
        <f t="shared" si="13"/>
        <v>-0.12749120188996221</v>
      </c>
    </row>
    <row r="295" spans="1:12" x14ac:dyDescent="0.3">
      <c r="A295" s="2">
        <v>45441</v>
      </c>
      <c r="B295">
        <v>1465.339477539062</v>
      </c>
      <c r="C295">
        <f t="shared" si="14"/>
        <v>-1.8044393476507044E-2</v>
      </c>
      <c r="K295">
        <f t="shared" si="12"/>
        <v>1663.599975585938</v>
      </c>
      <c r="L295" s="5">
        <f t="shared" si="13"/>
        <v>-0.11917558364777348</v>
      </c>
    </row>
    <row r="296" spans="1:12" x14ac:dyDescent="0.3">
      <c r="A296" s="2">
        <v>45442</v>
      </c>
      <c r="B296">
        <v>1438.898315429688</v>
      </c>
      <c r="C296">
        <f t="shared" si="14"/>
        <v>-1.3227876585743375E-2</v>
      </c>
      <c r="K296">
        <f t="shared" si="12"/>
        <v>1663.599975585938</v>
      </c>
      <c r="L296" s="5">
        <f t="shared" si="13"/>
        <v>-0.13506952600014777</v>
      </c>
    </row>
    <row r="297" spans="1:12" x14ac:dyDescent="0.3">
      <c r="A297" s="2">
        <v>45443</v>
      </c>
      <c r="B297">
        <v>1419.86474609375</v>
      </c>
      <c r="C297">
        <f t="shared" si="14"/>
        <v>3.5586025985227055E-3</v>
      </c>
      <c r="K297">
        <f t="shared" si="12"/>
        <v>1663.599975585938</v>
      </c>
      <c r="L297" s="5">
        <f t="shared" si="13"/>
        <v>-0.14651071956546635</v>
      </c>
    </row>
    <row r="298" spans="1:12" x14ac:dyDescent="0.3">
      <c r="A298" s="2">
        <v>45446</v>
      </c>
      <c r="B298">
        <v>1424.91748046875</v>
      </c>
      <c r="C298">
        <f t="shared" si="14"/>
        <v>7.0231760268460817E-3</v>
      </c>
      <c r="K298">
        <f t="shared" si="12"/>
        <v>1663.599975585938</v>
      </c>
      <c r="L298" s="5">
        <f t="shared" si="13"/>
        <v>-0.14347349039430068</v>
      </c>
    </row>
    <row r="299" spans="1:12" x14ac:dyDescent="0.3">
      <c r="A299" s="2">
        <v>45447</v>
      </c>
      <c r="B299">
        <v>1434.924926757812</v>
      </c>
      <c r="C299">
        <f t="shared" si="14"/>
        <v>2.3520564394183326E-2</v>
      </c>
      <c r="K299">
        <f t="shared" si="12"/>
        <v>1663.599975585938</v>
      </c>
      <c r="L299" s="5">
        <f t="shared" si="13"/>
        <v>-0.13745795394567983</v>
      </c>
    </row>
    <row r="300" spans="1:12" x14ac:dyDescent="0.3">
      <c r="A300" s="2">
        <v>45448</v>
      </c>
      <c r="B300">
        <v>1468.675170898438</v>
      </c>
      <c r="C300">
        <f t="shared" si="14"/>
        <v>-1.3327141750157314E-2</v>
      </c>
      <c r="K300">
        <f t="shared" si="12"/>
        <v>1663.599975585938</v>
      </c>
      <c r="L300" s="5">
        <f t="shared" si="13"/>
        <v>-0.11717047820876858</v>
      </c>
    </row>
    <row r="301" spans="1:12" x14ac:dyDescent="0.3">
      <c r="A301" s="2">
        <v>45449</v>
      </c>
      <c r="B301">
        <v>1449.101928710938</v>
      </c>
      <c r="C301">
        <f t="shared" si="14"/>
        <v>1.3710252755380991E-2</v>
      </c>
      <c r="K301">
        <f t="shared" si="12"/>
        <v>1663.599975585938</v>
      </c>
      <c r="L301" s="5">
        <f t="shared" si="13"/>
        <v>-0.12893607238690385</v>
      </c>
    </row>
    <row r="302" spans="1:12" x14ac:dyDescent="0.3">
      <c r="A302" s="2">
        <v>45450</v>
      </c>
      <c r="B302">
        <v>1468.969482421875</v>
      </c>
      <c r="C302">
        <f t="shared" si="14"/>
        <v>2.471198203592883E-2</v>
      </c>
      <c r="K302">
        <f t="shared" si="12"/>
        <v>1663.599975585938</v>
      </c>
      <c r="L302" s="5">
        <f t="shared" si="13"/>
        <v>-0.11699356577323339</v>
      </c>
    </row>
    <row r="303" spans="1:12" x14ac:dyDescent="0.3">
      <c r="A303" s="2">
        <v>45453</v>
      </c>
      <c r="B303">
        <v>1505.270629882812</v>
      </c>
      <c r="C303">
        <f t="shared" si="14"/>
        <v>-2.6071315009099524E-3</v>
      </c>
      <c r="K303">
        <f t="shared" si="12"/>
        <v>1663.599975585938</v>
      </c>
      <c r="L303" s="5">
        <f t="shared" si="13"/>
        <v>-9.5172726633012017E-2</v>
      </c>
    </row>
    <row r="304" spans="1:12" x14ac:dyDescent="0.3">
      <c r="A304" s="2">
        <v>45454</v>
      </c>
      <c r="B304">
        <v>1501.34619140625</v>
      </c>
      <c r="C304">
        <f t="shared" si="14"/>
        <v>6.9922598761463098E-3</v>
      </c>
      <c r="K304">
        <f t="shared" si="12"/>
        <v>1663.599975585938</v>
      </c>
      <c r="L304" s="5">
        <f t="shared" si="13"/>
        <v>-9.75317303202895E-2</v>
      </c>
    </row>
    <row r="305" spans="1:12" x14ac:dyDescent="0.3">
      <c r="A305" s="2">
        <v>45455</v>
      </c>
      <c r="B305">
        <v>1511.843994140625</v>
      </c>
      <c r="C305">
        <f t="shared" si="14"/>
        <v>2.3362889993122564E-3</v>
      </c>
      <c r="K305">
        <f t="shared" si="12"/>
        <v>1663.599975585938</v>
      </c>
      <c r="L305" s="5">
        <f t="shared" si="13"/>
        <v>-9.1221437648712933E-2</v>
      </c>
    </row>
    <row r="306" spans="1:12" x14ac:dyDescent="0.3">
      <c r="A306" s="2">
        <v>45456</v>
      </c>
      <c r="B306">
        <v>1515.376098632812</v>
      </c>
      <c r="C306">
        <f t="shared" si="14"/>
        <v>1.3078178673189004E-2</v>
      </c>
      <c r="K306">
        <f t="shared" si="12"/>
        <v>1663.599975585938</v>
      </c>
      <c r="L306" s="5">
        <f t="shared" si="13"/>
        <v>-8.9098268290680793E-2</v>
      </c>
    </row>
    <row r="307" spans="1:12" x14ac:dyDescent="0.3">
      <c r="A307" s="2">
        <v>45457</v>
      </c>
      <c r="B307">
        <v>1535.194458007812</v>
      </c>
      <c r="C307">
        <f t="shared" si="14"/>
        <v>6.4228681331325024E-3</v>
      </c>
      <c r="K307">
        <f t="shared" si="12"/>
        <v>1663.599975585938</v>
      </c>
      <c r="L307" s="5">
        <f t="shared" si="13"/>
        <v>-7.7185332689668984E-2</v>
      </c>
    </row>
    <row r="308" spans="1:12" x14ac:dyDescent="0.3">
      <c r="A308" s="2">
        <v>45461</v>
      </c>
      <c r="B308">
        <v>1545.054809570312</v>
      </c>
      <c r="C308">
        <f t="shared" si="14"/>
        <v>-9.5250179563402225E-3</v>
      </c>
      <c r="K308">
        <f t="shared" si="12"/>
        <v>1663.599975585938</v>
      </c>
      <c r="L308" s="5">
        <f t="shared" si="13"/>
        <v>-7.1258215770214295E-2</v>
      </c>
    </row>
    <row r="309" spans="1:12" x14ac:dyDescent="0.3">
      <c r="A309" s="2">
        <v>45462</v>
      </c>
      <c r="B309">
        <v>1530.338134765625</v>
      </c>
      <c r="C309">
        <f t="shared" si="14"/>
        <v>-9.5846298776455681E-3</v>
      </c>
      <c r="K309">
        <f t="shared" si="12"/>
        <v>1663.599975585938</v>
      </c>
      <c r="L309" s="5">
        <f t="shared" si="13"/>
        <v>-8.0104497941806407E-2</v>
      </c>
    </row>
    <row r="310" spans="1:12" x14ac:dyDescent="0.3">
      <c r="A310" s="2">
        <v>45463</v>
      </c>
      <c r="B310">
        <v>1515.67041015625</v>
      </c>
      <c r="C310">
        <f t="shared" si="14"/>
        <v>-2.1361312306045375E-3</v>
      </c>
      <c r="K310">
        <f t="shared" si="12"/>
        <v>1663.599975585938</v>
      </c>
      <c r="L310" s="5">
        <f t="shared" si="13"/>
        <v>-8.8921355855145157E-2</v>
      </c>
    </row>
    <row r="311" spans="1:12" x14ac:dyDescent="0.3">
      <c r="A311" s="2">
        <v>45464</v>
      </c>
      <c r="B311">
        <v>1512.432739257812</v>
      </c>
      <c r="C311">
        <f t="shared" si="14"/>
        <v>-2.4099083047743365E-2</v>
      </c>
      <c r="K311">
        <f t="shared" si="12"/>
        <v>1663.599975585938</v>
      </c>
      <c r="L311" s="5">
        <f t="shared" si="13"/>
        <v>-9.086753940043979E-2</v>
      </c>
    </row>
    <row r="312" spans="1:12" x14ac:dyDescent="0.3">
      <c r="A312" s="2">
        <v>45467</v>
      </c>
      <c r="B312">
        <v>1475.984497070312</v>
      </c>
      <c r="C312">
        <f t="shared" si="14"/>
        <v>-3.1242388616906512E-3</v>
      </c>
      <c r="K312">
        <f t="shared" si="12"/>
        <v>1663.599975585938</v>
      </c>
      <c r="L312" s="5">
        <f t="shared" si="13"/>
        <v>-0.11277679806982788</v>
      </c>
    </row>
    <row r="313" spans="1:12" x14ac:dyDescent="0.3">
      <c r="A313" s="2">
        <v>45468</v>
      </c>
      <c r="B313">
        <v>1471.373168945312</v>
      </c>
      <c r="C313">
        <f t="shared" si="14"/>
        <v>-1.373610578646565E-2</v>
      </c>
      <c r="K313">
        <f t="shared" si="12"/>
        <v>1663.599975585938</v>
      </c>
      <c r="L313" s="5">
        <f t="shared" si="13"/>
        <v>-0.11554869527629175</v>
      </c>
    </row>
    <row r="314" spans="1:12" x14ac:dyDescent="0.3">
      <c r="A314" s="2">
        <v>45469</v>
      </c>
      <c r="B314">
        <v>1451.162231445312</v>
      </c>
      <c r="C314">
        <f t="shared" si="14"/>
        <v>1.217033659628122E-3</v>
      </c>
      <c r="K314">
        <f t="shared" si="12"/>
        <v>1663.599975585938</v>
      </c>
      <c r="L314" s="5">
        <f t="shared" si="13"/>
        <v>-0.12769761196095419</v>
      </c>
    </row>
    <row r="315" spans="1:12" x14ac:dyDescent="0.3">
      <c r="A315" s="2">
        <v>45470</v>
      </c>
      <c r="B315">
        <v>1452.928344726562</v>
      </c>
      <c r="C315">
        <f t="shared" si="14"/>
        <v>-6.7549464229408088E-5</v>
      </c>
      <c r="K315">
        <f t="shared" si="12"/>
        <v>1663.599975585938</v>
      </c>
      <c r="L315" s="5">
        <f t="shared" si="13"/>
        <v>-0.12663599059333663</v>
      </c>
    </row>
    <row r="316" spans="1:12" x14ac:dyDescent="0.3">
      <c r="A316" s="2">
        <v>45471</v>
      </c>
      <c r="B316">
        <v>1452.830200195312</v>
      </c>
      <c r="C316">
        <f t="shared" si="14"/>
        <v>-1.1480823772631967E-3</v>
      </c>
      <c r="K316">
        <f t="shared" si="12"/>
        <v>1663.599975585938</v>
      </c>
      <c r="L316" s="5">
        <f t="shared" si="13"/>
        <v>-0.12669498586424932</v>
      </c>
    </row>
    <row r="317" spans="1:12" x14ac:dyDescent="0.3">
      <c r="A317" s="2">
        <v>45474</v>
      </c>
      <c r="B317">
        <v>1451.162231445312</v>
      </c>
      <c r="C317">
        <f t="shared" si="14"/>
        <v>6.4566377922598934E-3</v>
      </c>
      <c r="K317">
        <f t="shared" si="12"/>
        <v>1663.599975585938</v>
      </c>
      <c r="L317" s="5">
        <f t="shared" si="13"/>
        <v>-0.12769761196095419</v>
      </c>
    </row>
    <row r="318" spans="1:12" x14ac:dyDescent="0.3">
      <c r="A318" s="2">
        <v>45475</v>
      </c>
      <c r="B318">
        <v>1460.531860351562</v>
      </c>
      <c r="C318">
        <f t="shared" si="14"/>
        <v>-3.2915222032314419E-3</v>
      </c>
      <c r="K318">
        <f t="shared" si="12"/>
        <v>1663.599975585938</v>
      </c>
      <c r="L318" s="5">
        <f t="shared" si="13"/>
        <v>-0.12206547139606272</v>
      </c>
    </row>
    <row r="319" spans="1:12" x14ac:dyDescent="0.3">
      <c r="A319" s="2">
        <v>45476</v>
      </c>
      <c r="B319">
        <v>1455.724487304688</v>
      </c>
      <c r="C319">
        <f t="shared" si="14"/>
        <v>-2.0219206317327993E-3</v>
      </c>
      <c r="K319">
        <f t="shared" si="12"/>
        <v>1663.599975585938</v>
      </c>
      <c r="L319" s="5">
        <f t="shared" si="13"/>
        <v>-0.12495521238994611</v>
      </c>
    </row>
    <row r="320" spans="1:12" x14ac:dyDescent="0.3">
      <c r="A320" s="2">
        <v>45477</v>
      </c>
      <c r="B320">
        <v>1452.781127929688</v>
      </c>
      <c r="C320">
        <f t="shared" si="14"/>
        <v>1.9685942145414661E-2</v>
      </c>
      <c r="K320">
        <f t="shared" si="12"/>
        <v>1663.599975585938</v>
      </c>
      <c r="L320" s="5">
        <f t="shared" si="13"/>
        <v>-0.12672448349970511</v>
      </c>
    </row>
    <row r="321" spans="1:12" x14ac:dyDescent="0.3">
      <c r="A321" s="2">
        <v>45478</v>
      </c>
      <c r="B321">
        <v>1481.380493164062</v>
      </c>
      <c r="C321">
        <f t="shared" si="14"/>
        <v>-1.5133325296285837E-2</v>
      </c>
      <c r="K321">
        <f t="shared" si="12"/>
        <v>1663.599975585938</v>
      </c>
      <c r="L321" s="5">
        <f t="shared" si="13"/>
        <v>-0.10953323220487321</v>
      </c>
    </row>
    <row r="322" spans="1:12" x14ac:dyDescent="0.3">
      <c r="A322" s="2">
        <v>45481</v>
      </c>
      <c r="B322">
        <v>1458.962280273438</v>
      </c>
      <c r="C322">
        <f t="shared" si="14"/>
        <v>1.6811750579555817E-2</v>
      </c>
      <c r="K322">
        <f t="shared" ref="K322:K385" si="15">MAX(B322:B1061)</f>
        <v>1663.599975585938</v>
      </c>
      <c r="L322" s="5">
        <f t="shared" ref="L322:L385" si="16">B322/K322-1</f>
        <v>-0.12300895546744905</v>
      </c>
    </row>
    <row r="323" spans="1:12" x14ac:dyDescent="0.3">
      <c r="A323" s="2">
        <v>45482</v>
      </c>
      <c r="B323">
        <v>1483.489990234375</v>
      </c>
      <c r="C323">
        <f t="shared" ref="C323:C386" si="17">(B324-B323)/B323</f>
        <v>7.6048630968299355E-4</v>
      </c>
      <c r="K323">
        <f t="shared" si="15"/>
        <v>1663.599975585938</v>
      </c>
      <c r="L323" s="5">
        <f t="shared" si="16"/>
        <v>-0.10826520076626367</v>
      </c>
    </row>
    <row r="324" spans="1:12" x14ac:dyDescent="0.3">
      <c r="A324" s="2">
        <v>45483</v>
      </c>
      <c r="B324">
        <v>1484.6181640625</v>
      </c>
      <c r="C324">
        <f t="shared" si="17"/>
        <v>-4.7581021266910883E-3</v>
      </c>
      <c r="K324">
        <f t="shared" si="15"/>
        <v>1663.599975585938</v>
      </c>
      <c r="L324" s="5">
        <f t="shared" si="16"/>
        <v>-0.10758704865957858</v>
      </c>
    </row>
    <row r="325" spans="1:12" x14ac:dyDescent="0.3">
      <c r="A325" s="2">
        <v>45484</v>
      </c>
      <c r="B325">
        <v>1477.55419921875</v>
      </c>
      <c r="C325">
        <f t="shared" si="17"/>
        <v>4.0173084809772275E-3</v>
      </c>
      <c r="K325">
        <f t="shared" si="15"/>
        <v>1663.599975585938</v>
      </c>
      <c r="L325" s="5">
        <f t="shared" si="16"/>
        <v>-0.11183324062123801</v>
      </c>
    </row>
    <row r="326" spans="1:12" x14ac:dyDescent="0.3">
      <c r="A326" s="2">
        <v>45485</v>
      </c>
      <c r="B326">
        <v>1483.489990234375</v>
      </c>
      <c r="C326">
        <f t="shared" si="17"/>
        <v>3.4058957849043446E-3</v>
      </c>
      <c r="K326">
        <f t="shared" si="15"/>
        <v>1663.599975585938</v>
      </c>
      <c r="L326" s="5">
        <f t="shared" si="16"/>
        <v>-0.10826520076626367</v>
      </c>
    </row>
    <row r="327" spans="1:12" x14ac:dyDescent="0.3">
      <c r="A327" s="2">
        <v>45488</v>
      </c>
      <c r="B327">
        <v>1488.542602539062</v>
      </c>
      <c r="C327">
        <f t="shared" si="17"/>
        <v>-4.4819065155959972E-3</v>
      </c>
      <c r="K327">
        <f t="shared" si="15"/>
        <v>1663.599975585938</v>
      </c>
      <c r="L327" s="5">
        <f t="shared" si="16"/>
        <v>-0.10522804497230098</v>
      </c>
    </row>
    <row r="328" spans="1:12" x14ac:dyDescent="0.3">
      <c r="A328" s="2">
        <v>45489</v>
      </c>
      <c r="B328">
        <v>1481.87109375</v>
      </c>
      <c r="C328">
        <f t="shared" si="17"/>
        <v>-2.4827241478391614E-3</v>
      </c>
      <c r="K328">
        <f t="shared" si="15"/>
        <v>1663.599975585938</v>
      </c>
      <c r="L328" s="5">
        <f t="shared" si="16"/>
        <v>-0.1092383292275122</v>
      </c>
    </row>
    <row r="329" spans="1:12" x14ac:dyDescent="0.3">
      <c r="A329" s="2">
        <v>45491</v>
      </c>
      <c r="B329">
        <v>1478.192016601562</v>
      </c>
      <c r="C329">
        <f t="shared" si="17"/>
        <v>-1.4037831430904859E-2</v>
      </c>
      <c r="K329">
        <f t="shared" si="15"/>
        <v>1663.599975585938</v>
      </c>
      <c r="L329" s="5">
        <f t="shared" si="16"/>
        <v>-0.11144984473750863</v>
      </c>
    </row>
    <row r="330" spans="1:12" x14ac:dyDescent="0.3">
      <c r="A330" s="2">
        <v>45492</v>
      </c>
      <c r="B330">
        <v>1457.44140625</v>
      </c>
      <c r="C330">
        <f t="shared" si="17"/>
        <v>3.0292243470339889E-3</v>
      </c>
      <c r="K330">
        <f t="shared" si="15"/>
        <v>1663.599975585938</v>
      </c>
      <c r="L330" s="5">
        <f t="shared" si="16"/>
        <v>-0.12392316203498777</v>
      </c>
    </row>
    <row r="331" spans="1:12" x14ac:dyDescent="0.3">
      <c r="A331" s="2">
        <v>45495</v>
      </c>
      <c r="B331">
        <v>1461.856323242188</v>
      </c>
      <c r="C331">
        <f t="shared" si="17"/>
        <v>5.3020631158859442E-3</v>
      </c>
      <c r="K331">
        <f t="shared" si="15"/>
        <v>1663.599975585938</v>
      </c>
      <c r="L331" s="5">
        <f t="shared" si="16"/>
        <v>-0.1212693287475517</v>
      </c>
    </row>
    <row r="332" spans="1:12" x14ac:dyDescent="0.3">
      <c r="A332" s="2">
        <v>45496</v>
      </c>
      <c r="B332">
        <v>1469.607177734375</v>
      </c>
      <c r="C332">
        <f t="shared" si="17"/>
        <v>3.7385927195750391E-3</v>
      </c>
      <c r="K332">
        <f t="shared" si="15"/>
        <v>1663.599975585938</v>
      </c>
      <c r="L332" s="5">
        <f t="shared" si="16"/>
        <v>-0.11661024326670633</v>
      </c>
    </row>
    <row r="333" spans="1:12" x14ac:dyDescent="0.3">
      <c r="A333" s="2">
        <v>45497</v>
      </c>
      <c r="B333">
        <v>1475.101440429688</v>
      </c>
      <c r="C333">
        <f t="shared" si="17"/>
        <v>-2.2945985491099777E-3</v>
      </c>
      <c r="K333">
        <f t="shared" si="15"/>
        <v>1663.599975585938</v>
      </c>
      <c r="L333" s="5">
        <f t="shared" si="16"/>
        <v>-0.1133076087536361</v>
      </c>
    </row>
    <row r="334" spans="1:12" x14ac:dyDescent="0.3">
      <c r="A334" s="2">
        <v>45498</v>
      </c>
      <c r="B334">
        <v>1471.716674804688</v>
      </c>
      <c r="C334">
        <f t="shared" si="17"/>
        <v>4.9964985120230974E-2</v>
      </c>
      <c r="K334">
        <f t="shared" si="15"/>
        <v>1663.599975585938</v>
      </c>
      <c r="L334" s="5">
        <f t="shared" si="16"/>
        <v>-0.1153422118280969</v>
      </c>
    </row>
    <row r="335" spans="1:12" x14ac:dyDescent="0.3">
      <c r="A335" s="2">
        <v>45499</v>
      </c>
      <c r="B335">
        <v>1545.2509765625</v>
      </c>
      <c r="C335">
        <f t="shared" si="17"/>
        <v>-1.3365199701454241E-2</v>
      </c>
      <c r="K335">
        <f t="shared" si="15"/>
        <v>1663.599975585938</v>
      </c>
      <c r="L335" s="5">
        <f t="shared" si="16"/>
        <v>-7.1140298605591235E-2</v>
      </c>
    </row>
    <row r="336" spans="1:12" x14ac:dyDescent="0.3">
      <c r="A336" s="2">
        <v>45502</v>
      </c>
      <c r="B336">
        <v>1524.598388671875</v>
      </c>
      <c r="C336">
        <f t="shared" si="17"/>
        <v>-1.6120087977830995E-2</v>
      </c>
      <c r="K336">
        <f t="shared" si="15"/>
        <v>1663.599975585938</v>
      </c>
      <c r="L336" s="5">
        <f t="shared" si="16"/>
        <v>-8.3554694009360664E-2</v>
      </c>
    </row>
    <row r="337" spans="1:12" x14ac:dyDescent="0.3">
      <c r="A337" s="2">
        <v>45503</v>
      </c>
      <c r="B337">
        <v>1500.021728515625</v>
      </c>
      <c r="C337">
        <f t="shared" si="17"/>
        <v>1.0072607997703159E-2</v>
      </c>
      <c r="K337">
        <f t="shared" si="15"/>
        <v>1663.599975585938</v>
      </c>
      <c r="L337" s="5">
        <f t="shared" si="16"/>
        <v>-9.8327872968800079E-2</v>
      </c>
    </row>
    <row r="338" spans="1:12" x14ac:dyDescent="0.3">
      <c r="A338" s="2">
        <v>45504</v>
      </c>
      <c r="B338">
        <v>1515.130859375</v>
      </c>
      <c r="C338">
        <f t="shared" si="17"/>
        <v>1.2302657954204141E-3</v>
      </c>
      <c r="K338">
        <f t="shared" si="15"/>
        <v>1663.599975585938</v>
      </c>
      <c r="L338" s="5">
        <f t="shared" si="16"/>
        <v>-8.9245683090759531E-2</v>
      </c>
    </row>
    <row r="339" spans="1:12" x14ac:dyDescent="0.3">
      <c r="A339" s="2">
        <v>45505</v>
      </c>
      <c r="B339">
        <v>1516.994873046875</v>
      </c>
      <c r="C339">
        <f t="shared" si="17"/>
        <v>-2.8697483637128455E-3</v>
      </c>
      <c r="K339">
        <f t="shared" si="15"/>
        <v>1663.599975585938</v>
      </c>
      <c r="L339" s="5">
        <f t="shared" si="16"/>
        <v>-8.8125213206634689E-2</v>
      </c>
    </row>
    <row r="340" spans="1:12" x14ac:dyDescent="0.3">
      <c r="A340" s="2">
        <v>45506</v>
      </c>
      <c r="B340">
        <v>1512.641479492188</v>
      </c>
      <c r="C340">
        <f t="shared" si="17"/>
        <v>-8.9940256911989376E-3</v>
      </c>
      <c r="K340">
        <f t="shared" si="15"/>
        <v>1663.599975585938</v>
      </c>
      <c r="L340" s="5">
        <f t="shared" si="16"/>
        <v>-9.0742064383945942E-2</v>
      </c>
    </row>
    <row r="341" spans="1:12" x14ac:dyDescent="0.3">
      <c r="A341" s="2">
        <v>45509</v>
      </c>
      <c r="B341">
        <v>1499.036743164062</v>
      </c>
      <c r="C341">
        <f t="shared" si="17"/>
        <v>1.1121725385336567E-2</v>
      </c>
      <c r="K341">
        <f t="shared" si="15"/>
        <v>1663.599975585938</v>
      </c>
      <c r="L341" s="5">
        <f t="shared" si="16"/>
        <v>-9.8919953616803169E-2</v>
      </c>
    </row>
    <row r="342" spans="1:12" x14ac:dyDescent="0.3">
      <c r="A342" s="2">
        <v>45510</v>
      </c>
      <c r="B342">
        <v>1515.708618164062</v>
      </c>
      <c r="C342">
        <f t="shared" si="17"/>
        <v>1.413283819312512E-2</v>
      </c>
      <c r="K342">
        <f t="shared" si="15"/>
        <v>1663.599975585938</v>
      </c>
      <c r="L342" s="5">
        <f t="shared" si="16"/>
        <v>-8.8898388790722982E-2</v>
      </c>
    </row>
    <row r="343" spans="1:12" x14ac:dyDescent="0.3">
      <c r="A343" s="2">
        <v>45511</v>
      </c>
      <c r="B343">
        <v>1537.1298828125</v>
      </c>
      <c r="C343">
        <f t="shared" si="17"/>
        <v>1.0556402995893955E-2</v>
      </c>
      <c r="K343">
        <f t="shared" si="15"/>
        <v>1663.599975585938</v>
      </c>
      <c r="L343" s="5">
        <f t="shared" si="16"/>
        <v>-7.6021937142006668E-2</v>
      </c>
    </row>
    <row r="344" spans="1:12" x14ac:dyDescent="0.3">
      <c r="A344" s="2">
        <v>45512</v>
      </c>
      <c r="B344">
        <v>1553.3564453125</v>
      </c>
      <c r="C344">
        <f t="shared" si="17"/>
        <v>3.0574229066719812E-3</v>
      </c>
      <c r="K344">
        <f t="shared" si="15"/>
        <v>1663.599975585938</v>
      </c>
      <c r="L344" s="5">
        <f t="shared" si="16"/>
        <v>-6.6268052351112217E-2</v>
      </c>
    </row>
    <row r="345" spans="1:12" x14ac:dyDescent="0.3">
      <c r="A345" s="2">
        <v>45513</v>
      </c>
      <c r="B345">
        <v>1558.105712890625</v>
      </c>
      <c r="C345">
        <f t="shared" si="17"/>
        <v>7.3028036191159895E-3</v>
      </c>
      <c r="K345">
        <f t="shared" si="15"/>
        <v>1663.599975585938</v>
      </c>
      <c r="L345" s="5">
        <f t="shared" si="16"/>
        <v>-6.341323890567907E-2</v>
      </c>
    </row>
    <row r="346" spans="1:12" x14ac:dyDescent="0.3">
      <c r="A346" s="2">
        <v>45516</v>
      </c>
      <c r="B346">
        <v>1569.484252929688</v>
      </c>
      <c r="C346">
        <f t="shared" si="17"/>
        <v>-1.7652345395173055E-3</v>
      </c>
      <c r="K346">
        <f t="shared" si="15"/>
        <v>1663.599975585938</v>
      </c>
      <c r="L346" s="5">
        <f t="shared" si="16"/>
        <v>-5.6573529717143356E-2</v>
      </c>
    </row>
    <row r="347" spans="1:12" x14ac:dyDescent="0.3">
      <c r="A347" s="2">
        <v>45517</v>
      </c>
      <c r="B347">
        <v>1566.713745117188</v>
      </c>
      <c r="C347">
        <f t="shared" si="17"/>
        <v>-1.2409580756396378E-2</v>
      </c>
      <c r="K347">
        <f t="shared" si="15"/>
        <v>1663.599975585938</v>
      </c>
      <c r="L347" s="5">
        <f t="shared" si="16"/>
        <v>-5.823889870798149E-2</v>
      </c>
    </row>
    <row r="348" spans="1:12" x14ac:dyDescent="0.3">
      <c r="A348" s="2">
        <v>45518</v>
      </c>
      <c r="B348">
        <v>1547.271484375</v>
      </c>
      <c r="C348">
        <f t="shared" si="17"/>
        <v>7.8654082350104702E-3</v>
      </c>
      <c r="K348">
        <f t="shared" si="15"/>
        <v>1663.599975585938</v>
      </c>
      <c r="L348" s="5">
        <f t="shared" si="16"/>
        <v>-6.9925759147697608E-2</v>
      </c>
    </row>
    <row r="349" spans="1:12" x14ac:dyDescent="0.3">
      <c r="A349" s="2">
        <v>45520</v>
      </c>
      <c r="B349">
        <v>1559.44140625</v>
      </c>
      <c r="C349">
        <f t="shared" si="17"/>
        <v>-3.8066703071291155E-4</v>
      </c>
      <c r="K349">
        <f t="shared" si="15"/>
        <v>1663.599975585938</v>
      </c>
      <c r="L349" s="5">
        <f t="shared" si="16"/>
        <v>-6.2610345554526825E-2</v>
      </c>
    </row>
    <row r="350" spans="1:12" x14ac:dyDescent="0.3">
      <c r="A350" s="2">
        <v>45523</v>
      </c>
      <c r="B350">
        <v>1558.847778320312</v>
      </c>
      <c r="C350">
        <f t="shared" si="17"/>
        <v>-8.0291581549088303E-3</v>
      </c>
      <c r="K350">
        <f t="shared" si="15"/>
        <v>1663.599975585938</v>
      </c>
      <c r="L350" s="5">
        <f t="shared" si="16"/>
        <v>-6.2967178890905529E-2</v>
      </c>
    </row>
    <row r="351" spans="1:12" x14ac:dyDescent="0.3">
      <c r="A351" s="2">
        <v>45524</v>
      </c>
      <c r="B351">
        <v>1546.33154296875</v>
      </c>
      <c r="C351">
        <f t="shared" si="17"/>
        <v>2.0315454893086154E-2</v>
      </c>
      <c r="K351">
        <f t="shared" si="15"/>
        <v>1663.599975585938</v>
      </c>
      <c r="L351" s="5">
        <f t="shared" si="16"/>
        <v>-7.049076360793094E-2</v>
      </c>
    </row>
    <row r="352" spans="1:12" x14ac:dyDescent="0.3">
      <c r="A352" s="2">
        <v>45525</v>
      </c>
      <c r="B352">
        <v>1577.745971679688</v>
      </c>
      <c r="C352">
        <f t="shared" si="17"/>
        <v>-5.5185748124068866E-3</v>
      </c>
      <c r="K352">
        <f t="shared" si="15"/>
        <v>1663.599975585938</v>
      </c>
      <c r="L352" s="5">
        <f t="shared" si="16"/>
        <v>-5.1607360643300848E-2</v>
      </c>
    </row>
    <row r="353" spans="1:12" x14ac:dyDescent="0.3">
      <c r="A353" s="2">
        <v>45526</v>
      </c>
      <c r="B353">
        <v>1569.0390625</v>
      </c>
      <c r="C353">
        <f t="shared" si="17"/>
        <v>-7.0942169520556474E-3</v>
      </c>
      <c r="K353">
        <f t="shared" si="15"/>
        <v>1663.599975585938</v>
      </c>
      <c r="L353" s="5">
        <f t="shared" si="16"/>
        <v>-5.6841136375126777E-2</v>
      </c>
    </row>
    <row r="354" spans="1:12" x14ac:dyDescent="0.3">
      <c r="A354" s="2">
        <v>45527</v>
      </c>
      <c r="B354">
        <v>1557.907958984375</v>
      </c>
      <c r="C354">
        <f t="shared" si="17"/>
        <v>1.2320897462558322E-2</v>
      </c>
      <c r="K354">
        <f t="shared" si="15"/>
        <v>1663.599975585938</v>
      </c>
      <c r="L354" s="5">
        <f t="shared" si="16"/>
        <v>-6.3532109973935991E-2</v>
      </c>
    </row>
    <row r="355" spans="1:12" x14ac:dyDescent="0.3">
      <c r="A355" s="2">
        <v>45530</v>
      </c>
      <c r="B355">
        <v>1577.102783203125</v>
      </c>
      <c r="C355">
        <f t="shared" si="17"/>
        <v>2.5722880832621414E-3</v>
      </c>
      <c r="K355">
        <f t="shared" si="15"/>
        <v>1663.599975585938</v>
      </c>
      <c r="L355" s="5">
        <f t="shared" si="16"/>
        <v>-5.1993985123946485E-2</v>
      </c>
    </row>
    <row r="356" spans="1:12" x14ac:dyDescent="0.3">
      <c r="A356" s="2">
        <v>45531</v>
      </c>
      <c r="B356">
        <v>1581.159545898438</v>
      </c>
      <c r="C356">
        <f t="shared" si="17"/>
        <v>1.2609030948302319E-2</v>
      </c>
      <c r="K356">
        <f t="shared" si="15"/>
        <v>1663.599975585938</v>
      </c>
      <c r="L356" s="5">
        <f t="shared" si="16"/>
        <v>-4.9555440549019947E-2</v>
      </c>
    </row>
    <row r="357" spans="1:12" x14ac:dyDescent="0.3">
      <c r="A357" s="2">
        <v>45532</v>
      </c>
      <c r="B357">
        <v>1601.096435546875</v>
      </c>
      <c r="C357">
        <f t="shared" si="17"/>
        <v>2.1637394174615752E-4</v>
      </c>
      <c r="K357">
        <f t="shared" si="15"/>
        <v>1663.599975585938</v>
      </c>
      <c r="L357" s="5">
        <f t="shared" si="16"/>
        <v>-3.757125568425701E-2</v>
      </c>
    </row>
    <row r="358" spans="1:12" x14ac:dyDescent="0.3">
      <c r="A358" s="2">
        <v>45533</v>
      </c>
      <c r="B358">
        <v>1601.44287109375</v>
      </c>
      <c r="C358">
        <f t="shared" si="17"/>
        <v>2.2458384848868286E-2</v>
      </c>
      <c r="K358">
        <f t="shared" si="15"/>
        <v>1663.599975585938</v>
      </c>
      <c r="L358" s="5">
        <f t="shared" si="16"/>
        <v>-3.7363011183199624E-2</v>
      </c>
    </row>
    <row r="359" spans="1:12" x14ac:dyDescent="0.3">
      <c r="A359" s="2">
        <v>45534</v>
      </c>
      <c r="B359">
        <v>1637.40869140625</v>
      </c>
      <c r="C359">
        <f t="shared" si="17"/>
        <v>-4.9852195360368676E-3</v>
      </c>
      <c r="K359">
        <f t="shared" si="15"/>
        <v>1663.599975585938</v>
      </c>
      <c r="L359" s="5">
        <f t="shared" si="16"/>
        <v>-1.5743739218596176E-2</v>
      </c>
    </row>
    <row r="360" spans="1:12" x14ac:dyDescent="0.3">
      <c r="A360" s="2">
        <v>45537</v>
      </c>
      <c r="B360">
        <v>1629.245849609375</v>
      </c>
      <c r="C360">
        <f t="shared" si="17"/>
        <v>3.9777378547128442E-3</v>
      </c>
      <c r="K360">
        <f t="shared" si="15"/>
        <v>1663.599975585938</v>
      </c>
      <c r="L360" s="5">
        <f t="shared" si="16"/>
        <v>-2.0650472758310223E-2</v>
      </c>
    </row>
    <row r="361" spans="1:12" x14ac:dyDescent="0.3">
      <c r="A361" s="2">
        <v>45538</v>
      </c>
      <c r="B361">
        <v>1635.7265625</v>
      </c>
      <c r="C361">
        <f t="shared" si="17"/>
        <v>-7.8635079499239061E-4</v>
      </c>
      <c r="K361">
        <f t="shared" si="15"/>
        <v>1663.599975585938</v>
      </c>
      <c r="L361" s="5">
        <f t="shared" si="16"/>
        <v>-1.6754877070805807E-2</v>
      </c>
    </row>
    <row r="362" spans="1:12" x14ac:dyDescent="0.3">
      <c r="A362" s="2">
        <v>45539</v>
      </c>
      <c r="B362">
        <v>1634.440307617188</v>
      </c>
      <c r="C362">
        <f t="shared" si="17"/>
        <v>-1.4619546079025388E-2</v>
      </c>
      <c r="K362">
        <f t="shared" si="15"/>
        <v>1663.599975585938</v>
      </c>
      <c r="L362" s="5">
        <f t="shared" si="16"/>
        <v>-1.7528052654893544E-2</v>
      </c>
    </row>
    <row r="363" spans="1:12" x14ac:dyDescent="0.3">
      <c r="A363" s="2">
        <v>45540</v>
      </c>
      <c r="B363">
        <v>1610.545532226562</v>
      </c>
      <c r="C363">
        <f t="shared" si="17"/>
        <v>-1.0259528320914047E-2</v>
      </c>
      <c r="K363">
        <f t="shared" si="15"/>
        <v>1663.599975585938</v>
      </c>
      <c r="L363" s="5">
        <f t="shared" si="16"/>
        <v>-3.1891346560455225E-2</v>
      </c>
    </row>
    <row r="364" spans="1:12" x14ac:dyDescent="0.3">
      <c r="A364" s="2">
        <v>45541</v>
      </c>
      <c r="B364">
        <v>1594.022094726562</v>
      </c>
      <c r="C364">
        <f t="shared" si="17"/>
        <v>5.6484688697068909E-3</v>
      </c>
      <c r="K364">
        <f t="shared" si="15"/>
        <v>1663.599975585938</v>
      </c>
      <c r="L364" s="5">
        <f t="shared" si="16"/>
        <v>-4.182368470814013E-2</v>
      </c>
    </row>
    <row r="365" spans="1:12" x14ac:dyDescent="0.3">
      <c r="A365" s="2">
        <v>45544</v>
      </c>
      <c r="B365">
        <v>1603.02587890625</v>
      </c>
      <c r="C365">
        <f t="shared" si="17"/>
        <v>7.3141248682222579E-3</v>
      </c>
      <c r="K365">
        <f t="shared" si="15"/>
        <v>1663.599975585938</v>
      </c>
      <c r="L365" s="5">
        <f t="shared" si="16"/>
        <v>-3.6411455619523636E-2</v>
      </c>
    </row>
    <row r="366" spans="1:12" x14ac:dyDescent="0.3">
      <c r="A366" s="2">
        <v>45545</v>
      </c>
      <c r="B366">
        <v>1614.750610351562</v>
      </c>
      <c r="C366">
        <f t="shared" si="17"/>
        <v>-2.2365374393794246E-3</v>
      </c>
      <c r="K366">
        <f t="shared" si="15"/>
        <v>1663.599975585938</v>
      </c>
      <c r="L366" s="5">
        <f t="shared" si="16"/>
        <v>-2.9363648684336274E-2</v>
      </c>
    </row>
    <row r="367" spans="1:12" x14ac:dyDescent="0.3">
      <c r="A367" s="2">
        <v>45546</v>
      </c>
      <c r="B367">
        <v>1611.13916015625</v>
      </c>
      <c r="C367">
        <f t="shared" si="17"/>
        <v>1.7748066212613701E-2</v>
      </c>
      <c r="K367">
        <f t="shared" si="15"/>
        <v>1663.599975585938</v>
      </c>
      <c r="L367" s="5">
        <f t="shared" si="16"/>
        <v>-3.153451322407641E-2</v>
      </c>
    </row>
    <row r="368" spans="1:12" x14ac:dyDescent="0.3">
      <c r="A368" s="2">
        <v>45547</v>
      </c>
      <c r="B368">
        <v>1639.733764648438</v>
      </c>
      <c r="C368">
        <f t="shared" si="17"/>
        <v>1.4783328354184475E-3</v>
      </c>
      <c r="K368">
        <f t="shared" si="15"/>
        <v>1663.599975585938</v>
      </c>
      <c r="L368" s="5">
        <f t="shared" si="16"/>
        <v>-1.4346123640146202E-2</v>
      </c>
    </row>
    <row r="369" spans="1:12" x14ac:dyDescent="0.3">
      <c r="A369" s="2">
        <v>45548</v>
      </c>
      <c r="B369">
        <v>1642.157836914062</v>
      </c>
      <c r="C369">
        <f t="shared" si="17"/>
        <v>-1.8070913953356789E-4</v>
      </c>
      <c r="K369">
        <f t="shared" si="15"/>
        <v>1663.599975585938</v>
      </c>
      <c r="L369" s="5">
        <f t="shared" si="16"/>
        <v>-1.2888999150365898E-2</v>
      </c>
    </row>
    <row r="370" spans="1:12" x14ac:dyDescent="0.3">
      <c r="A370" s="2">
        <v>45551</v>
      </c>
      <c r="B370">
        <v>1641.861083984375</v>
      </c>
      <c r="C370">
        <f t="shared" si="17"/>
        <v>7.472569401951794E-3</v>
      </c>
      <c r="K370">
        <f t="shared" si="15"/>
        <v>1663.599975585938</v>
      </c>
      <c r="L370" s="5">
        <f t="shared" si="16"/>
        <v>-1.3067379129953594E-2</v>
      </c>
    </row>
    <row r="371" spans="1:12" x14ac:dyDescent="0.3">
      <c r="A371" s="2">
        <v>45552</v>
      </c>
      <c r="B371">
        <v>1654.130004882812</v>
      </c>
      <c r="C371">
        <f t="shared" si="17"/>
        <v>-1.2082830374049138E-2</v>
      </c>
      <c r="K371">
        <f t="shared" si="15"/>
        <v>1663.599975585938</v>
      </c>
      <c r="L371" s="5">
        <f t="shared" si="16"/>
        <v>-5.6924566254519249E-3</v>
      </c>
    </row>
    <row r="372" spans="1:12" x14ac:dyDescent="0.3">
      <c r="A372" s="2">
        <v>45553</v>
      </c>
      <c r="B372">
        <v>1634.143432617188</v>
      </c>
      <c r="C372">
        <f t="shared" si="17"/>
        <v>-8.416061578992818E-3</v>
      </c>
      <c r="K372">
        <f t="shared" si="15"/>
        <v>1663.599975585938</v>
      </c>
      <c r="L372" s="5">
        <f t="shared" si="16"/>
        <v>-1.7706506011684109E-2</v>
      </c>
    </row>
    <row r="373" spans="1:12" x14ac:dyDescent="0.3">
      <c r="A373" s="2">
        <v>45554</v>
      </c>
      <c r="B373">
        <v>1620.390380859375</v>
      </c>
      <c r="C373">
        <f t="shared" si="17"/>
        <v>5.8014629540345183E-4</v>
      </c>
      <c r="K373">
        <f t="shared" si="15"/>
        <v>1663.599975585938</v>
      </c>
      <c r="L373" s="5">
        <f t="shared" si="16"/>
        <v>-2.597354854573386E-2</v>
      </c>
    </row>
    <row r="374" spans="1:12" x14ac:dyDescent="0.3">
      <c r="A374" s="2">
        <v>45555</v>
      </c>
      <c r="B374">
        <v>1621.330444335938</v>
      </c>
      <c r="C374">
        <f t="shared" si="17"/>
        <v>1.1899994420995024E-2</v>
      </c>
      <c r="K374">
        <f t="shared" si="15"/>
        <v>1663.599975585938</v>
      </c>
      <c r="L374" s="5">
        <f t="shared" si="16"/>
        <v>-2.5408470708297659E-2</v>
      </c>
    </row>
    <row r="375" spans="1:12" x14ac:dyDescent="0.3">
      <c r="A375" s="2">
        <v>45558</v>
      </c>
      <c r="B375">
        <v>1640.624267578125</v>
      </c>
      <c r="C375">
        <f t="shared" si="17"/>
        <v>-1.2423443046179655E-2</v>
      </c>
      <c r="K375">
        <f t="shared" si="15"/>
        <v>1663.599975585938</v>
      </c>
      <c r="L375" s="5">
        <f t="shared" si="16"/>
        <v>-1.3810836946977378E-2</v>
      </c>
    </row>
    <row r="376" spans="1:12" x14ac:dyDescent="0.3">
      <c r="A376" s="2">
        <v>45559</v>
      </c>
      <c r="B376">
        <v>1620.242065429688</v>
      </c>
      <c r="C376">
        <f t="shared" si="17"/>
        <v>3.4502313451876231E-3</v>
      </c>
      <c r="K376">
        <f t="shared" si="15"/>
        <v>1663.599975585938</v>
      </c>
      <c r="L376" s="5">
        <f t="shared" si="16"/>
        <v>-2.6062701846926162E-2</v>
      </c>
    </row>
    <row r="377" spans="1:12" x14ac:dyDescent="0.3">
      <c r="A377" s="2">
        <v>45560</v>
      </c>
      <c r="B377">
        <v>1625.832275390625</v>
      </c>
      <c r="C377">
        <f t="shared" si="17"/>
        <v>-1.3023302818613204E-2</v>
      </c>
      <c r="K377">
        <f t="shared" si="15"/>
        <v>1663.599975585938</v>
      </c>
      <c r="L377" s="5">
        <f t="shared" si="16"/>
        <v>-2.2702392852591124E-2</v>
      </c>
    </row>
    <row r="378" spans="1:12" x14ac:dyDescent="0.3">
      <c r="A378" s="2">
        <v>45561</v>
      </c>
      <c r="B378">
        <v>1604.658569335938</v>
      </c>
      <c r="C378">
        <f t="shared" si="17"/>
        <v>3.1261517844733529E-2</v>
      </c>
      <c r="K378">
        <f t="shared" si="15"/>
        <v>1663.599975585938</v>
      </c>
      <c r="L378" s="5">
        <f t="shared" si="16"/>
        <v>-3.5430035534377957E-2</v>
      </c>
    </row>
    <row r="379" spans="1:12" x14ac:dyDescent="0.3">
      <c r="A379" s="2">
        <v>45562</v>
      </c>
      <c r="B379">
        <v>1654.822631835938</v>
      </c>
      <c r="C379">
        <f t="shared" si="17"/>
        <v>-1.1001521284520921E-2</v>
      </c>
      <c r="K379">
        <f t="shared" si="15"/>
        <v>1663.599975585938</v>
      </c>
      <c r="L379" s="5">
        <f t="shared" si="16"/>
        <v>-5.2761143777418917E-3</v>
      </c>
    </row>
    <row r="380" spans="1:12" x14ac:dyDescent="0.3">
      <c r="A380" s="2">
        <v>45565</v>
      </c>
      <c r="B380">
        <v>1636.617065429688</v>
      </c>
      <c r="C380">
        <f t="shared" si="17"/>
        <v>6.4989866986811043E-3</v>
      </c>
      <c r="K380">
        <f t="shared" si="15"/>
        <v>1663.599975585938</v>
      </c>
      <c r="L380" s="5">
        <f t="shared" si="16"/>
        <v>-1.6219590377636539E-2</v>
      </c>
    </row>
    <row r="381" spans="1:12" x14ac:dyDescent="0.3">
      <c r="A381" s="2">
        <v>45566</v>
      </c>
      <c r="B381">
        <v>1647.25341796875</v>
      </c>
      <c r="C381">
        <f t="shared" si="17"/>
        <v>-4.9853641908064886E-3</v>
      </c>
      <c r="K381">
        <f t="shared" si="15"/>
        <v>1663.599975585938</v>
      </c>
      <c r="L381" s="5">
        <f t="shared" si="16"/>
        <v>-9.82601458107768E-3</v>
      </c>
    </row>
    <row r="382" spans="1:12" x14ac:dyDescent="0.3">
      <c r="A382" s="2">
        <v>45568</v>
      </c>
      <c r="B382">
        <v>1639.041259765625</v>
      </c>
      <c r="C382">
        <f t="shared" si="17"/>
        <v>-2.0071831245430202E-2</v>
      </c>
      <c r="K382">
        <f t="shared" si="15"/>
        <v>1663.599975585938</v>
      </c>
      <c r="L382" s="5">
        <f t="shared" si="16"/>
        <v>-1.4762392510653366E-2</v>
      </c>
    </row>
    <row r="383" spans="1:12" x14ac:dyDescent="0.3">
      <c r="A383" s="2">
        <v>45569</v>
      </c>
      <c r="B383">
        <v>1606.142700195312</v>
      </c>
      <c r="C383">
        <f t="shared" si="17"/>
        <v>8.3161562121067129E-4</v>
      </c>
      <c r="K383">
        <f t="shared" si="15"/>
        <v>1663.599975585938</v>
      </c>
      <c r="L383" s="5">
        <f t="shared" si="16"/>
        <v>-3.4537915504830874E-2</v>
      </c>
    </row>
    <row r="384" spans="1:12" x14ac:dyDescent="0.3">
      <c r="A384" s="2">
        <v>45572</v>
      </c>
      <c r="B384">
        <v>1607.478393554688</v>
      </c>
      <c r="C384">
        <f t="shared" si="17"/>
        <v>9.8789813207506624E-3</v>
      </c>
      <c r="K384">
        <f t="shared" si="15"/>
        <v>1663.599975585938</v>
      </c>
      <c r="L384" s="5">
        <f t="shared" si="16"/>
        <v>-3.3735022153678074E-2</v>
      </c>
    </row>
    <row r="385" spans="1:12" x14ac:dyDescent="0.3">
      <c r="A385" s="2">
        <v>45573</v>
      </c>
      <c r="B385">
        <v>1623.358642578125</v>
      </c>
      <c r="C385">
        <f t="shared" si="17"/>
        <v>2.4257975716758379E-2</v>
      </c>
      <c r="K385">
        <f t="shared" si="15"/>
        <v>1663.599975585938</v>
      </c>
      <c r="L385" s="5">
        <f t="shared" si="16"/>
        <v>-2.4189308486638805E-2</v>
      </c>
    </row>
    <row r="386" spans="1:12" x14ac:dyDescent="0.3">
      <c r="A386" s="2">
        <v>45574</v>
      </c>
      <c r="B386">
        <v>1662.738037109375</v>
      </c>
      <c r="C386">
        <f t="shared" si="17"/>
        <v>-3.665571555999337E-2</v>
      </c>
      <c r="K386">
        <f t="shared" ref="K386:K449" si="18">MAX(B386:B1125)</f>
        <v>1663.599975585938</v>
      </c>
      <c r="L386" s="5">
        <f t="shared" ref="L386:L449" si="19">B386/K386-1</f>
        <v>-5.1811642775445588E-4</v>
      </c>
    </row>
    <row r="387" spans="1:12" x14ac:dyDescent="0.3">
      <c r="A387" s="2">
        <v>45575</v>
      </c>
      <c r="B387">
        <v>1601.789184570312</v>
      </c>
      <c r="C387">
        <f t="shared" ref="C387:C450" si="20">(B388-B387)/B387</f>
        <v>-1.4299881487810478E-2</v>
      </c>
      <c r="K387">
        <f t="shared" si="18"/>
        <v>1663.599975585938</v>
      </c>
      <c r="L387" s="5">
        <f t="shared" si="19"/>
        <v>-3.7154840059345107E-2</v>
      </c>
    </row>
    <row r="388" spans="1:12" x14ac:dyDescent="0.3">
      <c r="A388" s="2">
        <v>45576</v>
      </c>
      <c r="B388">
        <v>1578.8837890625</v>
      </c>
      <c r="C388">
        <f t="shared" si="20"/>
        <v>1.6919463846900345E-3</v>
      </c>
      <c r="K388">
        <f t="shared" si="18"/>
        <v>1663.599975585938</v>
      </c>
      <c r="L388" s="5">
        <f t="shared" si="19"/>
        <v>-5.0923411737608393E-2</v>
      </c>
    </row>
    <row r="389" spans="1:12" x14ac:dyDescent="0.3">
      <c r="A389" s="2">
        <v>45579</v>
      </c>
      <c r="B389">
        <v>1581.55517578125</v>
      </c>
      <c r="C389">
        <f t="shared" si="20"/>
        <v>-1.6703637668742909E-2</v>
      </c>
      <c r="K389">
        <f t="shared" si="18"/>
        <v>1663.599975585938</v>
      </c>
      <c r="L389" s="5">
        <f t="shared" si="19"/>
        <v>-4.9317625035303903E-2</v>
      </c>
    </row>
    <row r="390" spans="1:12" x14ac:dyDescent="0.3">
      <c r="A390" s="2">
        <v>45580</v>
      </c>
      <c r="B390">
        <v>1555.137451171875</v>
      </c>
      <c r="C390">
        <f t="shared" si="20"/>
        <v>-6.076052423897753E-3</v>
      </c>
      <c r="K390">
        <f t="shared" si="18"/>
        <v>1663.599975585938</v>
      </c>
      <c r="L390" s="5">
        <f t="shared" si="19"/>
        <v>-6.5197478964774125E-2</v>
      </c>
    </row>
    <row r="391" spans="1:12" x14ac:dyDescent="0.3">
      <c r="A391" s="2">
        <v>45581</v>
      </c>
      <c r="B391">
        <v>1545.688354492188</v>
      </c>
      <c r="C391">
        <f t="shared" si="20"/>
        <v>-2.2404339692723338E-3</v>
      </c>
      <c r="K391">
        <f t="shared" si="18"/>
        <v>1663.599975585938</v>
      </c>
      <c r="L391" s="5">
        <f t="shared" si="19"/>
        <v>-7.087738808857591E-2</v>
      </c>
    </row>
    <row r="392" spans="1:12" x14ac:dyDescent="0.3">
      <c r="A392" s="2">
        <v>45582</v>
      </c>
      <c r="B392">
        <v>1542.225341796875</v>
      </c>
      <c r="C392">
        <f t="shared" si="20"/>
        <v>-4.4909295697056571E-3</v>
      </c>
      <c r="K392">
        <f t="shared" si="18"/>
        <v>1663.599975585938</v>
      </c>
      <c r="L392" s="5">
        <f t="shared" si="19"/>
        <v>-7.2959025949921319E-2</v>
      </c>
    </row>
    <row r="393" spans="1:12" x14ac:dyDescent="0.3">
      <c r="A393" s="2">
        <v>45583</v>
      </c>
      <c r="B393">
        <v>1535.29931640625</v>
      </c>
      <c r="C393">
        <f t="shared" si="20"/>
        <v>-1.8012475300488853E-2</v>
      </c>
      <c r="K393">
        <f t="shared" si="18"/>
        <v>1663.599975585938</v>
      </c>
      <c r="L393" s="5">
        <f t="shared" si="19"/>
        <v>-7.7122301672611582E-2</v>
      </c>
    </row>
    <row r="394" spans="1:12" x14ac:dyDescent="0.3">
      <c r="A394" s="2">
        <v>45586</v>
      </c>
      <c r="B394">
        <v>1507.644775390625</v>
      </c>
      <c r="C394">
        <f t="shared" si="20"/>
        <v>-8.7941291396892527E-3</v>
      </c>
      <c r="K394">
        <f t="shared" si="18"/>
        <v>1663.599975585938</v>
      </c>
      <c r="L394" s="5">
        <f t="shared" si="19"/>
        <v>-9.37456134191057E-2</v>
      </c>
    </row>
    <row r="395" spans="1:12" x14ac:dyDescent="0.3">
      <c r="A395" s="2">
        <v>45587</v>
      </c>
      <c r="B395">
        <v>1494.386352539062</v>
      </c>
      <c r="C395">
        <f t="shared" si="20"/>
        <v>-1.6386929175781495E-2</v>
      </c>
      <c r="K395">
        <f t="shared" si="18"/>
        <v>1663.599975585938</v>
      </c>
      <c r="L395" s="5">
        <f t="shared" si="19"/>
        <v>-0.10171533152810797</v>
      </c>
    </row>
    <row r="396" spans="1:12" x14ac:dyDescent="0.3">
      <c r="A396" s="2">
        <v>45588</v>
      </c>
      <c r="B396">
        <v>1469.89794921875</v>
      </c>
      <c r="C396">
        <f t="shared" si="20"/>
        <v>4.5100222532192865E-3</v>
      </c>
      <c r="K396">
        <f t="shared" si="18"/>
        <v>1663.599975585938</v>
      </c>
      <c r="L396" s="5">
        <f t="shared" si="19"/>
        <v>-0.11643545877004713</v>
      </c>
    </row>
    <row r="397" spans="1:12" x14ac:dyDescent="0.3">
      <c r="A397" s="2">
        <v>45589</v>
      </c>
      <c r="B397">
        <v>1476.527221679688</v>
      </c>
      <c r="C397">
        <f t="shared" si="20"/>
        <v>-2.2783282437888472E-3</v>
      </c>
      <c r="K397">
        <f t="shared" si="18"/>
        <v>1663.599975585938</v>
      </c>
      <c r="L397" s="5">
        <f t="shared" si="19"/>
        <v>-0.11245056302694456</v>
      </c>
    </row>
    <row r="398" spans="1:12" x14ac:dyDescent="0.3">
      <c r="A398" s="2">
        <v>45590</v>
      </c>
      <c r="B398">
        <v>1473.163208007812</v>
      </c>
      <c r="C398">
        <f t="shared" si="20"/>
        <v>9.5708100485639748E-3</v>
      </c>
      <c r="K398">
        <f t="shared" si="18"/>
        <v>1663.599975585938</v>
      </c>
      <c r="L398" s="5">
        <f t="shared" si="19"/>
        <v>-0.1144726919769592</v>
      </c>
    </row>
    <row r="399" spans="1:12" x14ac:dyDescent="0.3">
      <c r="A399" s="2">
        <v>45593</v>
      </c>
      <c r="B399">
        <v>1487.262573242188</v>
      </c>
      <c r="C399">
        <f t="shared" si="20"/>
        <v>-1.7030932015064747E-2</v>
      </c>
      <c r="K399">
        <f t="shared" si="18"/>
        <v>1663.599975585938</v>
      </c>
      <c r="L399" s="5">
        <f t="shared" si="19"/>
        <v>-0.10599747831905448</v>
      </c>
    </row>
    <row r="400" spans="1:12" x14ac:dyDescent="0.3">
      <c r="A400" s="2">
        <v>45594</v>
      </c>
      <c r="B400">
        <v>1461.93310546875</v>
      </c>
      <c r="C400">
        <f t="shared" si="20"/>
        <v>-4.0133996250550155E-2</v>
      </c>
      <c r="K400">
        <f t="shared" si="18"/>
        <v>1663.599975585938</v>
      </c>
      <c r="L400" s="5">
        <f t="shared" si="19"/>
        <v>-0.12122317448709907</v>
      </c>
    </row>
    <row r="401" spans="1:12" x14ac:dyDescent="0.3">
      <c r="A401" s="2">
        <v>45595</v>
      </c>
      <c r="B401">
        <v>1403.259887695312</v>
      </c>
      <c r="C401">
        <f t="shared" si="20"/>
        <v>9.4130096937890428E-2</v>
      </c>
      <c r="K401">
        <f t="shared" si="18"/>
        <v>1663.599975585938</v>
      </c>
      <c r="L401" s="5">
        <f t="shared" si="19"/>
        <v>-0.15649200030730426</v>
      </c>
    </row>
    <row r="402" spans="1:12" x14ac:dyDescent="0.3">
      <c r="A402" s="2">
        <v>45596</v>
      </c>
      <c r="B402">
        <v>1535.348876953125</v>
      </c>
      <c r="C402">
        <f t="shared" si="20"/>
        <v>5.0265639378265035E-3</v>
      </c>
      <c r="K402">
        <f t="shared" si="18"/>
        <v>1663.599975585938</v>
      </c>
      <c r="L402" s="5">
        <f t="shared" si="19"/>
        <v>-7.709251052834476E-2</v>
      </c>
    </row>
    <row r="403" spans="1:12" x14ac:dyDescent="0.3">
      <c r="A403" s="2">
        <v>45597</v>
      </c>
      <c r="B403">
        <v>1543.06640625</v>
      </c>
      <c r="C403">
        <f t="shared" si="20"/>
        <v>1.6062274539586103E-2</v>
      </c>
      <c r="K403">
        <f t="shared" si="18"/>
        <v>1663.599975585938</v>
      </c>
      <c r="L403" s="5">
        <f t="shared" si="19"/>
        <v>-7.2453457023816559E-2</v>
      </c>
    </row>
    <row r="404" spans="1:12" x14ac:dyDescent="0.3">
      <c r="A404" s="2">
        <v>45600</v>
      </c>
      <c r="B404">
        <v>1567.8515625</v>
      </c>
      <c r="C404">
        <f t="shared" si="20"/>
        <v>1.0475839001420136E-2</v>
      </c>
      <c r="K404">
        <f t="shared" si="18"/>
        <v>1663.599975585938</v>
      </c>
      <c r="L404" s="5">
        <f t="shared" si="19"/>
        <v>-5.7554949802289035E-2</v>
      </c>
    </row>
    <row r="405" spans="1:12" x14ac:dyDescent="0.3">
      <c r="A405" s="2">
        <v>45601</v>
      </c>
      <c r="B405">
        <v>1584.276123046875</v>
      </c>
      <c r="C405">
        <f t="shared" si="20"/>
        <v>-4.465345855688088E-3</v>
      </c>
      <c r="K405">
        <f t="shared" si="18"/>
        <v>1663.599975585938</v>
      </c>
      <c r="L405" s="5">
        <f t="shared" si="19"/>
        <v>-4.7682047188732479E-2</v>
      </c>
    </row>
    <row r="406" spans="1:12" x14ac:dyDescent="0.3">
      <c r="A406" s="2">
        <v>45602</v>
      </c>
      <c r="B406">
        <v>1577.201782226562</v>
      </c>
      <c r="C406">
        <f t="shared" si="20"/>
        <v>-1.1229264149501778E-2</v>
      </c>
      <c r="K406">
        <f t="shared" si="18"/>
        <v>1663.599975585938</v>
      </c>
      <c r="L406" s="5">
        <f t="shared" si="19"/>
        <v>-5.193447621261571E-2</v>
      </c>
    </row>
    <row r="407" spans="1:12" x14ac:dyDescent="0.3">
      <c r="A407" s="2">
        <v>45603</v>
      </c>
      <c r="B407">
        <v>1559.490966796875</v>
      </c>
      <c r="C407">
        <f t="shared" si="20"/>
        <v>1.0436817777986513E-2</v>
      </c>
      <c r="K407">
        <f t="shared" si="18"/>
        <v>1663.599975585938</v>
      </c>
      <c r="L407" s="5">
        <f t="shared" si="19"/>
        <v>-6.2580554410260003E-2</v>
      </c>
    </row>
    <row r="408" spans="1:12" x14ac:dyDescent="0.3">
      <c r="A408" s="2">
        <v>45604</v>
      </c>
      <c r="B408">
        <v>1575.76708984375</v>
      </c>
      <c r="C408">
        <f t="shared" si="20"/>
        <v>-2.4990541251145641E-2</v>
      </c>
      <c r="K408">
        <f t="shared" si="18"/>
        <v>1663.599975585938</v>
      </c>
      <c r="L408" s="5">
        <f t="shared" si="19"/>
        <v>-5.279687847509873E-2</v>
      </c>
    </row>
    <row r="409" spans="1:12" x14ac:dyDescent="0.3">
      <c r="A409" s="2">
        <v>45607</v>
      </c>
      <c r="B409">
        <v>1536.387817382812</v>
      </c>
      <c r="C409">
        <f t="shared" si="20"/>
        <v>-1.7806564056554529E-2</v>
      </c>
      <c r="K409">
        <f t="shared" si="18"/>
        <v>1663.599975585938</v>
      </c>
      <c r="L409" s="5">
        <f t="shared" si="19"/>
        <v>-7.6467997156780654E-2</v>
      </c>
    </row>
    <row r="410" spans="1:12" x14ac:dyDescent="0.3">
      <c r="A410" s="2">
        <v>45608</v>
      </c>
      <c r="B410">
        <v>1509.030029296875</v>
      </c>
      <c r="C410">
        <f t="shared" si="20"/>
        <v>-1.281842204165805E-2</v>
      </c>
      <c r="K410">
        <f t="shared" si="18"/>
        <v>1663.599975585938</v>
      </c>
      <c r="L410" s="5">
        <f t="shared" si="19"/>
        <v>-9.2912928923686522E-2</v>
      </c>
    </row>
    <row r="411" spans="1:12" x14ac:dyDescent="0.3">
      <c r="A411" s="2">
        <v>45609</v>
      </c>
      <c r="B411">
        <v>1489.686645507812</v>
      </c>
      <c r="C411">
        <f t="shared" si="20"/>
        <v>-3.8855205054475943E-3</v>
      </c>
      <c r="K411">
        <f t="shared" si="18"/>
        <v>1663.599975585938</v>
      </c>
      <c r="L411" s="5">
        <f t="shared" si="19"/>
        <v>-0.10454035382927418</v>
      </c>
    </row>
    <row r="412" spans="1:12" x14ac:dyDescent="0.3">
      <c r="A412" s="2">
        <v>45610</v>
      </c>
      <c r="B412">
        <v>1483.8984375</v>
      </c>
      <c r="C412">
        <f t="shared" si="20"/>
        <v>-2.3003849262131219E-2</v>
      </c>
      <c r="K412">
        <f t="shared" si="18"/>
        <v>1663.599975585938</v>
      </c>
      <c r="L412" s="5">
        <f t="shared" si="19"/>
        <v>-0.10801968064627143</v>
      </c>
    </row>
    <row r="413" spans="1:12" x14ac:dyDescent="0.3">
      <c r="A413" s="2">
        <v>45614</v>
      </c>
      <c r="B413">
        <v>1449.763061523438</v>
      </c>
      <c r="C413">
        <f t="shared" si="20"/>
        <v>4.2996822537758319E-3</v>
      </c>
      <c r="K413">
        <f t="shared" si="18"/>
        <v>1663.599975585938</v>
      </c>
      <c r="L413" s="5">
        <f t="shared" si="19"/>
        <v>-0.12853866145747228</v>
      </c>
    </row>
    <row r="414" spans="1:12" x14ac:dyDescent="0.3">
      <c r="A414" s="2">
        <v>45615</v>
      </c>
      <c r="B414">
        <v>1455.99658203125</v>
      </c>
      <c r="C414">
        <f t="shared" si="20"/>
        <v>-4.1113310692143653E-3</v>
      </c>
      <c r="K414">
        <f t="shared" si="18"/>
        <v>1663.599975585938</v>
      </c>
      <c r="L414" s="5">
        <f t="shared" si="19"/>
        <v>-0.12479165460528918</v>
      </c>
    </row>
    <row r="415" spans="1:12" x14ac:dyDescent="0.3">
      <c r="A415" s="2">
        <v>45617</v>
      </c>
      <c r="B415">
        <v>1450.010498046875</v>
      </c>
      <c r="C415">
        <f t="shared" si="20"/>
        <v>1.432951977213289E-2</v>
      </c>
      <c r="K415">
        <f t="shared" si="18"/>
        <v>1663.599975585938</v>
      </c>
      <c r="L415" s="5">
        <f t="shared" si="19"/>
        <v>-0.12838992586774622</v>
      </c>
    </row>
    <row r="416" spans="1:12" x14ac:dyDescent="0.3">
      <c r="A416" s="2">
        <v>45618</v>
      </c>
      <c r="B416">
        <v>1470.788452148438</v>
      </c>
      <c r="C416">
        <f t="shared" si="20"/>
        <v>1.1301801132221824E-2</v>
      </c>
      <c r="K416">
        <f t="shared" si="18"/>
        <v>1663.599975585938</v>
      </c>
      <c r="L416" s="5">
        <f t="shared" si="19"/>
        <v>-0.11590017207687786</v>
      </c>
    </row>
    <row r="417" spans="1:12" x14ac:dyDescent="0.3">
      <c r="A417" s="2">
        <v>45621</v>
      </c>
      <c r="B417">
        <v>1487.411010742188</v>
      </c>
      <c r="C417">
        <f t="shared" si="20"/>
        <v>-7.0512030861883904E-3</v>
      </c>
      <c r="K417">
        <f t="shared" si="18"/>
        <v>1663.599975585938</v>
      </c>
      <c r="L417" s="5">
        <f t="shared" si="19"/>
        <v>-0.1059082516406592</v>
      </c>
    </row>
    <row r="418" spans="1:12" x14ac:dyDescent="0.3">
      <c r="A418" s="2">
        <v>45622</v>
      </c>
      <c r="B418">
        <v>1476.922973632812</v>
      </c>
      <c r="C418">
        <f t="shared" si="20"/>
        <v>-1.0383543104925095E-3</v>
      </c>
      <c r="K418">
        <f t="shared" si="18"/>
        <v>1663.599975585938</v>
      </c>
      <c r="L418" s="5">
        <f t="shared" si="19"/>
        <v>-0.11221267413602609</v>
      </c>
    </row>
    <row r="419" spans="1:12" x14ac:dyDescent="0.3">
      <c r="A419" s="2">
        <v>45623</v>
      </c>
      <c r="B419">
        <v>1475.389404296875</v>
      </c>
      <c r="C419">
        <f t="shared" si="20"/>
        <v>1.072942375680414E-3</v>
      </c>
      <c r="K419">
        <f t="shared" si="18"/>
        <v>1663.599975585938</v>
      </c>
      <c r="L419" s="5">
        <f t="shared" si="19"/>
        <v>-0.11313451193263757</v>
      </c>
    </row>
    <row r="420" spans="1:12" x14ac:dyDescent="0.3">
      <c r="A420" s="2">
        <v>45624</v>
      </c>
      <c r="B420">
        <v>1476.972412109375</v>
      </c>
      <c r="C420">
        <f t="shared" si="20"/>
        <v>2.7566586590792669E-2</v>
      </c>
      <c r="K420">
        <f t="shared" si="18"/>
        <v>1663.599975585938</v>
      </c>
      <c r="L420" s="5">
        <f t="shared" si="19"/>
        <v>-0.11218295636896169</v>
      </c>
    </row>
    <row r="421" spans="1:12" x14ac:dyDescent="0.3">
      <c r="A421" s="2">
        <v>45625</v>
      </c>
      <c r="B421">
        <v>1517.6875</v>
      </c>
      <c r="C421">
        <f t="shared" si="20"/>
        <v>-1.7080654418729153E-2</v>
      </c>
      <c r="K421">
        <f t="shared" si="18"/>
        <v>1663.599975585938</v>
      </c>
      <c r="L421" s="5">
        <f t="shared" si="19"/>
        <v>-8.77088709589251E-2</v>
      </c>
    </row>
    <row r="422" spans="1:12" x14ac:dyDescent="0.3">
      <c r="A422" s="2">
        <v>45628</v>
      </c>
      <c r="B422">
        <v>1491.764404296875</v>
      </c>
      <c r="C422">
        <f t="shared" si="20"/>
        <v>1.7377473030229285E-2</v>
      </c>
      <c r="K422">
        <f t="shared" si="18"/>
        <v>1663.599975585938</v>
      </c>
      <c r="L422" s="5">
        <f t="shared" si="19"/>
        <v>-0.10329140046334795</v>
      </c>
    </row>
    <row r="423" spans="1:12" x14ac:dyDescent="0.3">
      <c r="A423" s="2">
        <v>45629</v>
      </c>
      <c r="B423">
        <v>1517.6875</v>
      </c>
      <c r="C423">
        <f t="shared" si="20"/>
        <v>-2.1546387905118806E-2</v>
      </c>
      <c r="K423">
        <f t="shared" si="18"/>
        <v>1663.599975585938</v>
      </c>
      <c r="L423" s="5">
        <f t="shared" si="19"/>
        <v>-8.77088709589251E-2</v>
      </c>
    </row>
    <row r="424" spans="1:12" x14ac:dyDescent="0.3">
      <c r="A424" s="2">
        <v>45630</v>
      </c>
      <c r="B424">
        <v>1484.98681640625</v>
      </c>
      <c r="C424">
        <f t="shared" si="20"/>
        <v>-1.732345187986662E-3</v>
      </c>
      <c r="K424">
        <f t="shared" si="18"/>
        <v>1663.599975585938</v>
      </c>
      <c r="L424" s="5">
        <f t="shared" si="19"/>
        <v>-0.10736544950764293</v>
      </c>
    </row>
    <row r="425" spans="1:12" x14ac:dyDescent="0.3">
      <c r="A425" s="2">
        <v>45631</v>
      </c>
      <c r="B425">
        <v>1482.414306640625</v>
      </c>
      <c r="C425">
        <f t="shared" si="20"/>
        <v>-1.3916243643536389E-2</v>
      </c>
      <c r="K425">
        <f t="shared" si="18"/>
        <v>1663.599975585938</v>
      </c>
      <c r="L425" s="5">
        <f t="shared" si="19"/>
        <v>-0.10891180067581896</v>
      </c>
    </row>
    <row r="426" spans="1:12" x14ac:dyDescent="0.3">
      <c r="A426" s="2">
        <v>45632</v>
      </c>
      <c r="B426">
        <v>1461.78466796875</v>
      </c>
      <c r="C426">
        <f t="shared" si="20"/>
        <v>-5.6856234770275484E-3</v>
      </c>
      <c r="K426">
        <f t="shared" si="18"/>
        <v>1663.599975585938</v>
      </c>
      <c r="L426" s="5">
        <f t="shared" si="19"/>
        <v>-0.12131240116549435</v>
      </c>
    </row>
    <row r="427" spans="1:12" x14ac:dyDescent="0.3">
      <c r="A427" s="2">
        <v>45635</v>
      </c>
      <c r="B427">
        <v>1453.473510742188</v>
      </c>
      <c r="C427">
        <f t="shared" si="20"/>
        <v>-9.3941683173267582E-3</v>
      </c>
      <c r="K427">
        <f t="shared" si="18"/>
        <v>1663.599975585938</v>
      </c>
      <c r="L427" s="5">
        <f t="shared" si="19"/>
        <v>-0.12630828800640082</v>
      </c>
    </row>
    <row r="428" spans="1:12" x14ac:dyDescent="0.3">
      <c r="A428" s="2">
        <v>45636</v>
      </c>
      <c r="B428">
        <v>1439.8193359375</v>
      </c>
      <c r="C428">
        <f t="shared" si="20"/>
        <v>-7.5591352267910126E-4</v>
      </c>
      <c r="K428">
        <f t="shared" si="18"/>
        <v>1663.599975585938</v>
      </c>
      <c r="L428" s="5">
        <f t="shared" si="19"/>
        <v>-0.13451589500632199</v>
      </c>
    </row>
    <row r="429" spans="1:12" x14ac:dyDescent="0.3">
      <c r="A429" s="2">
        <v>45637</v>
      </c>
      <c r="B429">
        <v>1438.73095703125</v>
      </c>
      <c r="C429">
        <f t="shared" si="20"/>
        <v>-5.9830729188758772E-3</v>
      </c>
      <c r="K429">
        <f t="shared" si="18"/>
        <v>1663.599975585938</v>
      </c>
      <c r="L429" s="5">
        <f t="shared" si="19"/>
        <v>-0.13517012614495061</v>
      </c>
    </row>
    <row r="430" spans="1:12" x14ac:dyDescent="0.3">
      <c r="A430" s="2">
        <v>45638</v>
      </c>
      <c r="B430">
        <v>1430.122924804688</v>
      </c>
      <c r="C430">
        <f t="shared" si="20"/>
        <v>1.3145757264668683E-3</v>
      </c>
      <c r="K430">
        <f t="shared" si="18"/>
        <v>1663.599975585938</v>
      </c>
      <c r="L430" s="5">
        <f t="shared" si="19"/>
        <v>-0.14034446634264752</v>
      </c>
    </row>
    <row r="431" spans="1:12" x14ac:dyDescent="0.3">
      <c r="A431" s="2">
        <v>45639</v>
      </c>
      <c r="B431">
        <v>1432.0029296875</v>
      </c>
      <c r="C431">
        <f t="shared" si="20"/>
        <v>7.9447834142928355E-4</v>
      </c>
      <c r="K431">
        <f t="shared" si="18"/>
        <v>1663.599975585938</v>
      </c>
      <c r="L431" s="5">
        <f t="shared" si="19"/>
        <v>-0.13921438404497866</v>
      </c>
    </row>
    <row r="432" spans="1:12" x14ac:dyDescent="0.3">
      <c r="A432" s="2">
        <v>45642</v>
      </c>
      <c r="B432">
        <v>1433.140625</v>
      </c>
      <c r="C432">
        <f t="shared" si="20"/>
        <v>1.6569440204530139E-3</v>
      </c>
      <c r="K432">
        <f t="shared" si="18"/>
        <v>1663.599975585938</v>
      </c>
      <c r="L432" s="5">
        <f t="shared" si="19"/>
        <v>-0.13853050851648852</v>
      </c>
    </row>
    <row r="433" spans="1:12" x14ac:dyDescent="0.3">
      <c r="A433" s="2">
        <v>45643</v>
      </c>
      <c r="B433">
        <v>1435.515258789062</v>
      </c>
      <c r="C433">
        <f t="shared" si="20"/>
        <v>1.4853388352685664E-2</v>
      </c>
      <c r="K433">
        <f t="shared" si="18"/>
        <v>1663.599975585938</v>
      </c>
      <c r="L433" s="5">
        <f t="shared" si="19"/>
        <v>-0.13710310179377228</v>
      </c>
    </row>
    <row r="434" spans="1:12" x14ac:dyDescent="0.3">
      <c r="A434" s="2">
        <v>45644</v>
      </c>
      <c r="B434">
        <v>1456.837524414062</v>
      </c>
      <c r="C434">
        <f t="shared" si="20"/>
        <v>2.3193432303708617E-2</v>
      </c>
      <c r="K434">
        <f t="shared" si="18"/>
        <v>1663.599975585938</v>
      </c>
      <c r="L434" s="5">
        <f t="shared" si="19"/>
        <v>-0.12428615905638729</v>
      </c>
    </row>
    <row r="435" spans="1:12" x14ac:dyDescent="0.3">
      <c r="A435" s="2">
        <v>45645</v>
      </c>
      <c r="B435">
        <v>1490.626586914062</v>
      </c>
      <c r="C435">
        <f t="shared" si="20"/>
        <v>-2.2899936312633321E-2</v>
      </c>
      <c r="K435">
        <f t="shared" si="18"/>
        <v>1663.599975585938</v>
      </c>
      <c r="L435" s="5">
        <f t="shared" si="19"/>
        <v>-0.10397534936904096</v>
      </c>
    </row>
    <row r="436" spans="1:12" x14ac:dyDescent="0.3">
      <c r="A436" s="2">
        <v>45646</v>
      </c>
      <c r="B436">
        <v>1456.491333007812</v>
      </c>
      <c r="C436">
        <f t="shared" si="20"/>
        <v>2.7172434959774165E-3</v>
      </c>
      <c r="K436">
        <f t="shared" si="18"/>
        <v>1663.599975585938</v>
      </c>
      <c r="L436" s="5">
        <f t="shared" si="19"/>
        <v>-0.12449425680303949</v>
      </c>
    </row>
    <row r="437" spans="1:12" x14ac:dyDescent="0.3">
      <c r="A437" s="2">
        <v>45649</v>
      </c>
      <c r="B437">
        <v>1460.448974609375</v>
      </c>
      <c r="C437">
        <f t="shared" si="20"/>
        <v>-2.0327653013649786E-4</v>
      </c>
      <c r="K437">
        <f t="shared" si="18"/>
        <v>1663.599975585938</v>
      </c>
      <c r="L437" s="5">
        <f t="shared" si="19"/>
        <v>-0.1221152945166466</v>
      </c>
    </row>
    <row r="438" spans="1:12" x14ac:dyDescent="0.3">
      <c r="A438" s="2">
        <v>45650</v>
      </c>
      <c r="B438">
        <v>1460.152099609375</v>
      </c>
      <c r="C438">
        <f t="shared" si="20"/>
        <v>1.0028870801699688E-2</v>
      </c>
      <c r="K438">
        <f t="shared" si="18"/>
        <v>1663.599975585938</v>
      </c>
      <c r="L438" s="5">
        <f t="shared" si="19"/>
        <v>-0.12229374787343716</v>
      </c>
    </row>
    <row r="439" spans="1:12" x14ac:dyDescent="0.3">
      <c r="A439" s="2">
        <v>45652</v>
      </c>
      <c r="B439">
        <v>1474.795776367188</v>
      </c>
      <c r="C439">
        <f t="shared" si="20"/>
        <v>1.0767761393075248E-2</v>
      </c>
      <c r="K439">
        <f t="shared" si="18"/>
        <v>1663.599975585938</v>
      </c>
      <c r="L439" s="5">
        <f t="shared" si="19"/>
        <v>-0.11349134526901583</v>
      </c>
    </row>
    <row r="440" spans="1:12" x14ac:dyDescent="0.3">
      <c r="A440" s="2">
        <v>45653</v>
      </c>
      <c r="B440">
        <v>1490.676025390625</v>
      </c>
      <c r="C440">
        <f t="shared" si="20"/>
        <v>9.8235139684195588E-3</v>
      </c>
      <c r="K440">
        <f t="shared" si="18"/>
        <v>1663.599975585938</v>
      </c>
      <c r="L440" s="5">
        <f t="shared" si="19"/>
        <v>-0.10394563160197645</v>
      </c>
    </row>
    <row r="441" spans="1:12" x14ac:dyDescent="0.3">
      <c r="A441" s="2">
        <v>45656</v>
      </c>
      <c r="B441">
        <v>1505.319702148438</v>
      </c>
      <c r="C441">
        <f t="shared" si="20"/>
        <v>4.9953862356147787E-3</v>
      </c>
      <c r="K441">
        <f t="shared" si="18"/>
        <v>1663.599975585938</v>
      </c>
      <c r="L441" s="5">
        <f t="shared" si="19"/>
        <v>-9.5143228997555118E-2</v>
      </c>
    </row>
    <row r="442" spans="1:12" x14ac:dyDescent="0.3">
      <c r="A442" s="2">
        <v>45657</v>
      </c>
      <c r="B442">
        <v>1512.83935546875</v>
      </c>
      <c r="C442">
        <f t="shared" si="20"/>
        <v>6.53585278354708E-5</v>
      </c>
      <c r="K442">
        <f t="shared" si="18"/>
        <v>1663.599975585938</v>
      </c>
      <c r="L442" s="5">
        <f t="shared" si="19"/>
        <v>-9.0623119938486707E-2</v>
      </c>
    </row>
    <row r="443" spans="1:12" x14ac:dyDescent="0.3">
      <c r="A443" s="2">
        <v>45658</v>
      </c>
      <c r="B443">
        <v>1512.938232421875</v>
      </c>
      <c r="C443">
        <f t="shared" si="20"/>
        <v>5.7550474060411539E-3</v>
      </c>
      <c r="K443">
        <f t="shared" si="18"/>
        <v>1663.599975585938</v>
      </c>
      <c r="L443" s="5">
        <f t="shared" si="19"/>
        <v>-9.0563684404358247E-2</v>
      </c>
    </row>
    <row r="444" spans="1:12" x14ac:dyDescent="0.3">
      <c r="A444" s="2">
        <v>45659</v>
      </c>
      <c r="B444">
        <v>1521.645263671875</v>
      </c>
      <c r="C444">
        <f t="shared" si="20"/>
        <v>-1.7328880017340915E-2</v>
      </c>
      <c r="K444">
        <f t="shared" si="18"/>
        <v>1663.599975585938</v>
      </c>
      <c r="L444" s="5">
        <f t="shared" si="19"/>
        <v>-8.5329835295329892E-2</v>
      </c>
    </row>
    <row r="445" spans="1:12" x14ac:dyDescent="0.3">
      <c r="A445" s="2">
        <v>45660</v>
      </c>
      <c r="B445">
        <v>1495.27685546875</v>
      </c>
      <c r="C445">
        <f t="shared" si="20"/>
        <v>-1.3134782797526195E-2</v>
      </c>
      <c r="K445">
        <f t="shared" si="18"/>
        <v>1663.599975585938</v>
      </c>
      <c r="L445" s="5">
        <f t="shared" si="19"/>
        <v>-0.10118004483493859</v>
      </c>
    </row>
    <row r="446" spans="1:12" x14ac:dyDescent="0.3">
      <c r="A446" s="2">
        <v>45663</v>
      </c>
      <c r="B446">
        <v>1475.63671875</v>
      </c>
      <c r="C446">
        <f t="shared" si="20"/>
        <v>4.0565281671309352E-3</v>
      </c>
      <c r="K446">
        <f t="shared" si="18"/>
        <v>1663.599975585938</v>
      </c>
      <c r="L446" s="5">
        <f t="shared" si="19"/>
        <v>-0.11298584972011394</v>
      </c>
    </row>
    <row r="447" spans="1:12" x14ac:dyDescent="0.3">
      <c r="A447" s="2">
        <v>45664</v>
      </c>
      <c r="B447">
        <v>1481.622680664062</v>
      </c>
      <c r="C447">
        <f t="shared" si="20"/>
        <v>-1.7028284270184204E-3</v>
      </c>
      <c r="K447">
        <f t="shared" si="18"/>
        <v>1663.599975585938</v>
      </c>
      <c r="L447" s="5">
        <f t="shared" si="19"/>
        <v>-0.10938765183485988</v>
      </c>
    </row>
    <row r="448" spans="1:12" x14ac:dyDescent="0.3">
      <c r="A448" s="2">
        <v>45665</v>
      </c>
      <c r="B448">
        <v>1479.099731445312</v>
      </c>
      <c r="C448">
        <f t="shared" si="20"/>
        <v>-4.4819644815020064E-3</v>
      </c>
      <c r="K448">
        <f t="shared" si="18"/>
        <v>1663.599975585938</v>
      </c>
      <c r="L448" s="5">
        <f t="shared" si="19"/>
        <v>-0.11090421185876909</v>
      </c>
    </row>
    <row r="449" spans="1:12" x14ac:dyDescent="0.3">
      <c r="A449" s="2">
        <v>45666</v>
      </c>
      <c r="B449">
        <v>1472.470458984375</v>
      </c>
      <c r="C449">
        <f t="shared" si="20"/>
        <v>-1.3035795795855544E-2</v>
      </c>
      <c r="K449">
        <f t="shared" si="18"/>
        <v>1663.599975585938</v>
      </c>
      <c r="L449" s="5">
        <f t="shared" si="19"/>
        <v>-0.1148891076018711</v>
      </c>
    </row>
    <row r="450" spans="1:12" x14ac:dyDescent="0.3">
      <c r="A450" s="2">
        <v>45667</v>
      </c>
      <c r="B450">
        <v>1453.275634765625</v>
      </c>
      <c r="C450">
        <f t="shared" si="20"/>
        <v>-2.0152564829889419E-2</v>
      </c>
      <c r="K450">
        <f t="shared" ref="K450:K513" si="21">MAX(B450:B1189)</f>
        <v>1663.599975585938</v>
      </c>
      <c r="L450" s="5">
        <f t="shared" ref="L450:L513" si="22">B450/K450-1</f>
        <v>-0.1264272324518606</v>
      </c>
    </row>
    <row r="451" spans="1:12" x14ac:dyDescent="0.3">
      <c r="A451" s="2">
        <v>45670</v>
      </c>
      <c r="B451">
        <v>1423.988403320312</v>
      </c>
      <c r="C451">
        <f t="shared" ref="C451:C514" si="23">(B452-B451)/B451</f>
        <v>5.9408607381565733E-3</v>
      </c>
      <c r="K451">
        <f t="shared" si="21"/>
        <v>1663.599975585938</v>
      </c>
      <c r="L451" s="5">
        <f t="shared" si="22"/>
        <v>-0.1440319642835004</v>
      </c>
    </row>
    <row r="452" spans="1:12" x14ac:dyDescent="0.3">
      <c r="A452" s="2">
        <v>45671</v>
      </c>
      <c r="B452">
        <v>1432.448120117188</v>
      </c>
      <c r="C452">
        <f t="shared" si="23"/>
        <v>-3.7998690199923254E-4</v>
      </c>
      <c r="K452">
        <f t="shared" si="21"/>
        <v>1663.599975585938</v>
      </c>
      <c r="L452" s="5">
        <f t="shared" si="22"/>
        <v>-0.13894677738699523</v>
      </c>
    </row>
    <row r="453" spans="1:12" x14ac:dyDescent="0.3">
      <c r="A453" s="2">
        <v>45672</v>
      </c>
      <c r="B453">
        <v>1431.90380859375</v>
      </c>
      <c r="C453">
        <f t="shared" si="23"/>
        <v>-2.5565729901628142E-3</v>
      </c>
      <c r="K453">
        <f t="shared" si="21"/>
        <v>1663.599975585938</v>
      </c>
      <c r="L453" s="5">
        <f t="shared" si="22"/>
        <v>-0.13927396633351241</v>
      </c>
    </row>
    <row r="454" spans="1:12" x14ac:dyDescent="0.3">
      <c r="A454" s="2">
        <v>45673</v>
      </c>
      <c r="B454">
        <v>1428.243041992188</v>
      </c>
      <c r="C454">
        <f t="shared" si="23"/>
        <v>-8.3127018614413347E-4</v>
      </c>
      <c r="K454">
        <f t="shared" si="21"/>
        <v>1663.599975585938</v>
      </c>
      <c r="L454" s="5">
        <f t="shared" si="22"/>
        <v>-0.14147447526311407</v>
      </c>
    </row>
    <row r="455" spans="1:12" x14ac:dyDescent="0.3">
      <c r="A455" s="2">
        <v>45674</v>
      </c>
      <c r="B455">
        <v>1427.055786132812</v>
      </c>
      <c r="C455">
        <f t="shared" si="23"/>
        <v>2.1839210342880764E-3</v>
      </c>
      <c r="K455">
        <f t="shared" si="21"/>
        <v>1663.599975585938</v>
      </c>
      <c r="L455" s="5">
        <f t="shared" si="22"/>
        <v>-0.14218814193587159</v>
      </c>
    </row>
    <row r="456" spans="1:12" x14ac:dyDescent="0.3">
      <c r="A456" s="2">
        <v>45677</v>
      </c>
      <c r="B456">
        <v>1430.17236328125</v>
      </c>
      <c r="C456">
        <f t="shared" si="23"/>
        <v>-1.2072323149970291E-2</v>
      </c>
      <c r="K456">
        <f t="shared" si="21"/>
        <v>1663.599975585938</v>
      </c>
      <c r="L456" s="5">
        <f t="shared" si="22"/>
        <v>-0.14031474857558368</v>
      </c>
    </row>
    <row r="457" spans="1:12" x14ac:dyDescent="0.3">
      <c r="A457" s="2">
        <v>45678</v>
      </c>
      <c r="B457">
        <v>1412.906860351562</v>
      </c>
      <c r="C457">
        <f t="shared" si="23"/>
        <v>7.9832162558962413E-3</v>
      </c>
      <c r="K457">
        <f t="shared" si="21"/>
        <v>1663.599975585938</v>
      </c>
      <c r="L457" s="5">
        <f t="shared" si="22"/>
        <v>-0.15069314673804268</v>
      </c>
    </row>
    <row r="458" spans="1:12" x14ac:dyDescent="0.3">
      <c r="A458" s="2">
        <v>45679</v>
      </c>
      <c r="B458">
        <v>1424.186401367188</v>
      </c>
      <c r="C458">
        <f t="shared" si="23"/>
        <v>8.1630693922604795E-3</v>
      </c>
      <c r="K458">
        <f t="shared" si="21"/>
        <v>1663.599975585938</v>
      </c>
      <c r="L458" s="5">
        <f t="shared" si="22"/>
        <v>-0.14391294646083774</v>
      </c>
    </row>
    <row r="459" spans="1:12" x14ac:dyDescent="0.3">
      <c r="A459" s="2">
        <v>45680</v>
      </c>
      <c r="B459">
        <v>1435.812133789062</v>
      </c>
      <c r="C459">
        <f t="shared" si="23"/>
        <v>-2.7392047370838078E-2</v>
      </c>
      <c r="K459">
        <f t="shared" si="21"/>
        <v>1663.599975585938</v>
      </c>
      <c r="L459" s="5">
        <f t="shared" si="22"/>
        <v>-0.13692464843698171</v>
      </c>
    </row>
    <row r="460" spans="1:12" x14ac:dyDescent="0.3">
      <c r="A460" s="2">
        <v>45681</v>
      </c>
      <c r="B460">
        <v>1396.482299804688</v>
      </c>
      <c r="C460">
        <f t="shared" si="23"/>
        <v>-1.0840313311654718E-2</v>
      </c>
      <c r="K460">
        <f t="shared" si="21"/>
        <v>1663.599975585938</v>
      </c>
      <c r="L460" s="5">
        <f t="shared" si="22"/>
        <v>-0.16056604935159868</v>
      </c>
    </row>
    <row r="461" spans="1:12" x14ac:dyDescent="0.3">
      <c r="A461" s="2">
        <v>45684</v>
      </c>
      <c r="B461">
        <v>1381.343994140625</v>
      </c>
      <c r="C461">
        <f t="shared" si="23"/>
        <v>1.7548827011736511E-2</v>
      </c>
      <c r="K461">
        <f t="shared" si="21"/>
        <v>1663.599975585938</v>
      </c>
      <c r="L461" s="5">
        <f t="shared" si="22"/>
        <v>-0.16966577638106739</v>
      </c>
    </row>
    <row r="462" spans="1:12" x14ac:dyDescent="0.3">
      <c r="A462" s="2">
        <v>45685</v>
      </c>
      <c r="B462">
        <v>1405.5849609375</v>
      </c>
      <c r="C462">
        <f t="shared" si="23"/>
        <v>2.3581464567615203E-3</v>
      </c>
      <c r="K462">
        <f t="shared" si="21"/>
        <v>1663.599975585938</v>
      </c>
      <c r="L462" s="5">
        <f t="shared" si="22"/>
        <v>-0.15509438472885417</v>
      </c>
    </row>
    <row r="463" spans="1:12" x14ac:dyDescent="0.3">
      <c r="A463" s="2">
        <v>45686</v>
      </c>
      <c r="B463">
        <v>1408.899536132812</v>
      </c>
      <c r="C463">
        <f t="shared" si="23"/>
        <v>2.3526160129720877E-2</v>
      </c>
      <c r="K463">
        <f t="shared" si="21"/>
        <v>1663.599975585938</v>
      </c>
      <c r="L463" s="5">
        <f t="shared" si="22"/>
        <v>-0.15310197354590471</v>
      </c>
    </row>
    <row r="464" spans="1:12" x14ac:dyDescent="0.3">
      <c r="A464" s="2">
        <v>45687</v>
      </c>
      <c r="B464">
        <v>1442.045532226562</v>
      </c>
      <c r="C464">
        <f t="shared" si="23"/>
        <v>1.5060562993869294E-2</v>
      </c>
      <c r="K464">
        <f t="shared" si="21"/>
        <v>1663.599975585938</v>
      </c>
      <c r="L464" s="5">
        <f t="shared" si="22"/>
        <v>-0.13317771496200104</v>
      </c>
    </row>
    <row r="465" spans="1:12" x14ac:dyDescent="0.3">
      <c r="A465" s="2">
        <v>45688</v>
      </c>
      <c r="B465">
        <v>1463.763549804688</v>
      </c>
      <c r="C465">
        <f t="shared" si="23"/>
        <v>-2.6970388413923515E-2</v>
      </c>
      <c r="K465">
        <f t="shared" si="21"/>
        <v>1663.599975585938</v>
      </c>
      <c r="L465" s="5">
        <f t="shared" si="22"/>
        <v>-0.12012288333369647</v>
      </c>
    </row>
    <row r="466" spans="1:12" x14ac:dyDescent="0.3">
      <c r="A466" s="2">
        <v>45689</v>
      </c>
      <c r="B466">
        <v>1424.285278320312</v>
      </c>
      <c r="C466">
        <f t="shared" si="23"/>
        <v>-1.3164240390923553E-2</v>
      </c>
      <c r="K466">
        <f t="shared" si="21"/>
        <v>1663.599975585938</v>
      </c>
      <c r="L466" s="5">
        <f t="shared" si="22"/>
        <v>-0.14385351092670984</v>
      </c>
    </row>
    <row r="467" spans="1:12" x14ac:dyDescent="0.3">
      <c r="A467" s="2">
        <v>45691</v>
      </c>
      <c r="B467">
        <v>1405.53564453125</v>
      </c>
      <c r="C467">
        <f t="shared" si="23"/>
        <v>2.0062622088929203E-2</v>
      </c>
      <c r="K467">
        <f t="shared" si="21"/>
        <v>1663.599975585938</v>
      </c>
      <c r="L467" s="5">
        <f t="shared" si="22"/>
        <v>-0.15512402911871581</v>
      </c>
    </row>
    <row r="468" spans="1:12" x14ac:dyDescent="0.3">
      <c r="A468" s="2">
        <v>45692</v>
      </c>
      <c r="B468">
        <v>1433.734375</v>
      </c>
      <c r="C468">
        <f t="shared" si="23"/>
        <v>-8.4537858684164951E-3</v>
      </c>
      <c r="K468">
        <f t="shared" si="21"/>
        <v>1663.599975585938</v>
      </c>
      <c r="L468" s="5">
        <f t="shared" si="22"/>
        <v>-0.1381736018029075</v>
      </c>
    </row>
    <row r="469" spans="1:12" x14ac:dyDescent="0.3">
      <c r="A469" s="2">
        <v>45693</v>
      </c>
      <c r="B469">
        <v>1421.613891601562</v>
      </c>
      <c r="C469">
        <f t="shared" si="23"/>
        <v>2.4150812035280501E-2</v>
      </c>
      <c r="K469">
        <f t="shared" si="21"/>
        <v>1663.599975585938</v>
      </c>
      <c r="L469" s="5">
        <f t="shared" si="22"/>
        <v>-0.14545929762901433</v>
      </c>
    </row>
    <row r="470" spans="1:12" x14ac:dyDescent="0.3">
      <c r="A470" s="2">
        <v>45694</v>
      </c>
      <c r="B470">
        <v>1455.947021484375</v>
      </c>
      <c r="C470">
        <f t="shared" si="23"/>
        <v>5.0967886793744095E-4</v>
      </c>
      <c r="K470">
        <f t="shared" si="21"/>
        <v>1663.599975585938</v>
      </c>
      <c r="L470" s="5">
        <f t="shared" si="22"/>
        <v>-0.12482144574955611</v>
      </c>
    </row>
    <row r="471" spans="1:12" x14ac:dyDescent="0.3">
      <c r="A471" s="2">
        <v>45695</v>
      </c>
      <c r="B471">
        <v>1456.689086914062</v>
      </c>
      <c r="C471">
        <f t="shared" si="23"/>
        <v>-9.1016682285560216E-3</v>
      </c>
      <c r="K471">
        <f t="shared" si="21"/>
        <v>1663.599975585938</v>
      </c>
      <c r="L471" s="5">
        <f t="shared" si="22"/>
        <v>-0.12437538573478257</v>
      </c>
    </row>
    <row r="472" spans="1:12" x14ac:dyDescent="0.3">
      <c r="A472" s="2">
        <v>45698</v>
      </c>
      <c r="B472">
        <v>1443.430786132812</v>
      </c>
      <c r="C472">
        <f t="shared" si="23"/>
        <v>-3.907198434447914E-3</v>
      </c>
      <c r="K472">
        <f t="shared" si="21"/>
        <v>1663.599975585938</v>
      </c>
      <c r="L472" s="5">
        <f t="shared" si="22"/>
        <v>-0.13234503046658197</v>
      </c>
    </row>
    <row r="473" spans="1:12" x14ac:dyDescent="0.3">
      <c r="A473" s="2">
        <v>45699</v>
      </c>
      <c r="B473">
        <v>1437.791015625</v>
      </c>
      <c r="C473">
        <f t="shared" si="23"/>
        <v>-2.7182846135765546E-3</v>
      </c>
      <c r="K473">
        <f t="shared" si="21"/>
        <v>1663.599975585938</v>
      </c>
      <c r="L473" s="5">
        <f t="shared" si="22"/>
        <v>-0.13573513060518383</v>
      </c>
    </row>
    <row r="474" spans="1:12" x14ac:dyDescent="0.3">
      <c r="A474" s="2">
        <v>45700</v>
      </c>
      <c r="B474">
        <v>1433.882690429688</v>
      </c>
      <c r="C474">
        <f t="shared" si="23"/>
        <v>1.5836385837425304E-2</v>
      </c>
      <c r="K474">
        <f t="shared" si="21"/>
        <v>1663.599975585938</v>
      </c>
      <c r="L474" s="5">
        <f t="shared" si="22"/>
        <v>-0.13808444850171453</v>
      </c>
    </row>
    <row r="475" spans="1:12" x14ac:dyDescent="0.3">
      <c r="A475" s="2">
        <v>45701</v>
      </c>
      <c r="B475">
        <v>1456.590209960938</v>
      </c>
      <c r="C475">
        <f t="shared" si="23"/>
        <v>-8.6268573086008427E-3</v>
      </c>
      <c r="K475">
        <f t="shared" si="21"/>
        <v>1663.599975585938</v>
      </c>
      <c r="L475" s="5">
        <f t="shared" si="22"/>
        <v>-0.12443482126891048</v>
      </c>
    </row>
    <row r="476" spans="1:12" x14ac:dyDescent="0.3">
      <c r="A476" s="2">
        <v>45702</v>
      </c>
      <c r="B476">
        <v>1444.0244140625</v>
      </c>
      <c r="C476">
        <f t="shared" si="23"/>
        <v>1.0414856213070974E-2</v>
      </c>
      <c r="K476">
        <f t="shared" si="21"/>
        <v>1663.599975585938</v>
      </c>
      <c r="L476" s="5">
        <f t="shared" si="22"/>
        <v>-0.13198819713020316</v>
      </c>
    </row>
    <row r="477" spans="1:12" x14ac:dyDescent="0.3">
      <c r="A477" s="2">
        <v>45705</v>
      </c>
      <c r="B477">
        <v>1459.063720703125</v>
      </c>
      <c r="C477">
        <f t="shared" si="23"/>
        <v>5.0520177533855438E-3</v>
      </c>
      <c r="K477">
        <f t="shared" si="21"/>
        <v>1663.599975585938</v>
      </c>
      <c r="L477" s="5">
        <f t="shared" si="22"/>
        <v>-0.12294797901206578</v>
      </c>
    </row>
    <row r="478" spans="1:12" x14ac:dyDescent="0.3">
      <c r="A478" s="2">
        <v>45706</v>
      </c>
      <c r="B478">
        <v>1466.434936523438</v>
      </c>
      <c r="C478">
        <f t="shared" si="23"/>
        <v>-1.2111094323791089E-2</v>
      </c>
      <c r="K478">
        <f t="shared" si="21"/>
        <v>1663.599975585938</v>
      </c>
      <c r="L478" s="5">
        <f t="shared" si="22"/>
        <v>-0.11851709663139198</v>
      </c>
    </row>
    <row r="479" spans="1:12" x14ac:dyDescent="0.3">
      <c r="A479" s="2">
        <v>45707</v>
      </c>
      <c r="B479">
        <v>1448.6748046875</v>
      </c>
      <c r="C479">
        <f t="shared" si="23"/>
        <v>1.0620394582063484E-2</v>
      </c>
      <c r="K479">
        <f t="shared" si="21"/>
        <v>1663.599975585938</v>
      </c>
      <c r="L479" s="5">
        <f t="shared" si="22"/>
        <v>-0.12919281921889847</v>
      </c>
    </row>
    <row r="480" spans="1:12" x14ac:dyDescent="0.3">
      <c r="A480" s="2">
        <v>45708</v>
      </c>
      <c r="B480">
        <v>1464.060302734375</v>
      </c>
      <c r="C480">
        <f t="shared" si="23"/>
        <v>-2.6694276989143026E-3</v>
      </c>
      <c r="K480">
        <f t="shared" si="21"/>
        <v>1663.599975585938</v>
      </c>
      <c r="L480" s="5">
        <f t="shared" si="22"/>
        <v>-0.11994450335410889</v>
      </c>
    </row>
    <row r="481" spans="1:12" x14ac:dyDescent="0.3">
      <c r="A481" s="2">
        <v>45709</v>
      </c>
      <c r="B481">
        <v>1460.152099609375</v>
      </c>
      <c r="C481">
        <f t="shared" si="23"/>
        <v>6.7767046555609856E-4</v>
      </c>
      <c r="K481">
        <f t="shared" si="21"/>
        <v>1663.599975585938</v>
      </c>
      <c r="L481" s="5">
        <f t="shared" si="22"/>
        <v>-0.12229374787343716</v>
      </c>
    </row>
    <row r="482" spans="1:12" x14ac:dyDescent="0.3">
      <c r="A482" s="2">
        <v>45712</v>
      </c>
      <c r="B482">
        <v>1461.1416015625</v>
      </c>
      <c r="C482">
        <f t="shared" si="23"/>
        <v>-9.0740163974414902E-3</v>
      </c>
      <c r="K482">
        <f t="shared" si="21"/>
        <v>1663.599975585938</v>
      </c>
      <c r="L482" s="5">
        <f t="shared" si="22"/>
        <v>-0.12169895226893712</v>
      </c>
    </row>
    <row r="483" spans="1:12" x14ac:dyDescent="0.3">
      <c r="A483" s="2">
        <v>45713</v>
      </c>
      <c r="B483">
        <v>1447.883178710938</v>
      </c>
      <c r="C483">
        <f t="shared" si="23"/>
        <v>-1.5170652131483364E-2</v>
      </c>
      <c r="K483">
        <f t="shared" si="21"/>
        <v>1663.599975585938</v>
      </c>
      <c r="L483" s="5">
        <f t="shared" si="22"/>
        <v>-0.12966867037793883</v>
      </c>
    </row>
    <row r="484" spans="1:12" x14ac:dyDescent="0.3">
      <c r="A484" s="2">
        <v>45715</v>
      </c>
      <c r="B484">
        <v>1425.917846679688</v>
      </c>
      <c r="C484">
        <f t="shared" si="23"/>
        <v>-2.3349389728843928E-2</v>
      </c>
      <c r="K484">
        <f t="shared" si="21"/>
        <v>1663.599975585938</v>
      </c>
      <c r="L484" s="5">
        <f t="shared" si="22"/>
        <v>-0.14287216421876647</v>
      </c>
    </row>
    <row r="485" spans="1:12" x14ac:dyDescent="0.3">
      <c r="A485" s="2">
        <v>45716</v>
      </c>
      <c r="B485">
        <v>1392.62353515625</v>
      </c>
      <c r="C485">
        <f t="shared" si="23"/>
        <v>3.5500244907535863E-5</v>
      </c>
      <c r="K485">
        <f t="shared" si="21"/>
        <v>1663.599975585938</v>
      </c>
      <c r="L485" s="5">
        <f t="shared" si="22"/>
        <v>-0.16288557610386301</v>
      </c>
    </row>
    <row r="486" spans="1:12" x14ac:dyDescent="0.3">
      <c r="A486" s="2">
        <v>45719</v>
      </c>
      <c r="B486">
        <v>1392.672973632812</v>
      </c>
      <c r="C486">
        <f t="shared" si="23"/>
        <v>-4.0851004450339033E-3</v>
      </c>
      <c r="K486">
        <f t="shared" si="21"/>
        <v>1663.599975585938</v>
      </c>
      <c r="L486" s="5">
        <f t="shared" si="22"/>
        <v>-0.16285585833679905</v>
      </c>
    </row>
    <row r="487" spans="1:12" x14ac:dyDescent="0.3">
      <c r="A487" s="2">
        <v>45720</v>
      </c>
      <c r="B487">
        <v>1386.983764648438</v>
      </c>
      <c r="C487">
        <f t="shared" si="23"/>
        <v>1.2804947223554368E-2</v>
      </c>
      <c r="K487">
        <f t="shared" si="21"/>
        <v>1663.599975585938</v>
      </c>
      <c r="L487" s="5">
        <f t="shared" si="22"/>
        <v>-0.16627567624246498</v>
      </c>
    </row>
    <row r="488" spans="1:12" x14ac:dyDescent="0.3">
      <c r="A488" s="2">
        <v>45721</v>
      </c>
      <c r="B488">
        <v>1404.744018554688</v>
      </c>
      <c r="C488">
        <f t="shared" si="23"/>
        <v>2.9582635501230456E-2</v>
      </c>
      <c r="K488">
        <f t="shared" si="21"/>
        <v>1663.599975585938</v>
      </c>
      <c r="L488" s="5">
        <f t="shared" si="22"/>
        <v>-0.15559988027775618</v>
      </c>
    </row>
    <row r="489" spans="1:12" x14ac:dyDescent="0.3">
      <c r="A489" s="2">
        <v>45722</v>
      </c>
      <c r="B489">
        <v>1446.300048828125</v>
      </c>
      <c r="C489">
        <f t="shared" si="23"/>
        <v>-2.2575790697065942E-3</v>
      </c>
      <c r="K489">
        <f t="shared" si="21"/>
        <v>1663.599975585938</v>
      </c>
      <c r="L489" s="5">
        <f t="shared" si="22"/>
        <v>-0.13062029931881769</v>
      </c>
    </row>
    <row r="490" spans="1:12" x14ac:dyDescent="0.3">
      <c r="A490" s="2">
        <v>45723</v>
      </c>
      <c r="B490">
        <v>1443.034912109375</v>
      </c>
      <c r="C490">
        <f t="shared" si="23"/>
        <v>2.9483962142369284E-3</v>
      </c>
      <c r="K490">
        <f t="shared" si="21"/>
        <v>1663.599975585938</v>
      </c>
      <c r="L490" s="5">
        <f t="shared" si="22"/>
        <v>-0.13258299273470331</v>
      </c>
    </row>
    <row r="491" spans="1:12" x14ac:dyDescent="0.3">
      <c r="A491" s="2">
        <v>45726</v>
      </c>
      <c r="B491">
        <v>1447.28955078125</v>
      </c>
      <c r="C491">
        <f t="shared" si="23"/>
        <v>-1.1621940123122121E-2</v>
      </c>
      <c r="K491">
        <f t="shared" si="21"/>
        <v>1663.599975585938</v>
      </c>
      <c r="L491" s="5">
        <f t="shared" si="22"/>
        <v>-0.13002550371431754</v>
      </c>
    </row>
    <row r="492" spans="1:12" x14ac:dyDescent="0.3">
      <c r="A492" s="2">
        <v>45727</v>
      </c>
      <c r="B492">
        <v>1430.46923828125</v>
      </c>
      <c r="C492">
        <f t="shared" si="23"/>
        <v>5.9138599420190899E-3</v>
      </c>
      <c r="K492">
        <f t="shared" si="21"/>
        <v>1663.599975585938</v>
      </c>
      <c r="L492" s="5">
        <f t="shared" si="22"/>
        <v>-0.14013629521879312</v>
      </c>
    </row>
    <row r="493" spans="1:12" x14ac:dyDescent="0.3">
      <c r="A493" s="2">
        <v>45728</v>
      </c>
      <c r="B493">
        <v>1438.928833007812</v>
      </c>
      <c r="C493">
        <f t="shared" si="23"/>
        <v>5.2258688184005069E-3</v>
      </c>
      <c r="K493">
        <f t="shared" si="21"/>
        <v>1663.599975585938</v>
      </c>
      <c r="L493" s="5">
        <f t="shared" si="22"/>
        <v>-0.13505118169949137</v>
      </c>
    </row>
    <row r="494" spans="1:12" x14ac:dyDescent="0.3">
      <c r="A494" s="2">
        <v>45729</v>
      </c>
      <c r="B494">
        <v>1446.448486328125</v>
      </c>
      <c r="C494">
        <f t="shared" si="23"/>
        <v>2.100004844165557E-2</v>
      </c>
      <c r="K494">
        <f t="shared" si="21"/>
        <v>1663.599975585938</v>
      </c>
      <c r="L494" s="5">
        <f t="shared" si="22"/>
        <v>-0.13053107264042241</v>
      </c>
    </row>
    <row r="495" spans="1:12" x14ac:dyDescent="0.3">
      <c r="A495" s="2">
        <v>45733</v>
      </c>
      <c r="B495">
        <v>1476.823974609375</v>
      </c>
      <c r="C495">
        <f t="shared" si="23"/>
        <v>0</v>
      </c>
      <c r="K495">
        <f t="shared" si="21"/>
        <v>1663.599975585938</v>
      </c>
      <c r="L495" s="5">
        <f t="shared" si="22"/>
        <v>-0.11227218304735698</v>
      </c>
    </row>
    <row r="496" spans="1:12" x14ac:dyDescent="0.3">
      <c r="A496" s="2">
        <v>45734</v>
      </c>
      <c r="B496">
        <v>1476.823974609375</v>
      </c>
      <c r="C496">
        <f t="shared" si="23"/>
        <v>4.3883597993804565E-3</v>
      </c>
      <c r="K496">
        <f t="shared" si="21"/>
        <v>1663.599975585938</v>
      </c>
      <c r="L496" s="5">
        <f t="shared" si="22"/>
        <v>-0.11227218304735698</v>
      </c>
    </row>
    <row r="497" spans="1:12" x14ac:dyDescent="0.3">
      <c r="A497" s="2">
        <v>45735</v>
      </c>
      <c r="B497">
        <v>1483.304809570312</v>
      </c>
      <c r="C497">
        <f t="shared" si="23"/>
        <v>8.6048880800820814E-3</v>
      </c>
      <c r="K497">
        <f t="shared" si="21"/>
        <v>1663.599975585938</v>
      </c>
      <c r="L497" s="5">
        <f t="shared" si="22"/>
        <v>-0.10837651398265014</v>
      </c>
    </row>
    <row r="498" spans="1:12" x14ac:dyDescent="0.3">
      <c r="A498" s="2">
        <v>45736</v>
      </c>
      <c r="B498">
        <v>1496.068481445312</v>
      </c>
      <c r="C498">
        <f t="shared" si="23"/>
        <v>7.8039829817621777E-3</v>
      </c>
      <c r="K498">
        <f t="shared" si="21"/>
        <v>1663.599975585938</v>
      </c>
      <c r="L498" s="5">
        <f t="shared" si="22"/>
        <v>-0.10070419367589822</v>
      </c>
    </row>
    <row r="499" spans="1:12" x14ac:dyDescent="0.3">
      <c r="A499" s="2">
        <v>45737</v>
      </c>
      <c r="B499">
        <v>1507.743774414062</v>
      </c>
      <c r="C499">
        <f t="shared" si="23"/>
        <v>1.3123979015589244E-4</v>
      </c>
      <c r="K499">
        <f t="shared" si="21"/>
        <v>1663.599975585938</v>
      </c>
      <c r="L499" s="5">
        <f t="shared" si="22"/>
        <v>-9.3686104507774925E-2</v>
      </c>
    </row>
    <row r="500" spans="1:12" x14ac:dyDescent="0.3">
      <c r="A500" s="2">
        <v>45740</v>
      </c>
      <c r="B500">
        <v>1507.941650390625</v>
      </c>
      <c r="C500">
        <f t="shared" si="23"/>
        <v>-8.4315155000483505E-3</v>
      </c>
      <c r="K500">
        <f t="shared" si="21"/>
        <v>1663.599975585938</v>
      </c>
      <c r="L500" s="5">
        <f t="shared" si="22"/>
        <v>-9.3567160062315136E-2</v>
      </c>
    </row>
    <row r="501" spans="1:12" x14ac:dyDescent="0.3">
      <c r="A501" s="2">
        <v>45741</v>
      </c>
      <c r="B501">
        <v>1495.227416992188</v>
      </c>
      <c r="C501">
        <f t="shared" si="23"/>
        <v>-2.3160441388098786E-2</v>
      </c>
      <c r="K501">
        <f t="shared" si="21"/>
        <v>1663.599975585938</v>
      </c>
      <c r="L501" s="5">
        <f t="shared" si="22"/>
        <v>-0.10120976260200254</v>
      </c>
    </row>
    <row r="502" spans="1:12" x14ac:dyDescent="0.3">
      <c r="A502" s="2">
        <v>45742</v>
      </c>
      <c r="B502">
        <v>1460.597290039062</v>
      </c>
      <c r="C502">
        <f t="shared" si="23"/>
        <v>4.5387407645817706E-3</v>
      </c>
      <c r="K502">
        <f t="shared" si="21"/>
        <v>1663.599975585938</v>
      </c>
      <c r="L502" s="5">
        <f t="shared" si="22"/>
        <v>-0.1220261412154543</v>
      </c>
    </row>
    <row r="503" spans="1:12" x14ac:dyDescent="0.3">
      <c r="A503" s="2">
        <v>45743</v>
      </c>
      <c r="B503">
        <v>1467.2265625</v>
      </c>
      <c r="C503">
        <f t="shared" si="23"/>
        <v>-2.7446270732941393E-2</v>
      </c>
      <c r="K503">
        <f t="shared" si="21"/>
        <v>1663.599975585938</v>
      </c>
      <c r="L503" s="5">
        <f t="shared" si="22"/>
        <v>-0.11804124547235162</v>
      </c>
    </row>
    <row r="504" spans="1:12" x14ac:dyDescent="0.3">
      <c r="A504" s="2">
        <v>45744</v>
      </c>
      <c r="B504">
        <v>1426.956665039062</v>
      </c>
      <c r="C504">
        <f t="shared" si="23"/>
        <v>1.421516457023891E-3</v>
      </c>
      <c r="K504">
        <f t="shared" si="21"/>
        <v>1663.599975585938</v>
      </c>
      <c r="L504" s="5">
        <f t="shared" si="22"/>
        <v>-0.14224772422440535</v>
      </c>
    </row>
    <row r="505" spans="1:12" x14ac:dyDescent="0.3">
      <c r="A505" s="2">
        <v>45748</v>
      </c>
      <c r="B505">
        <v>1428.985107421875</v>
      </c>
      <c r="C505">
        <f t="shared" si="23"/>
        <v>5.6083735127387315E-3</v>
      </c>
      <c r="K505">
        <f t="shared" si="21"/>
        <v>1663.599975585938</v>
      </c>
      <c r="L505" s="5">
        <f t="shared" si="22"/>
        <v>-0.14102841524834064</v>
      </c>
    </row>
    <row r="506" spans="1:12" x14ac:dyDescent="0.3">
      <c r="A506" s="2">
        <v>45749</v>
      </c>
      <c r="B506">
        <v>1436.999389648438</v>
      </c>
      <c r="C506">
        <f t="shared" si="23"/>
        <v>2.9848200362574673E-2</v>
      </c>
      <c r="K506">
        <f t="shared" si="21"/>
        <v>1663.599975585938</v>
      </c>
      <c r="L506" s="5">
        <f t="shared" si="22"/>
        <v>-0.13621098176422419</v>
      </c>
    </row>
    <row r="507" spans="1:12" x14ac:dyDescent="0.3">
      <c r="A507" s="2">
        <v>45750</v>
      </c>
      <c r="B507">
        <v>1479.891235351562</v>
      </c>
      <c r="C507">
        <f t="shared" si="23"/>
        <v>-5.3787472669294081E-2</v>
      </c>
      <c r="K507">
        <f t="shared" si="21"/>
        <v>1663.599975585938</v>
      </c>
      <c r="L507" s="5">
        <f t="shared" si="22"/>
        <v>-0.11042843407693104</v>
      </c>
    </row>
    <row r="508" spans="1:12" x14ac:dyDescent="0.3">
      <c r="A508" s="2">
        <v>45751</v>
      </c>
      <c r="B508">
        <v>1400.291625976562</v>
      </c>
      <c r="C508">
        <f t="shared" si="23"/>
        <v>-2.1586341224087265E-2</v>
      </c>
      <c r="K508">
        <f t="shared" si="21"/>
        <v>1663.599975585938</v>
      </c>
      <c r="L508" s="5">
        <f t="shared" si="22"/>
        <v>-0.15827624036639931</v>
      </c>
    </row>
    <row r="509" spans="1:12" x14ac:dyDescent="0.3">
      <c r="A509" s="2">
        <v>45754</v>
      </c>
      <c r="B509">
        <v>1370.064453125</v>
      </c>
      <c r="C509">
        <f t="shared" si="23"/>
        <v>3.455630152550386E-2</v>
      </c>
      <c r="K509">
        <f t="shared" si="21"/>
        <v>1663.599975585938</v>
      </c>
      <c r="L509" s="5">
        <f t="shared" si="22"/>
        <v>-0.17644597665827177</v>
      </c>
    </row>
    <row r="510" spans="1:12" x14ac:dyDescent="0.3">
      <c r="A510" s="2">
        <v>45755</v>
      </c>
      <c r="B510">
        <v>1417.408813476562</v>
      </c>
      <c r="C510">
        <f t="shared" si="23"/>
        <v>-1.1832151694199496E-2</v>
      </c>
      <c r="K510">
        <f t="shared" si="21"/>
        <v>1663.599975585938</v>
      </c>
      <c r="L510" s="5">
        <f t="shared" si="22"/>
        <v>-0.14798699550513317</v>
      </c>
    </row>
    <row r="511" spans="1:12" x14ac:dyDescent="0.3">
      <c r="A511" s="2">
        <v>45756</v>
      </c>
      <c r="B511">
        <v>1400.637817382812</v>
      </c>
      <c r="C511">
        <f t="shared" si="23"/>
        <v>3.3519449364979061E-2</v>
      </c>
      <c r="K511">
        <f t="shared" si="21"/>
        <v>1663.599975585938</v>
      </c>
      <c r="L511" s="5">
        <f t="shared" si="22"/>
        <v>-0.15806814261974711</v>
      </c>
    </row>
    <row r="512" spans="1:12" x14ac:dyDescent="0.3">
      <c r="A512" s="2">
        <v>45758</v>
      </c>
      <c r="B512">
        <v>1447.58642578125</v>
      </c>
      <c r="C512">
        <f t="shared" si="23"/>
        <v>1.2815647813558196E-2</v>
      </c>
      <c r="K512">
        <f t="shared" si="21"/>
        <v>1663.599975585938</v>
      </c>
      <c r="L512" s="5">
        <f t="shared" si="22"/>
        <v>-0.12984705035752697</v>
      </c>
    </row>
    <row r="513" spans="1:12" x14ac:dyDescent="0.3">
      <c r="A513" s="2">
        <v>45762</v>
      </c>
      <c r="B513">
        <v>1466.13818359375</v>
      </c>
      <c r="C513">
        <f t="shared" si="23"/>
        <v>9.8528766746454818E-3</v>
      </c>
      <c r="K513">
        <f t="shared" si="21"/>
        <v>1663.599975585938</v>
      </c>
      <c r="L513" s="5">
        <f t="shared" si="22"/>
        <v>-0.11869547661098023</v>
      </c>
    </row>
    <row r="514" spans="1:12" x14ac:dyDescent="0.3">
      <c r="A514" s="2">
        <v>45763</v>
      </c>
      <c r="B514">
        <v>1480.583862304688</v>
      </c>
      <c r="C514">
        <f t="shared" si="23"/>
        <v>1.2563419582398584E-2</v>
      </c>
      <c r="K514">
        <f t="shared" ref="K514:K577" si="24">MAX(B514:B1253)</f>
        <v>1663.599975585938</v>
      </c>
      <c r="L514" s="5">
        <f t="shared" ref="L514:L577" si="25">B514/K514-1</f>
        <v>-0.110012091829221</v>
      </c>
    </row>
    <row r="515" spans="1:12" x14ac:dyDescent="0.3">
      <c r="A515" s="2">
        <v>45764</v>
      </c>
      <c r="B515">
        <v>1499.18505859375</v>
      </c>
      <c r="C515">
        <f t="shared" ref="C515:C578" si="26">(B516-B515)/B515</f>
        <v>-2.7058971817696528E-3</v>
      </c>
      <c r="K515">
        <f t="shared" si="24"/>
        <v>1663.599975585938</v>
      </c>
      <c r="L515" s="5">
        <f t="shared" si="25"/>
        <v>-9.8830800315610312E-2</v>
      </c>
    </row>
    <row r="516" spans="1:12" x14ac:dyDescent="0.3">
      <c r="A516" s="2">
        <v>45768</v>
      </c>
      <c r="B516">
        <v>1495.12841796875</v>
      </c>
      <c r="C516">
        <f t="shared" si="26"/>
        <v>1.1316293182644589E-2</v>
      </c>
      <c r="K516">
        <f t="shared" si="24"/>
        <v>1663.599975585938</v>
      </c>
      <c r="L516" s="5">
        <f t="shared" si="25"/>
        <v>-0.10126927151333387</v>
      </c>
    </row>
    <row r="517" spans="1:12" x14ac:dyDescent="0.3">
      <c r="A517" s="2">
        <v>45769</v>
      </c>
      <c r="B517">
        <v>1512.047729492188</v>
      </c>
      <c r="C517">
        <f t="shared" si="26"/>
        <v>3.5990229839355848E-3</v>
      </c>
      <c r="K517">
        <f t="shared" si="24"/>
        <v>1663.599975585938</v>
      </c>
      <c r="L517" s="5">
        <f t="shared" si="25"/>
        <v>-9.109897109752696E-2</v>
      </c>
    </row>
    <row r="518" spans="1:12" x14ac:dyDescent="0.3">
      <c r="A518" s="2">
        <v>45770</v>
      </c>
      <c r="B518">
        <v>1517.489624023438</v>
      </c>
      <c r="C518">
        <f t="shared" si="26"/>
        <v>1.1736286100982903E-2</v>
      </c>
      <c r="K518">
        <f t="shared" si="24"/>
        <v>1663.599975585938</v>
      </c>
      <c r="L518" s="5">
        <f t="shared" si="25"/>
        <v>-8.7827815404384335E-2</v>
      </c>
    </row>
    <row r="519" spans="1:12" x14ac:dyDescent="0.3">
      <c r="A519" s="2">
        <v>45771</v>
      </c>
      <c r="B519">
        <v>1535.29931640625</v>
      </c>
      <c r="C519">
        <f t="shared" si="26"/>
        <v>-1.6626869696940116E-2</v>
      </c>
      <c r="K519">
        <f t="shared" si="24"/>
        <v>1663.599975585938</v>
      </c>
      <c r="L519" s="5">
        <f t="shared" si="25"/>
        <v>-7.7122301672611582E-2</v>
      </c>
    </row>
    <row r="520" spans="1:12" x14ac:dyDescent="0.3">
      <c r="A520" s="2">
        <v>45772</v>
      </c>
      <c r="B520">
        <v>1509.772094726562</v>
      </c>
      <c r="C520">
        <f t="shared" si="26"/>
        <v>1.9136237530677426E-2</v>
      </c>
      <c r="K520">
        <f t="shared" si="24"/>
        <v>1663.599975585938</v>
      </c>
      <c r="L520" s="5">
        <f t="shared" si="25"/>
        <v>-9.2466868908913091E-2</v>
      </c>
    </row>
    <row r="521" spans="1:12" x14ac:dyDescent="0.3">
      <c r="A521" s="2">
        <v>45775</v>
      </c>
      <c r="B521">
        <v>1538.663452148438</v>
      </c>
      <c r="C521">
        <f t="shared" si="26"/>
        <v>-8.7454464518130076E-3</v>
      </c>
      <c r="K521">
        <f t="shared" si="24"/>
        <v>1663.599975585938</v>
      </c>
      <c r="L521" s="5">
        <f t="shared" si="25"/>
        <v>-7.5100099345394633E-2</v>
      </c>
    </row>
    <row r="522" spans="1:12" x14ac:dyDescent="0.3">
      <c r="A522" s="2">
        <v>45776</v>
      </c>
      <c r="B522">
        <v>1525.207153320312</v>
      </c>
      <c r="C522">
        <f t="shared" si="26"/>
        <v>5.5790161060508279E-3</v>
      </c>
      <c r="K522">
        <f t="shared" si="24"/>
        <v>1663.599975585938</v>
      </c>
      <c r="L522" s="5">
        <f t="shared" si="25"/>
        <v>-8.3188761899856689E-2</v>
      </c>
    </row>
    <row r="523" spans="1:12" x14ac:dyDescent="0.3">
      <c r="A523" s="2">
        <v>45777</v>
      </c>
      <c r="B523">
        <v>1533.71630859375</v>
      </c>
      <c r="C523">
        <f t="shared" si="26"/>
        <v>-2.2966277847764671E-2</v>
      </c>
      <c r="K523">
        <f t="shared" si="24"/>
        <v>1663.599975585938</v>
      </c>
      <c r="L523" s="5">
        <f t="shared" si="25"/>
        <v>-7.8073857236287569E-2</v>
      </c>
    </row>
    <row r="524" spans="1:12" x14ac:dyDescent="0.3">
      <c r="A524" s="2">
        <v>45779</v>
      </c>
      <c r="B524">
        <v>1498.492553710938</v>
      </c>
      <c r="C524">
        <f t="shared" si="26"/>
        <v>1.8752080846872601E-2</v>
      </c>
      <c r="K524">
        <f t="shared" si="24"/>
        <v>1663.599975585938</v>
      </c>
      <c r="L524" s="5">
        <f t="shared" si="25"/>
        <v>-9.9247069186116921E-2</v>
      </c>
    </row>
    <row r="525" spans="1:12" x14ac:dyDescent="0.3">
      <c r="A525" s="2">
        <v>45782</v>
      </c>
      <c r="B525">
        <v>1526.592407226562</v>
      </c>
      <c r="C525">
        <f t="shared" si="26"/>
        <v>-2.0416133416014379E-2</v>
      </c>
      <c r="K525">
        <f t="shared" si="24"/>
        <v>1663.599975585938</v>
      </c>
      <c r="L525" s="5">
        <f t="shared" si="25"/>
        <v>-8.2356077404437511E-2</v>
      </c>
    </row>
    <row r="526" spans="1:12" x14ac:dyDescent="0.3">
      <c r="A526" s="2">
        <v>45783</v>
      </c>
      <c r="B526">
        <v>1495.42529296875</v>
      </c>
      <c r="C526">
        <f t="shared" si="26"/>
        <v>-1.720171316753167E-3</v>
      </c>
      <c r="K526">
        <f t="shared" si="24"/>
        <v>1663.599975585938</v>
      </c>
      <c r="L526" s="5">
        <f t="shared" si="25"/>
        <v>-0.10109081815654331</v>
      </c>
    </row>
    <row r="527" spans="1:12" x14ac:dyDescent="0.3">
      <c r="A527" s="2">
        <v>45784</v>
      </c>
      <c r="B527">
        <v>1492.852905273438</v>
      </c>
      <c r="C527">
        <f t="shared" si="26"/>
        <v>-1.4581194200786277E-2</v>
      </c>
      <c r="K527">
        <f t="shared" si="24"/>
        <v>1663.599975585938</v>
      </c>
      <c r="L527" s="5">
        <f t="shared" si="25"/>
        <v>-0.10263709594751647</v>
      </c>
    </row>
    <row r="528" spans="1:12" x14ac:dyDescent="0.3">
      <c r="A528" s="2">
        <v>45785</v>
      </c>
      <c r="B528">
        <v>1471.085327148438</v>
      </c>
      <c r="C528">
        <f t="shared" si="26"/>
        <v>-4.5735956235148142E-3</v>
      </c>
      <c r="K528">
        <f t="shared" si="24"/>
        <v>1663.599975585938</v>
      </c>
      <c r="L528" s="5">
        <f t="shared" si="25"/>
        <v>-0.1157217187200873</v>
      </c>
    </row>
    <row r="529" spans="1:12" x14ac:dyDescent="0.3">
      <c r="A529" s="2">
        <v>45786</v>
      </c>
      <c r="B529">
        <v>1464.357177734375</v>
      </c>
      <c r="C529">
        <f t="shared" si="26"/>
        <v>2.1351342204168507E-2</v>
      </c>
      <c r="K529">
        <f t="shared" si="24"/>
        <v>1663.599975585938</v>
      </c>
      <c r="L529" s="5">
        <f t="shared" si="25"/>
        <v>-0.11976604999731832</v>
      </c>
    </row>
    <row r="530" spans="1:12" x14ac:dyDescent="0.3">
      <c r="A530" s="2">
        <v>45789</v>
      </c>
      <c r="B530">
        <v>1495.623168945312</v>
      </c>
      <c r="C530">
        <f t="shared" si="26"/>
        <v>5.6231786352512166E-3</v>
      </c>
      <c r="K530">
        <f t="shared" si="24"/>
        <v>1663.599975585938</v>
      </c>
      <c r="L530" s="5">
        <f t="shared" si="25"/>
        <v>-0.10097187371108407</v>
      </c>
    </row>
    <row r="531" spans="1:12" x14ac:dyDescent="0.3">
      <c r="A531" s="2">
        <v>45790</v>
      </c>
      <c r="B531">
        <v>1504.033325195312</v>
      </c>
      <c r="C531">
        <f t="shared" si="26"/>
        <v>-1.6643561205582597E-2</v>
      </c>
      <c r="K531">
        <f t="shared" si="24"/>
        <v>1663.599975585938</v>
      </c>
      <c r="L531" s="5">
        <f t="shared" si="25"/>
        <v>-9.591647795884628E-2</v>
      </c>
    </row>
    <row r="532" spans="1:12" x14ac:dyDescent="0.3">
      <c r="A532" s="2">
        <v>45791</v>
      </c>
      <c r="B532">
        <v>1479.000854492188</v>
      </c>
      <c r="C532">
        <f t="shared" si="26"/>
        <v>4.9504063849583925E-3</v>
      </c>
      <c r="K532">
        <f t="shared" si="24"/>
        <v>1663.599975585938</v>
      </c>
      <c r="L532" s="5">
        <f t="shared" si="25"/>
        <v>-0.11096364739289699</v>
      </c>
    </row>
    <row r="533" spans="1:12" x14ac:dyDescent="0.3">
      <c r="A533" s="2">
        <v>45792</v>
      </c>
      <c r="B533">
        <v>1486.322509765625</v>
      </c>
      <c r="C533">
        <f t="shared" si="26"/>
        <v>-1.5310504622471472E-3</v>
      </c>
      <c r="K533">
        <f t="shared" si="24"/>
        <v>1663.599975585938</v>
      </c>
      <c r="L533" s="5">
        <f t="shared" si="25"/>
        <v>-0.10656255615649068</v>
      </c>
    </row>
    <row r="534" spans="1:12" x14ac:dyDescent="0.3">
      <c r="A534" s="2">
        <v>45793</v>
      </c>
      <c r="B534">
        <v>1484.046875</v>
      </c>
      <c r="C534">
        <f t="shared" si="26"/>
        <v>-5.5337067930808824E-3</v>
      </c>
      <c r="K534">
        <f t="shared" si="24"/>
        <v>1663.599975585938</v>
      </c>
      <c r="L534" s="5">
        <f t="shared" si="25"/>
        <v>-0.10793045396787615</v>
      </c>
    </row>
    <row r="535" spans="1:12" x14ac:dyDescent="0.3">
      <c r="A535" s="2">
        <v>45796</v>
      </c>
      <c r="B535">
        <v>1475.834594726562</v>
      </c>
      <c r="C535">
        <f t="shared" si="26"/>
        <v>-2.4939625908506017E-2</v>
      </c>
      <c r="K535">
        <f t="shared" si="24"/>
        <v>1663.599975585938</v>
      </c>
      <c r="L535" s="5">
        <f t="shared" si="25"/>
        <v>-0.11286690527465471</v>
      </c>
    </row>
    <row r="536" spans="1:12" x14ac:dyDescent="0.3">
      <c r="A536" s="2">
        <v>45797</v>
      </c>
      <c r="B536">
        <v>1439.02783203125</v>
      </c>
      <c r="C536">
        <f t="shared" si="26"/>
        <v>1.9251871906523579E-2</v>
      </c>
      <c r="K536">
        <f t="shared" si="24"/>
        <v>1663.599975585938</v>
      </c>
      <c r="L536" s="5">
        <f t="shared" si="25"/>
        <v>-0.13499167278816004</v>
      </c>
    </row>
    <row r="537" spans="1:12" x14ac:dyDescent="0.3">
      <c r="A537" s="2">
        <v>45798</v>
      </c>
      <c r="B537">
        <v>1466.731811523438</v>
      </c>
      <c r="C537">
        <f t="shared" si="26"/>
        <v>-9.3766642611563655E-3</v>
      </c>
      <c r="K537">
        <f t="shared" si="24"/>
        <v>1663.599975585938</v>
      </c>
      <c r="L537" s="5">
        <f t="shared" si="25"/>
        <v>-0.11833864327460142</v>
      </c>
    </row>
    <row r="538" spans="1:12" x14ac:dyDescent="0.3">
      <c r="A538" s="2">
        <v>45799</v>
      </c>
      <c r="B538">
        <v>1452.978759765625</v>
      </c>
      <c r="C538">
        <f t="shared" si="26"/>
        <v>1.0691180110363616E-2</v>
      </c>
      <c r="K538">
        <f t="shared" si="24"/>
        <v>1663.599975585938</v>
      </c>
      <c r="L538" s="5">
        <f t="shared" si="25"/>
        <v>-0.12660568580865117</v>
      </c>
    </row>
    <row r="539" spans="1:12" x14ac:dyDescent="0.3">
      <c r="A539" s="2">
        <v>45800</v>
      </c>
      <c r="B539">
        <v>1468.512817382812</v>
      </c>
      <c r="C539">
        <f t="shared" si="26"/>
        <v>0</v>
      </c>
      <c r="K539">
        <f t="shared" si="24"/>
        <v>1663.599975585938</v>
      </c>
      <c r="L539" s="5">
        <f t="shared" si="25"/>
        <v>-0.11726806988826388</v>
      </c>
    </row>
    <row r="540" spans="1:12" x14ac:dyDescent="0.3">
      <c r="A540" s="2">
        <v>45803</v>
      </c>
      <c r="B540">
        <v>1468.512817382812</v>
      </c>
      <c r="C540">
        <f t="shared" si="26"/>
        <v>-2.4929225189866148E-3</v>
      </c>
      <c r="K540">
        <f t="shared" si="24"/>
        <v>1663.599975585938</v>
      </c>
      <c r="L540" s="5">
        <f t="shared" si="25"/>
        <v>-0.11726806988826388</v>
      </c>
    </row>
    <row r="541" spans="1:12" x14ac:dyDescent="0.3">
      <c r="A541" s="2">
        <v>45804</v>
      </c>
      <c r="B541">
        <v>1464.851928710938</v>
      </c>
      <c r="C541">
        <f t="shared" si="26"/>
        <v>-8.1053714116765922E-3</v>
      </c>
      <c r="K541">
        <f t="shared" si="24"/>
        <v>1663.599975585938</v>
      </c>
      <c r="L541" s="5">
        <f t="shared" si="25"/>
        <v>-0.11946865219506797</v>
      </c>
    </row>
    <row r="542" spans="1:12" x14ac:dyDescent="0.3">
      <c r="A542" s="2">
        <v>45805</v>
      </c>
      <c r="B542">
        <v>1452.978759765625</v>
      </c>
      <c r="C542">
        <f t="shared" si="26"/>
        <v>5.7201657223231979E-3</v>
      </c>
      <c r="K542">
        <f t="shared" si="24"/>
        <v>1663.599975585938</v>
      </c>
      <c r="L542" s="5">
        <f t="shared" si="25"/>
        <v>-0.12660568580865117</v>
      </c>
    </row>
    <row r="543" spans="1:12" x14ac:dyDescent="0.3">
      <c r="A543" s="2">
        <v>45806</v>
      </c>
      <c r="B543">
        <v>1461.2900390625</v>
      </c>
      <c r="C543">
        <f t="shared" si="26"/>
        <v>-7.5835643938862345E-3</v>
      </c>
      <c r="K543">
        <f t="shared" si="24"/>
        <v>1663.599975585938</v>
      </c>
      <c r="L543" s="5">
        <f t="shared" si="25"/>
        <v>-0.12160972559054184</v>
      </c>
    </row>
    <row r="544" spans="1:12" x14ac:dyDescent="0.3">
      <c r="A544" s="2">
        <v>45807</v>
      </c>
      <c r="B544">
        <v>1450.208251953125</v>
      </c>
      <c r="C544">
        <f t="shared" si="26"/>
        <v>3.0702588007208249E-3</v>
      </c>
      <c r="K544">
        <f t="shared" si="24"/>
        <v>1663.599975585938</v>
      </c>
      <c r="L544" s="5">
        <f t="shared" si="25"/>
        <v>-0.1282710547994893</v>
      </c>
    </row>
    <row r="545" spans="1:12" x14ac:dyDescent="0.3">
      <c r="A545" s="2">
        <v>45810</v>
      </c>
      <c r="B545">
        <v>1454.660766601562</v>
      </c>
      <c r="C545">
        <f t="shared" si="26"/>
        <v>2.0405181654033155E-3</v>
      </c>
      <c r="K545">
        <f t="shared" si="24"/>
        <v>1663.599975585938</v>
      </c>
      <c r="L545" s="5">
        <f t="shared" si="25"/>
        <v>-0.12559462133364441</v>
      </c>
    </row>
    <row r="546" spans="1:12" x14ac:dyDescent="0.3">
      <c r="A546" s="2">
        <v>45811</v>
      </c>
      <c r="B546">
        <v>1457.629028320312</v>
      </c>
      <c r="C546">
        <f t="shared" si="26"/>
        <v>-8.8234577352103475E-4</v>
      </c>
      <c r="K546">
        <f t="shared" si="24"/>
        <v>1663.599975585938</v>
      </c>
      <c r="L546" s="5">
        <f t="shared" si="25"/>
        <v>-0.12381038127454935</v>
      </c>
    </row>
    <row r="547" spans="1:12" x14ac:dyDescent="0.3">
      <c r="A547" s="2">
        <v>45812</v>
      </c>
      <c r="B547">
        <v>1456.342895507812</v>
      </c>
      <c r="C547">
        <f t="shared" si="26"/>
        <v>1.2161157571007598E-2</v>
      </c>
      <c r="K547">
        <f t="shared" si="24"/>
        <v>1663.599975585938</v>
      </c>
      <c r="L547" s="5">
        <f t="shared" si="25"/>
        <v>-0.12458348348143478</v>
      </c>
    </row>
    <row r="548" spans="1:12" x14ac:dyDescent="0.3">
      <c r="A548" s="2">
        <v>45813</v>
      </c>
      <c r="B548">
        <v>1474.0537109375</v>
      </c>
      <c r="C548">
        <f t="shared" si="26"/>
        <v>9.6656455313290472E-3</v>
      </c>
      <c r="K548">
        <f t="shared" si="24"/>
        <v>1663.599975585938</v>
      </c>
      <c r="L548" s="5">
        <f t="shared" si="25"/>
        <v>-0.11393740528378993</v>
      </c>
    </row>
    <row r="549" spans="1:12" x14ac:dyDescent="0.3">
      <c r="A549" s="2">
        <v>45814</v>
      </c>
      <c r="B549">
        <v>1488.301391601562</v>
      </c>
      <c r="C549">
        <f t="shared" si="26"/>
        <v>1.5955328688550172E-3</v>
      </c>
      <c r="K549">
        <f t="shared" si="24"/>
        <v>1663.599975585938</v>
      </c>
      <c r="L549" s="5">
        <f t="shared" si="25"/>
        <v>-0.10537303832469336</v>
      </c>
    </row>
    <row r="550" spans="1:12" x14ac:dyDescent="0.3">
      <c r="A550" s="2">
        <v>45817</v>
      </c>
      <c r="B550">
        <v>1490.676025390625</v>
      </c>
      <c r="C550">
        <f t="shared" si="26"/>
        <v>2.787755070621786E-3</v>
      </c>
      <c r="K550">
        <f t="shared" si="24"/>
        <v>1663.599975585938</v>
      </c>
      <c r="L550" s="5">
        <f t="shared" si="25"/>
        <v>-0.10394563160197645</v>
      </c>
    </row>
    <row r="551" spans="1:12" x14ac:dyDescent="0.3">
      <c r="A551" s="2">
        <v>45818</v>
      </c>
      <c r="B551">
        <v>1494.831665039062</v>
      </c>
      <c r="C551">
        <f t="shared" si="26"/>
        <v>7.2147187481348494E-3</v>
      </c>
      <c r="K551">
        <f t="shared" si="24"/>
        <v>1663.599975585938</v>
      </c>
      <c r="L551" s="5">
        <f t="shared" si="25"/>
        <v>-0.10144765149292212</v>
      </c>
    </row>
    <row r="552" spans="1:12" x14ac:dyDescent="0.3">
      <c r="A552" s="2">
        <v>45819</v>
      </c>
      <c r="B552">
        <v>1505.616455078125</v>
      </c>
      <c r="C552">
        <f t="shared" si="26"/>
        <v>-1.2420291535356303E-2</v>
      </c>
      <c r="K552">
        <f t="shared" si="24"/>
        <v>1663.599975585938</v>
      </c>
      <c r="L552" s="5">
        <f t="shared" si="25"/>
        <v>-9.4964849017967423E-2</v>
      </c>
    </row>
    <row r="553" spans="1:12" x14ac:dyDescent="0.3">
      <c r="A553" s="2">
        <v>45820</v>
      </c>
      <c r="B553">
        <v>1486.916259765625</v>
      </c>
      <c r="C553">
        <f t="shared" si="26"/>
        <v>1.5969370858344653E-3</v>
      </c>
      <c r="K553">
        <f t="shared" si="24"/>
        <v>1663.599975585938</v>
      </c>
      <c r="L553" s="5">
        <f t="shared" si="25"/>
        <v>-0.10620564944290956</v>
      </c>
    </row>
    <row r="554" spans="1:12" x14ac:dyDescent="0.3">
      <c r="A554" s="2">
        <v>45821</v>
      </c>
      <c r="B554">
        <v>1489.290771484375</v>
      </c>
      <c r="C554">
        <f t="shared" si="26"/>
        <v>1.4483204060237705E-2</v>
      </c>
      <c r="K554">
        <f t="shared" si="24"/>
        <v>1663.599975585938</v>
      </c>
      <c r="L554" s="5">
        <f t="shared" si="25"/>
        <v>-0.10477831609739552</v>
      </c>
    </row>
    <row r="555" spans="1:12" x14ac:dyDescent="0.3">
      <c r="A555" s="2">
        <v>45824</v>
      </c>
      <c r="B555">
        <v>1510.860473632812</v>
      </c>
      <c r="C555">
        <f t="shared" si="26"/>
        <v>-1.5389632146610073E-2</v>
      </c>
      <c r="K555">
        <f t="shared" si="24"/>
        <v>1663.599975585938</v>
      </c>
      <c r="L555" s="5">
        <f t="shared" si="25"/>
        <v>-9.1812637770284478E-2</v>
      </c>
    </row>
    <row r="556" spans="1:12" x14ac:dyDescent="0.3">
      <c r="A556" s="2">
        <v>45825</v>
      </c>
      <c r="B556">
        <v>1487.60888671875</v>
      </c>
      <c r="C556">
        <f t="shared" si="26"/>
        <v>-3.5916816750874657E-3</v>
      </c>
      <c r="K556">
        <f t="shared" si="24"/>
        <v>1663.599975585938</v>
      </c>
      <c r="L556" s="5">
        <f t="shared" si="25"/>
        <v>-0.10578930719519997</v>
      </c>
    </row>
    <row r="557" spans="1:12" x14ac:dyDescent="0.3">
      <c r="A557" s="2">
        <v>45826</v>
      </c>
      <c r="B557">
        <v>1482.265869140625</v>
      </c>
      <c r="C557">
        <f t="shared" si="26"/>
        <v>-9.4118929841266238E-3</v>
      </c>
      <c r="K557">
        <f t="shared" si="24"/>
        <v>1663.599975585938</v>
      </c>
      <c r="L557" s="5">
        <f t="shared" si="25"/>
        <v>-0.10900102735421424</v>
      </c>
    </row>
    <row r="558" spans="1:12" x14ac:dyDescent="0.3">
      <c r="A558" s="2">
        <v>45827</v>
      </c>
      <c r="B558">
        <v>1468.31494140625</v>
      </c>
      <c r="C558">
        <f t="shared" si="26"/>
        <v>1.0579513413049189E-2</v>
      </c>
      <c r="K558">
        <f t="shared" si="24"/>
        <v>1663.599975585938</v>
      </c>
      <c r="L558" s="5">
        <f t="shared" si="25"/>
        <v>-0.11738701433372312</v>
      </c>
    </row>
    <row r="559" spans="1:12" x14ac:dyDescent="0.3">
      <c r="A559" s="2">
        <v>45828</v>
      </c>
      <c r="B559">
        <v>1483.848999023438</v>
      </c>
      <c r="C559">
        <f t="shared" si="26"/>
        <v>-4.0014179366685106E-4</v>
      </c>
      <c r="K559">
        <f t="shared" si="24"/>
        <v>1663.599975585938</v>
      </c>
      <c r="L559" s="5">
        <f t="shared" si="25"/>
        <v>-0.10804939841333538</v>
      </c>
    </row>
    <row r="560" spans="1:12" x14ac:dyDescent="0.3">
      <c r="A560" s="2">
        <v>45831</v>
      </c>
      <c r="B560">
        <v>1483.255249023438</v>
      </c>
      <c r="C560">
        <f t="shared" si="26"/>
        <v>2.201413944910603E-3</v>
      </c>
      <c r="K560">
        <f t="shared" si="24"/>
        <v>1663.599975585938</v>
      </c>
      <c r="L560" s="5">
        <f t="shared" si="25"/>
        <v>-0.10840630512691651</v>
      </c>
    </row>
    <row r="561" spans="1:12" x14ac:dyDescent="0.3">
      <c r="A561" s="2">
        <v>45832</v>
      </c>
      <c r="B561">
        <v>1486.5205078125</v>
      </c>
      <c r="C561">
        <f t="shared" si="26"/>
        <v>5.0585600943895796E-3</v>
      </c>
      <c r="K561">
        <f t="shared" si="24"/>
        <v>1663.599975585938</v>
      </c>
      <c r="L561" s="5">
        <f t="shared" si="25"/>
        <v>-0.10644353833382847</v>
      </c>
    </row>
    <row r="562" spans="1:12" x14ac:dyDescent="0.3">
      <c r="A562" s="2">
        <v>45833</v>
      </c>
      <c r="B562">
        <v>1494.040161132812</v>
      </c>
      <c r="C562">
        <f t="shared" si="26"/>
        <v>2.5165907805732145E-3</v>
      </c>
      <c r="K562">
        <f t="shared" si="24"/>
        <v>1663.599975585938</v>
      </c>
      <c r="L562" s="5">
        <f t="shared" si="25"/>
        <v>-0.10192342927476006</v>
      </c>
    </row>
    <row r="563" spans="1:12" x14ac:dyDescent="0.3">
      <c r="A563" s="2">
        <v>45834</v>
      </c>
      <c r="B563">
        <v>1497.800048828125</v>
      </c>
      <c r="C563">
        <f t="shared" si="26"/>
        <v>3.0711546508067314E-3</v>
      </c>
      <c r="K563">
        <f t="shared" si="24"/>
        <v>1663.599975585938</v>
      </c>
      <c r="L563" s="5">
        <f t="shared" si="25"/>
        <v>-9.9663338056624085E-2</v>
      </c>
    </row>
    <row r="564" spans="1:12" x14ac:dyDescent="0.3">
      <c r="A564" s="2">
        <v>45835</v>
      </c>
      <c r="B564">
        <v>1502.400024414062</v>
      </c>
      <c r="C564">
        <f t="shared" si="26"/>
        <v>2.3296059259350749E-3</v>
      </c>
      <c r="K564">
        <f t="shared" si="24"/>
        <v>1663.599975585938</v>
      </c>
      <c r="L564" s="5">
        <f t="shared" si="25"/>
        <v>-9.6898264930004863E-2</v>
      </c>
    </row>
    <row r="565" spans="1:12" x14ac:dyDescent="0.3">
      <c r="A565" s="2">
        <v>45838</v>
      </c>
      <c r="B565">
        <v>1505.900024414062</v>
      </c>
      <c r="C565">
        <f t="shared" si="26"/>
        <v>6.5076874951416879E-3</v>
      </c>
      <c r="K565">
        <f t="shared" si="24"/>
        <v>1663.599975585938</v>
      </c>
      <c r="L565" s="5">
        <f t="shared" si="25"/>
        <v>-9.4794393776263641E-2</v>
      </c>
    </row>
    <row r="566" spans="1:12" x14ac:dyDescent="0.3">
      <c r="A566" s="2">
        <v>45839</v>
      </c>
      <c r="B566">
        <v>1515.699951171875</v>
      </c>
      <c r="C566">
        <f t="shared" si="26"/>
        <v>-1.1941661390133919E-2</v>
      </c>
      <c r="K566">
        <f t="shared" si="24"/>
        <v>1663.599975585938</v>
      </c>
      <c r="L566" s="5">
        <f t="shared" si="25"/>
        <v>-8.8903598572109277E-2</v>
      </c>
    </row>
    <row r="567" spans="1:12" x14ac:dyDescent="0.3">
      <c r="A567" s="2">
        <v>45840</v>
      </c>
      <c r="B567">
        <v>1497.599975585938</v>
      </c>
      <c r="C567">
        <f t="shared" si="26"/>
        <v>7.4118427930623901E-3</v>
      </c>
      <c r="K567">
        <f t="shared" si="24"/>
        <v>1663.599975585938</v>
      </c>
      <c r="L567" s="5">
        <f t="shared" si="25"/>
        <v>-9.9783603291730638E-2</v>
      </c>
    </row>
    <row r="568" spans="1:12" x14ac:dyDescent="0.3">
      <c r="A568" s="2">
        <v>45841</v>
      </c>
      <c r="B568">
        <v>1508.699951171875</v>
      </c>
      <c r="C568">
        <f t="shared" si="26"/>
        <v>3.0490473951940529E-3</v>
      </c>
      <c r="K568">
        <f t="shared" si="24"/>
        <v>1663.599975585938</v>
      </c>
      <c r="L568" s="5">
        <f t="shared" si="25"/>
        <v>-9.3111340879591831E-2</v>
      </c>
    </row>
    <row r="569" spans="1:12" x14ac:dyDescent="0.3">
      <c r="A569" s="2">
        <v>45842</v>
      </c>
      <c r="B569">
        <v>1513.300048828125</v>
      </c>
      <c r="C569">
        <f t="shared" si="26"/>
        <v>-1.8502932252551715E-3</v>
      </c>
      <c r="K569">
        <f t="shared" si="24"/>
        <v>1663.599975585938</v>
      </c>
      <c r="L569" s="5">
        <f t="shared" si="25"/>
        <v>-9.0346194375769739E-2</v>
      </c>
    </row>
    <row r="570" spans="1:12" x14ac:dyDescent="0.3">
      <c r="A570" s="2">
        <v>45845</v>
      </c>
      <c r="B570">
        <v>1510.5</v>
      </c>
      <c r="C570">
        <f t="shared" si="26"/>
        <v>-1.4697087833085071E-2</v>
      </c>
      <c r="K570">
        <f t="shared" si="24"/>
        <v>1663.599975585938</v>
      </c>
      <c r="L570" s="5">
        <f t="shared" si="25"/>
        <v>-9.2029320649643864E-2</v>
      </c>
    </row>
    <row r="571" spans="1:12" x14ac:dyDescent="0.3">
      <c r="A571" s="2">
        <v>45846</v>
      </c>
      <c r="B571">
        <v>1488.300048828125</v>
      </c>
      <c r="C571">
        <f t="shared" si="26"/>
        <v>2.2844199638554436E-3</v>
      </c>
      <c r="K571">
        <f t="shared" si="24"/>
        <v>1663.599975585938</v>
      </c>
      <c r="L571" s="5">
        <f t="shared" si="25"/>
        <v>-0.10537384547392192</v>
      </c>
    </row>
    <row r="572" spans="1:12" x14ac:dyDescent="0.3">
      <c r="A572" s="2">
        <v>45847</v>
      </c>
      <c r="B572">
        <v>1491.699951171875</v>
      </c>
      <c r="C572">
        <f t="shared" si="26"/>
        <v>-9.3181623642410658E-3</v>
      </c>
      <c r="K572">
        <f t="shared" si="24"/>
        <v>1663.599975585938</v>
      </c>
      <c r="L572" s="5">
        <f t="shared" si="25"/>
        <v>-0.1033301436263353</v>
      </c>
    </row>
    <row r="573" spans="1:12" x14ac:dyDescent="0.3">
      <c r="A573" s="2">
        <v>45848</v>
      </c>
      <c r="B573">
        <v>1477.800048828125</v>
      </c>
      <c r="C573">
        <f t="shared" si="26"/>
        <v>4.8720739842879699E-3</v>
      </c>
      <c r="K573">
        <f t="shared" si="24"/>
        <v>1663.599975585938</v>
      </c>
      <c r="L573" s="5">
        <f t="shared" si="25"/>
        <v>-0.11168545893514592</v>
      </c>
    </row>
    <row r="574" spans="1:12" x14ac:dyDescent="0.3">
      <c r="A574" s="2">
        <v>45849</v>
      </c>
      <c r="B574">
        <v>1485</v>
      </c>
      <c r="C574">
        <f t="shared" si="26"/>
        <v>-6.7340067340067344E-4</v>
      </c>
      <c r="K574">
        <f t="shared" si="24"/>
        <v>1663.599975585938</v>
      </c>
      <c r="L574" s="5">
        <f t="shared" si="25"/>
        <v>-0.10735752476975913</v>
      </c>
    </row>
    <row r="575" spans="1:12" x14ac:dyDescent="0.3">
      <c r="A575" s="2">
        <v>45852</v>
      </c>
      <c r="B575">
        <v>1484</v>
      </c>
      <c r="C575">
        <f t="shared" si="26"/>
        <v>4.6496121388558253E-3</v>
      </c>
      <c r="K575">
        <f t="shared" si="24"/>
        <v>1663.599975585938</v>
      </c>
      <c r="L575" s="5">
        <f t="shared" si="25"/>
        <v>-0.10795863081368517</v>
      </c>
    </row>
    <row r="576" spans="1:12" x14ac:dyDescent="0.3">
      <c r="A576" s="2">
        <v>45853</v>
      </c>
      <c r="B576">
        <v>1490.900024414062</v>
      </c>
      <c r="C576">
        <f t="shared" si="26"/>
        <v>-1.0128093996021954E-2</v>
      </c>
      <c r="K576">
        <f t="shared" si="24"/>
        <v>1663.599975585938</v>
      </c>
      <c r="L576" s="5">
        <f t="shared" si="25"/>
        <v>-0.10381098443515491</v>
      </c>
    </row>
    <row r="577" spans="1:12" x14ac:dyDescent="0.3">
      <c r="A577" s="2">
        <v>45854</v>
      </c>
      <c r="B577">
        <v>1475.800048828125</v>
      </c>
      <c r="C577">
        <f t="shared" si="26"/>
        <v>4.4721340070274611E-3</v>
      </c>
      <c r="K577">
        <f t="shared" si="24"/>
        <v>1663.599975585938</v>
      </c>
      <c r="L577" s="5">
        <f t="shared" si="25"/>
        <v>-0.11288767102299802</v>
      </c>
    </row>
    <row r="578" spans="1:12" x14ac:dyDescent="0.3">
      <c r="A578" s="2">
        <v>45855</v>
      </c>
      <c r="B578">
        <v>1482.400024414062</v>
      </c>
      <c r="C578">
        <f t="shared" si="26"/>
        <v>-6.7441705538666532E-5</v>
      </c>
      <c r="K578">
        <f t="shared" ref="K578:K641" si="27">MAX(B578:B1317)</f>
        <v>1663.599975585938</v>
      </c>
      <c r="L578" s="5">
        <f t="shared" ref="L578:L641" si="28">B578/K578-1</f>
        <v>-0.1089203858085267</v>
      </c>
    </row>
    <row r="579" spans="1:12" x14ac:dyDescent="0.3">
      <c r="A579" s="2">
        <v>45856</v>
      </c>
      <c r="B579">
        <v>1482.300048828125</v>
      </c>
      <c r="C579">
        <f t="shared" ref="C579:C642" si="29">(B580-B579)/B579</f>
        <v>-5.6668853385681501E-3</v>
      </c>
      <c r="K579">
        <f t="shared" si="27"/>
        <v>1663.599975585938</v>
      </c>
      <c r="L579" s="5">
        <f t="shared" si="28"/>
        <v>-0.10898048173747843</v>
      </c>
    </row>
    <row r="580" spans="1:12" x14ac:dyDescent="0.3">
      <c r="A580" s="2">
        <v>45859</v>
      </c>
      <c r="B580">
        <v>1473.900024414062</v>
      </c>
      <c r="C580">
        <f t="shared" si="29"/>
        <v>-6.4454846615371042E-3</v>
      </c>
      <c r="K580">
        <f t="shared" si="27"/>
        <v>1663.599975585938</v>
      </c>
      <c r="L580" s="5">
        <f t="shared" si="28"/>
        <v>-0.11402978718189838</v>
      </c>
    </row>
    <row r="581" spans="1:12" x14ac:dyDescent="0.3">
      <c r="A581" s="2">
        <v>45860</v>
      </c>
      <c r="B581">
        <v>1464.400024414062</v>
      </c>
      <c r="C581">
        <f t="shared" si="29"/>
        <v>6.2141323642623198E-3</v>
      </c>
      <c r="K581">
        <f t="shared" si="27"/>
        <v>1663.599975585938</v>
      </c>
      <c r="L581" s="5">
        <f t="shared" si="28"/>
        <v>-0.11974029459919622</v>
      </c>
    </row>
    <row r="582" spans="1:12" x14ac:dyDescent="0.3">
      <c r="A582" s="2">
        <v>45861</v>
      </c>
      <c r="B582">
        <v>1473.5</v>
      </c>
      <c r="C582">
        <f t="shared" si="29"/>
        <v>9.772666721453712E-3</v>
      </c>
      <c r="K582">
        <f t="shared" si="27"/>
        <v>1663.599975585938</v>
      </c>
      <c r="L582" s="5">
        <f t="shared" si="28"/>
        <v>-0.11427024427490906</v>
      </c>
    </row>
    <row r="583" spans="1:12" x14ac:dyDescent="0.3">
      <c r="A583" s="2">
        <v>45862</v>
      </c>
      <c r="B583">
        <v>1487.900024414062</v>
      </c>
      <c r="C583">
        <f t="shared" si="29"/>
        <v>2.9975115837168907E-2</v>
      </c>
      <c r="K583">
        <f t="shared" si="27"/>
        <v>1663.599975585938</v>
      </c>
      <c r="L583" s="5">
        <f t="shared" si="28"/>
        <v>-0.10561430256693316</v>
      </c>
    </row>
    <row r="584" spans="1:12" x14ac:dyDescent="0.3">
      <c r="A584" s="2">
        <v>45863</v>
      </c>
      <c r="B584">
        <v>1532.5</v>
      </c>
      <c r="C584">
        <f t="shared" si="29"/>
        <v>2.5774877650897227E-2</v>
      </c>
      <c r="K584">
        <f t="shared" si="27"/>
        <v>1663.599975585938</v>
      </c>
      <c r="L584" s="5">
        <f t="shared" si="28"/>
        <v>-7.8804987683269934E-2</v>
      </c>
    </row>
    <row r="585" spans="1:12" x14ac:dyDescent="0.3">
      <c r="A585" s="2">
        <v>45866</v>
      </c>
      <c r="B585">
        <v>1572</v>
      </c>
      <c r="C585">
        <f t="shared" si="29"/>
        <v>1.2722646310432571E-3</v>
      </c>
      <c r="K585">
        <f t="shared" si="27"/>
        <v>1663.599975585938</v>
      </c>
      <c r="L585" s="5">
        <f t="shared" si="28"/>
        <v>-5.5061298948189452E-2</v>
      </c>
    </row>
    <row r="586" spans="1:12" x14ac:dyDescent="0.3">
      <c r="A586" s="2">
        <v>45867</v>
      </c>
      <c r="B586">
        <v>1574</v>
      </c>
      <c r="C586">
        <f t="shared" si="29"/>
        <v>-9.2757151117776084E-3</v>
      </c>
      <c r="K586">
        <f t="shared" si="27"/>
        <v>1663.599975585938</v>
      </c>
      <c r="L586" s="5">
        <f t="shared" si="28"/>
        <v>-5.3859086860337246E-2</v>
      </c>
    </row>
    <row r="587" spans="1:12" x14ac:dyDescent="0.3">
      <c r="A587" s="2">
        <v>45868</v>
      </c>
      <c r="B587">
        <v>1559.400024414062</v>
      </c>
      <c r="C587">
        <f t="shared" si="29"/>
        <v>-3.0781382281481551E-3</v>
      </c>
      <c r="K587">
        <f t="shared" si="27"/>
        <v>1663.599975585938</v>
      </c>
      <c r="L587" s="5">
        <f t="shared" si="28"/>
        <v>-6.263522042621783E-2</v>
      </c>
    </row>
    <row r="588" spans="1:12" x14ac:dyDescent="0.3">
      <c r="A588" s="2">
        <v>45869</v>
      </c>
      <c r="B588">
        <v>1554.599975585938</v>
      </c>
      <c r="C588">
        <f t="shared" si="29"/>
        <v>-3.3320421697735622E-2</v>
      </c>
      <c r="K588">
        <f t="shared" si="27"/>
        <v>1663.599975585938</v>
      </c>
      <c r="L588" s="5">
        <f t="shared" si="28"/>
        <v>-6.5520558787943606E-2</v>
      </c>
    </row>
    <row r="589" spans="1:12" x14ac:dyDescent="0.3">
      <c r="A589" s="2">
        <v>45870</v>
      </c>
      <c r="B589">
        <v>1502.800048828125</v>
      </c>
      <c r="C589">
        <f t="shared" si="29"/>
        <v>8.1846728494614895E-3</v>
      </c>
      <c r="K589">
        <f t="shared" si="27"/>
        <v>1663.599975585938</v>
      </c>
      <c r="L589" s="5">
        <f t="shared" si="28"/>
        <v>-9.6657807836993626E-2</v>
      </c>
    </row>
    <row r="590" spans="1:12" x14ac:dyDescent="0.3">
      <c r="A590" s="2">
        <v>45873</v>
      </c>
      <c r="B590">
        <v>1515.099975585938</v>
      </c>
      <c r="C590">
        <f t="shared" si="29"/>
        <v>-1.0098295164908825E-2</v>
      </c>
      <c r="K590">
        <f t="shared" si="27"/>
        <v>1663.599975585938</v>
      </c>
      <c r="L590" s="5">
        <f t="shared" si="28"/>
        <v>-8.9264247523024087E-2</v>
      </c>
    </row>
    <row r="591" spans="1:12" x14ac:dyDescent="0.3">
      <c r="A591" s="2">
        <v>45874</v>
      </c>
      <c r="B591">
        <v>1499.800048828125</v>
      </c>
      <c r="C591">
        <f t="shared" si="29"/>
        <v>-8.7345627615399903E-3</v>
      </c>
      <c r="K591">
        <f t="shared" si="27"/>
        <v>1663.599975585938</v>
      </c>
      <c r="L591" s="5">
        <f t="shared" si="28"/>
        <v>-9.846112596877199E-2</v>
      </c>
    </row>
    <row r="592" spans="1:12" x14ac:dyDescent="0.3">
      <c r="A592" s="2">
        <v>45875</v>
      </c>
      <c r="B592">
        <v>1486.699951171875</v>
      </c>
      <c r="C592">
        <f t="shared" si="29"/>
        <v>2.8923447698612848E-3</v>
      </c>
      <c r="K592">
        <f t="shared" si="27"/>
        <v>1663.599975585938</v>
      </c>
      <c r="L592" s="5">
        <f t="shared" si="28"/>
        <v>-0.10633567384596576</v>
      </c>
    </row>
    <row r="593" spans="1:12" x14ac:dyDescent="0.3">
      <c r="A593" s="2">
        <v>45876</v>
      </c>
      <c r="B593">
        <v>1491</v>
      </c>
      <c r="C593">
        <f t="shared" si="29"/>
        <v>-3.487559471411804E-3</v>
      </c>
      <c r="K593">
        <f t="shared" si="27"/>
        <v>1663.599975585938</v>
      </c>
      <c r="L593" s="5">
        <f t="shared" si="28"/>
        <v>-0.10375088850620251</v>
      </c>
    </row>
    <row r="594" spans="1:12" x14ac:dyDescent="0.3">
      <c r="A594" s="2">
        <v>45877</v>
      </c>
      <c r="B594">
        <v>1485.800048828125</v>
      </c>
      <c r="C594">
        <f t="shared" si="29"/>
        <v>1.2787723364920881E-2</v>
      </c>
      <c r="K594">
        <f t="shared" si="27"/>
        <v>1663.599975585938</v>
      </c>
      <c r="L594" s="5">
        <f t="shared" si="28"/>
        <v>-0.10687661058373721</v>
      </c>
    </row>
    <row r="595" spans="1:12" x14ac:dyDescent="0.3">
      <c r="A595" s="2">
        <v>45880</v>
      </c>
      <c r="B595">
        <v>1504.800048828125</v>
      </c>
      <c r="C595">
        <f t="shared" si="29"/>
        <v>1.1164225287536396E-2</v>
      </c>
      <c r="K595">
        <f t="shared" si="27"/>
        <v>1663.599975585938</v>
      </c>
      <c r="L595" s="5">
        <f t="shared" si="28"/>
        <v>-9.5455595749141531E-2</v>
      </c>
    </row>
    <row r="596" spans="1:12" x14ac:dyDescent="0.3">
      <c r="A596" s="2">
        <v>45881</v>
      </c>
      <c r="B596">
        <v>1521.599975585938</v>
      </c>
      <c r="C596">
        <f t="shared" si="29"/>
        <v>2.5893812464665607E-2</v>
      </c>
      <c r="K596">
        <f t="shared" si="27"/>
        <v>1663.599975585938</v>
      </c>
      <c r="L596" s="5">
        <f t="shared" si="28"/>
        <v>-8.5357058237504502E-2</v>
      </c>
    </row>
    <row r="597" spans="1:12" x14ac:dyDescent="0.3">
      <c r="A597" s="2">
        <v>45882</v>
      </c>
      <c r="B597">
        <v>1561</v>
      </c>
      <c r="C597">
        <f t="shared" si="29"/>
        <v>1.9218449711723255E-3</v>
      </c>
      <c r="K597">
        <f t="shared" si="27"/>
        <v>1663.599975585938</v>
      </c>
      <c r="L597" s="5">
        <f t="shared" si="28"/>
        <v>-6.1673465431376417E-2</v>
      </c>
    </row>
    <row r="598" spans="1:12" x14ac:dyDescent="0.3">
      <c r="A598" s="2">
        <v>45883</v>
      </c>
      <c r="B598">
        <v>1564</v>
      </c>
      <c r="C598">
        <f t="shared" si="29"/>
        <v>7.6723220708120208E-4</v>
      </c>
      <c r="K598">
        <f t="shared" si="27"/>
        <v>1663.599975585938</v>
      </c>
      <c r="L598" s="5">
        <f t="shared" si="28"/>
        <v>-5.9870147299598164E-2</v>
      </c>
    </row>
    <row r="599" spans="1:12" x14ac:dyDescent="0.3">
      <c r="A599" s="2">
        <v>45887</v>
      </c>
      <c r="B599">
        <v>1565.199951171875</v>
      </c>
      <c r="C599">
        <f t="shared" si="29"/>
        <v>-1.0413958130786483E-2</v>
      </c>
      <c r="K599">
        <f t="shared" si="27"/>
        <v>1663.599975585938</v>
      </c>
      <c r="L599" s="5">
        <f t="shared" si="28"/>
        <v>-5.9148849397767878E-2</v>
      </c>
    </row>
    <row r="600" spans="1:12" x14ac:dyDescent="0.3">
      <c r="A600" s="2">
        <v>45888</v>
      </c>
      <c r="B600">
        <v>1548.900024414062</v>
      </c>
      <c r="C600">
        <f t="shared" si="29"/>
        <v>-1.8077660171664915E-3</v>
      </c>
      <c r="K600">
        <f t="shared" si="27"/>
        <v>1663.599975585938</v>
      </c>
      <c r="L600" s="5">
        <f t="shared" si="28"/>
        <v>-6.8946833887441827E-2</v>
      </c>
    </row>
    <row r="601" spans="1:12" x14ac:dyDescent="0.3">
      <c r="A601" s="2">
        <v>45889</v>
      </c>
      <c r="B601">
        <v>1546.099975585938</v>
      </c>
      <c r="C601">
        <f t="shared" si="29"/>
        <v>3.0205079865219416E-2</v>
      </c>
      <c r="K601">
        <f t="shared" si="27"/>
        <v>1663.599975585938</v>
      </c>
      <c r="L601" s="5">
        <f t="shared" si="28"/>
        <v>-7.0629960161315397E-2</v>
      </c>
    </row>
    <row r="602" spans="1:12" x14ac:dyDescent="0.3">
      <c r="A602" s="2">
        <v>45890</v>
      </c>
      <c r="B602">
        <v>1592.800048828125</v>
      </c>
      <c r="C602">
        <f t="shared" si="29"/>
        <v>0</v>
      </c>
      <c r="K602">
        <f t="shared" si="27"/>
        <v>1663.599975585938</v>
      </c>
      <c r="L602" s="5">
        <f t="shared" si="28"/>
        <v>-4.2558263883645697E-2</v>
      </c>
    </row>
    <row r="603" spans="1:12" x14ac:dyDescent="0.3">
      <c r="A603" s="2">
        <v>45891</v>
      </c>
      <c r="B603">
        <v>1592.800048828125</v>
      </c>
      <c r="C603">
        <f t="shared" si="29"/>
        <v>5.2736703203456591E-3</v>
      </c>
      <c r="K603">
        <f t="shared" si="27"/>
        <v>1663.599975585938</v>
      </c>
      <c r="L603" s="5">
        <f t="shared" si="28"/>
        <v>-4.2558263883645697E-2</v>
      </c>
    </row>
    <row r="604" spans="1:12" x14ac:dyDescent="0.3">
      <c r="A604" s="2">
        <v>45894</v>
      </c>
      <c r="B604">
        <v>1601.199951171875</v>
      </c>
      <c r="C604">
        <f t="shared" si="29"/>
        <v>-1.336491568594415E-2</v>
      </c>
      <c r="K604">
        <f t="shared" si="27"/>
        <v>1663.599975585938</v>
      </c>
      <c r="L604" s="5">
        <f t="shared" si="28"/>
        <v>-3.7509031816428728E-2</v>
      </c>
    </row>
    <row r="605" spans="1:12" x14ac:dyDescent="0.3">
      <c r="A605" s="2">
        <v>45895</v>
      </c>
      <c r="B605">
        <v>1579.800048828125</v>
      </c>
      <c r="C605">
        <f t="shared" si="29"/>
        <v>3.1649574917464617E-4</v>
      </c>
      <c r="K605">
        <f t="shared" si="27"/>
        <v>1663.599975585938</v>
      </c>
      <c r="L605" s="5">
        <f t="shared" si="28"/>
        <v>-5.0372642454684868E-2</v>
      </c>
    </row>
    <row r="606" spans="1:12" x14ac:dyDescent="0.3">
      <c r="A606" s="2">
        <v>45897</v>
      </c>
      <c r="B606">
        <v>1580.300048828125</v>
      </c>
      <c r="C606">
        <f t="shared" si="29"/>
        <v>5.758384676811946E-3</v>
      </c>
      <c r="K606">
        <f t="shared" si="27"/>
        <v>1663.599975585938</v>
      </c>
      <c r="L606" s="5">
        <f t="shared" si="28"/>
        <v>-5.0072089432721789E-2</v>
      </c>
    </row>
    <row r="607" spans="1:12" x14ac:dyDescent="0.3">
      <c r="A607" s="2">
        <v>45898</v>
      </c>
      <c r="B607">
        <v>1589.400024414062</v>
      </c>
      <c r="C607">
        <f t="shared" si="29"/>
        <v>-1.3842161874875458E-3</v>
      </c>
      <c r="K607">
        <f t="shared" si="27"/>
        <v>1663.599975585938</v>
      </c>
      <c r="L607" s="5">
        <f t="shared" si="28"/>
        <v>-4.4602039108435187E-2</v>
      </c>
    </row>
    <row r="608" spans="1:12" x14ac:dyDescent="0.3">
      <c r="A608" s="2">
        <v>45901</v>
      </c>
      <c r="B608">
        <v>1587.199951171875</v>
      </c>
      <c r="C608">
        <f t="shared" si="29"/>
        <v>-1.134072615533417E-2</v>
      </c>
      <c r="K608">
        <f t="shared" si="27"/>
        <v>1663.599975585938</v>
      </c>
      <c r="L608" s="5">
        <f t="shared" si="28"/>
        <v>-4.5924516431393947E-2</v>
      </c>
    </row>
    <row r="609" spans="1:12" x14ac:dyDescent="0.3">
      <c r="A609" s="2">
        <v>45902</v>
      </c>
      <c r="B609">
        <v>1569.199951171875</v>
      </c>
      <c r="C609">
        <f t="shared" si="29"/>
        <v>5.8629069133710153E-3</v>
      </c>
      <c r="K609">
        <f t="shared" si="27"/>
        <v>1663.599975585938</v>
      </c>
      <c r="L609" s="5">
        <f t="shared" si="28"/>
        <v>-5.6744425222063466E-2</v>
      </c>
    </row>
    <row r="610" spans="1:12" x14ac:dyDescent="0.3">
      <c r="A610" s="2">
        <v>45903</v>
      </c>
      <c r="B610">
        <v>1578.400024414062</v>
      </c>
      <c r="C610">
        <f t="shared" si="29"/>
        <v>-3.8011630553526495E-4</v>
      </c>
      <c r="K610">
        <f t="shared" si="27"/>
        <v>1663.599975585938</v>
      </c>
      <c r="L610" s="5">
        <f t="shared" si="28"/>
        <v>-5.1214205591622153E-2</v>
      </c>
    </row>
    <row r="611" spans="1:12" x14ac:dyDescent="0.3">
      <c r="A611" s="2">
        <v>45904</v>
      </c>
      <c r="B611">
        <v>1577.800048828125</v>
      </c>
      <c r="C611">
        <f t="shared" si="29"/>
        <v>-1.5464585916438218E-2</v>
      </c>
      <c r="K611">
        <f t="shared" si="27"/>
        <v>1663.599975585938</v>
      </c>
      <c r="L611" s="5">
        <f t="shared" si="28"/>
        <v>-5.1574854542537074E-2</v>
      </c>
    </row>
    <row r="612" spans="1:12" x14ac:dyDescent="0.3">
      <c r="A612" s="2">
        <v>45905</v>
      </c>
      <c r="B612">
        <v>1553.400024414062</v>
      </c>
      <c r="C612">
        <f t="shared" si="29"/>
        <v>-7.8537872089894413E-3</v>
      </c>
      <c r="K612">
        <f t="shared" si="27"/>
        <v>1663.599975585938</v>
      </c>
      <c r="L612" s="5">
        <f t="shared" si="28"/>
        <v>-6.6241856689774448E-2</v>
      </c>
    </row>
    <row r="613" spans="1:12" x14ac:dyDescent="0.3">
      <c r="A613" s="2">
        <v>45908</v>
      </c>
      <c r="B613">
        <v>1541.199951171875</v>
      </c>
      <c r="C613">
        <f t="shared" si="29"/>
        <v>6.7480046350605815E-3</v>
      </c>
      <c r="K613">
        <f t="shared" si="27"/>
        <v>1663.599975585938</v>
      </c>
      <c r="L613" s="5">
        <f t="shared" si="28"/>
        <v>-7.3575394451994014E-2</v>
      </c>
    </row>
    <row r="614" spans="1:12" x14ac:dyDescent="0.3">
      <c r="A614" s="2">
        <v>45909</v>
      </c>
      <c r="B614">
        <v>1551.599975585938</v>
      </c>
      <c r="C614">
        <f t="shared" si="29"/>
        <v>7.8628985783399975E-3</v>
      </c>
      <c r="K614">
        <f t="shared" si="27"/>
        <v>1663.599975585938</v>
      </c>
      <c r="L614" s="5">
        <f t="shared" si="28"/>
        <v>-6.7323876919721859E-2</v>
      </c>
    </row>
    <row r="615" spans="1:12" x14ac:dyDescent="0.3">
      <c r="A615" s="2">
        <v>45910</v>
      </c>
      <c r="B615">
        <v>1563.800048828125</v>
      </c>
      <c r="C615">
        <f t="shared" si="29"/>
        <v>-1.9184038280649304E-3</v>
      </c>
      <c r="K615">
        <f t="shared" si="27"/>
        <v>1663.599975585938</v>
      </c>
      <c r="L615" s="5">
        <f t="shared" si="28"/>
        <v>-5.9990339157502293E-2</v>
      </c>
    </row>
    <row r="616" spans="1:12" x14ac:dyDescent="0.3">
      <c r="A616" s="2">
        <v>45911</v>
      </c>
      <c r="B616">
        <v>1560.800048828125</v>
      </c>
      <c r="C616">
        <f t="shared" si="29"/>
        <v>8.8415724795589106E-3</v>
      </c>
      <c r="K616">
        <f t="shared" si="27"/>
        <v>1663.599975585938</v>
      </c>
      <c r="L616" s="5">
        <f t="shared" si="28"/>
        <v>-6.1793657289280546E-2</v>
      </c>
    </row>
    <row r="617" spans="1:12" x14ac:dyDescent="0.3">
      <c r="A617" s="2">
        <v>45912</v>
      </c>
      <c r="B617">
        <v>1574.599975585938</v>
      </c>
      <c r="C617">
        <f t="shared" si="29"/>
        <v>-1.6702608386632459E-2</v>
      </c>
      <c r="K617">
        <f t="shared" si="27"/>
        <v>1663.599975585938</v>
      </c>
      <c r="L617" s="5">
        <f t="shared" si="28"/>
        <v>-5.3498437909421881E-2</v>
      </c>
    </row>
    <row r="618" spans="1:12" x14ac:dyDescent="0.3">
      <c r="A618" s="2">
        <v>45915</v>
      </c>
      <c r="B618">
        <v>1548.300048828125</v>
      </c>
      <c r="C618">
        <f t="shared" si="29"/>
        <v>6.9107736449233875E-3</v>
      </c>
      <c r="K618">
        <f t="shared" si="27"/>
        <v>1663.599975585938</v>
      </c>
      <c r="L618" s="5">
        <f t="shared" si="28"/>
        <v>-6.9307482838356638E-2</v>
      </c>
    </row>
    <row r="619" spans="1:12" x14ac:dyDescent="0.3">
      <c r="A619" s="2">
        <v>45916</v>
      </c>
      <c r="B619">
        <v>1559</v>
      </c>
      <c r="C619">
        <f t="shared" si="29"/>
        <v>3.8484643100574389E-4</v>
      </c>
      <c r="K619">
        <f t="shared" si="27"/>
        <v>1663.599975585938</v>
      </c>
      <c r="L619" s="5">
        <f t="shared" si="28"/>
        <v>-6.2875677519228623E-2</v>
      </c>
    </row>
    <row r="620" spans="1:12" x14ac:dyDescent="0.3">
      <c r="A620" s="2">
        <v>45917</v>
      </c>
      <c r="B620">
        <v>1559.599975585938</v>
      </c>
      <c r="C620">
        <f t="shared" si="29"/>
        <v>1.1926119439024151E-2</v>
      </c>
      <c r="K620">
        <f t="shared" si="27"/>
        <v>1663.599975585938</v>
      </c>
      <c r="L620" s="5">
        <f t="shared" si="28"/>
        <v>-6.2515028568313147E-2</v>
      </c>
    </row>
    <row r="621" spans="1:12" x14ac:dyDescent="0.3">
      <c r="A621" s="2">
        <v>45918</v>
      </c>
      <c r="B621">
        <v>1578.199951171875</v>
      </c>
      <c r="C621">
        <f t="shared" si="29"/>
        <v>-1.5206579761759458E-3</v>
      </c>
      <c r="K621">
        <f t="shared" si="27"/>
        <v>1663.599975585938</v>
      </c>
      <c r="L621" s="5">
        <f t="shared" si="28"/>
        <v>-5.1334470826728706E-2</v>
      </c>
    </row>
    <row r="622" spans="1:12" x14ac:dyDescent="0.3">
      <c r="A622" s="2">
        <v>45919</v>
      </c>
      <c r="B622">
        <v>1575.800048828125</v>
      </c>
      <c r="C622">
        <f t="shared" si="29"/>
        <v>-2.1322564167476313E-2</v>
      </c>
      <c r="K622">
        <f t="shared" si="27"/>
        <v>1663.599975585938</v>
      </c>
      <c r="L622" s="5">
        <f t="shared" si="28"/>
        <v>-5.277706663038928E-2</v>
      </c>
    </row>
    <row r="623" spans="1:12" x14ac:dyDescent="0.3">
      <c r="A623" s="2">
        <v>45922</v>
      </c>
      <c r="B623">
        <v>1542.199951171875</v>
      </c>
      <c r="C623">
        <f t="shared" si="29"/>
        <v>-9.7911918454302842E-3</v>
      </c>
      <c r="K623">
        <f t="shared" si="27"/>
        <v>1663.599975585938</v>
      </c>
      <c r="L623" s="5">
        <f t="shared" si="28"/>
        <v>-7.2974288408067856E-2</v>
      </c>
    </row>
    <row r="624" spans="1:12" x14ac:dyDescent="0.3">
      <c r="A624" s="2">
        <v>45923</v>
      </c>
      <c r="B624">
        <v>1527.099975585938</v>
      </c>
      <c r="C624">
        <f t="shared" si="29"/>
        <v>7.137728104461386E-3</v>
      </c>
      <c r="K624">
        <f t="shared" si="27"/>
        <v>1663.599975585938</v>
      </c>
      <c r="L624" s="5">
        <f t="shared" si="28"/>
        <v>-8.2050974995911075E-2</v>
      </c>
    </row>
    <row r="625" spans="1:12" x14ac:dyDescent="0.3">
      <c r="A625" s="2">
        <v>45924</v>
      </c>
      <c r="B625">
        <v>1538</v>
      </c>
      <c r="C625">
        <f t="shared" si="29"/>
        <v>-1.8400551903852407E-2</v>
      </c>
      <c r="K625">
        <f t="shared" si="27"/>
        <v>1663.599975585938</v>
      </c>
      <c r="L625" s="5">
        <f t="shared" si="28"/>
        <v>-7.5498904441676395E-2</v>
      </c>
    </row>
    <row r="626" spans="1:12" x14ac:dyDescent="0.3">
      <c r="A626" s="2">
        <v>45925</v>
      </c>
      <c r="B626">
        <v>1509.699951171875</v>
      </c>
      <c r="C626">
        <f t="shared" si="29"/>
        <v>-6.8224992322599189E-3</v>
      </c>
      <c r="K626">
        <f t="shared" si="27"/>
        <v>1663.599975585938</v>
      </c>
      <c r="L626" s="5">
        <f t="shared" si="28"/>
        <v>-9.2510234835665783E-2</v>
      </c>
    </row>
    <row r="627" spans="1:12" x14ac:dyDescent="0.3">
      <c r="A627" s="2">
        <v>45926</v>
      </c>
      <c r="B627">
        <v>1499.400024414062</v>
      </c>
      <c r="C627">
        <f t="shared" si="29"/>
        <v>-7.6030573752437847E-3</v>
      </c>
      <c r="K627">
        <f t="shared" si="27"/>
        <v>1663.599975585938</v>
      </c>
      <c r="L627" s="5">
        <f t="shared" si="28"/>
        <v>-9.8701583061783116E-2</v>
      </c>
    </row>
    <row r="628" spans="1:12" x14ac:dyDescent="0.3">
      <c r="A628" s="2">
        <v>45929</v>
      </c>
      <c r="B628">
        <v>1488</v>
      </c>
      <c r="C628">
        <f t="shared" si="29"/>
        <v>1.0282290879116264E-2</v>
      </c>
      <c r="K628">
        <f t="shared" si="27"/>
        <v>1663.599975585938</v>
      </c>
      <c r="L628" s="5">
        <f t="shared" si="28"/>
        <v>-0.10555420663798087</v>
      </c>
    </row>
    <row r="629" spans="1:12" x14ac:dyDescent="0.3">
      <c r="A629" s="2">
        <v>45930</v>
      </c>
      <c r="B629">
        <v>1503.300048828125</v>
      </c>
      <c r="C629">
        <f t="shared" si="29"/>
        <v>6.4524385397555541E-3</v>
      </c>
      <c r="K629">
        <f t="shared" si="27"/>
        <v>1663.599975585938</v>
      </c>
      <c r="L629" s="5">
        <f t="shared" si="28"/>
        <v>-9.6357254815030657E-2</v>
      </c>
    </row>
    <row r="630" spans="1:12" x14ac:dyDescent="0.3">
      <c r="A630" s="2">
        <v>45931</v>
      </c>
      <c r="B630">
        <v>1513</v>
      </c>
      <c r="C630">
        <f t="shared" si="29"/>
        <v>3.106378831378057E-3</v>
      </c>
      <c r="K630">
        <f t="shared" si="27"/>
        <v>1663.599975585938</v>
      </c>
      <c r="L630" s="5">
        <f t="shared" si="28"/>
        <v>-9.0526555539828579E-2</v>
      </c>
    </row>
    <row r="631" spans="1:12" x14ac:dyDescent="0.3">
      <c r="A631" s="2">
        <v>45933</v>
      </c>
      <c r="B631">
        <v>1517.699951171875</v>
      </c>
      <c r="C631">
        <f t="shared" si="29"/>
        <v>-3.0308860340841587E-3</v>
      </c>
      <c r="K631">
        <f t="shared" si="27"/>
        <v>1663.599975585938</v>
      </c>
      <c r="L631" s="5">
        <f t="shared" si="28"/>
        <v>-8.7701386484257071E-2</v>
      </c>
    </row>
    <row r="632" spans="1:12" x14ac:dyDescent="0.3">
      <c r="A632" s="2">
        <v>45936</v>
      </c>
      <c r="B632">
        <v>1513.099975585938</v>
      </c>
      <c r="C632">
        <f t="shared" si="29"/>
        <v>1.3222737784366709E-4</v>
      </c>
      <c r="K632">
        <f t="shared" si="27"/>
        <v>1663.599975585938</v>
      </c>
      <c r="L632" s="5">
        <f t="shared" si="28"/>
        <v>-9.0466459610876293E-2</v>
      </c>
    </row>
    <row r="633" spans="1:12" x14ac:dyDescent="0.3">
      <c r="A633" s="2">
        <v>45937</v>
      </c>
      <c r="B633">
        <v>1513.300048828125</v>
      </c>
      <c r="C633">
        <f t="shared" si="29"/>
        <v>-1.2357148376931646E-2</v>
      </c>
      <c r="K633">
        <f t="shared" si="27"/>
        <v>1663.599975585938</v>
      </c>
      <c r="L633" s="5">
        <f t="shared" si="28"/>
        <v>-9.0346194375769739E-2</v>
      </c>
    </row>
    <row r="634" spans="1:12" x14ac:dyDescent="0.3">
      <c r="A634" s="2">
        <v>45938</v>
      </c>
      <c r="B634">
        <v>1494.599975585938</v>
      </c>
      <c r="C634">
        <f t="shared" si="29"/>
        <v>1.2377893953027345E-2</v>
      </c>
      <c r="K634">
        <f t="shared" si="27"/>
        <v>1663.599975585938</v>
      </c>
      <c r="L634" s="5">
        <f t="shared" si="28"/>
        <v>-0.10158692142350889</v>
      </c>
    </row>
    <row r="635" spans="1:12" x14ac:dyDescent="0.3">
      <c r="A635" s="2">
        <v>45939</v>
      </c>
      <c r="B635">
        <v>1513.099975585938</v>
      </c>
      <c r="C635">
        <f t="shared" si="29"/>
        <v>3.2185628199041021E-2</v>
      </c>
      <c r="K635">
        <f t="shared" si="27"/>
        <v>1663.599975585938</v>
      </c>
      <c r="L635" s="5">
        <f t="shared" si="28"/>
        <v>-9.0466459610876293E-2</v>
      </c>
    </row>
    <row r="636" spans="1:12" x14ac:dyDescent="0.3">
      <c r="A636" s="2">
        <v>45940</v>
      </c>
      <c r="B636">
        <v>1561.800048828125</v>
      </c>
      <c r="C636">
        <f t="shared" si="29"/>
        <v>1.1524693952747055E-3</v>
      </c>
      <c r="K636">
        <f t="shared" si="27"/>
        <v>1663.599975585938</v>
      </c>
      <c r="L636" s="5">
        <f t="shared" si="28"/>
        <v>-6.1192551245354498E-2</v>
      </c>
    </row>
    <row r="637" spans="1:12" x14ac:dyDescent="0.3">
      <c r="A637" s="2">
        <v>45943</v>
      </c>
      <c r="B637">
        <v>1563.599975585938</v>
      </c>
      <c r="C637">
        <f t="shared" si="29"/>
        <v>-7.2268655245907509E-3</v>
      </c>
      <c r="K637">
        <f t="shared" si="27"/>
        <v>1663.599975585938</v>
      </c>
      <c r="L637" s="5">
        <f t="shared" si="28"/>
        <v>-6.0110604392608846E-2</v>
      </c>
    </row>
    <row r="638" spans="1:12" x14ac:dyDescent="0.3">
      <c r="A638" s="2">
        <v>45944</v>
      </c>
      <c r="B638">
        <v>1552.300048828125</v>
      </c>
      <c r="C638">
        <f t="shared" si="29"/>
        <v>4.1228513447393537E-3</v>
      </c>
      <c r="K638">
        <f t="shared" si="27"/>
        <v>1663.599975585938</v>
      </c>
      <c r="L638" s="5">
        <f t="shared" si="28"/>
        <v>-6.6903058662652337E-2</v>
      </c>
    </row>
    <row r="639" spans="1:12" x14ac:dyDescent="0.3">
      <c r="A639" s="2">
        <v>45945</v>
      </c>
      <c r="B639">
        <v>1558.699951171875</v>
      </c>
      <c r="C639">
        <f t="shared" si="29"/>
        <v>6.8647421424132497E-3</v>
      </c>
      <c r="K639">
        <f t="shared" si="27"/>
        <v>1663.599975585938</v>
      </c>
      <c r="L639" s="5">
        <f t="shared" si="28"/>
        <v>-6.3056038683287463E-2</v>
      </c>
    </row>
    <row r="640" spans="1:12" x14ac:dyDescent="0.3">
      <c r="A640" s="2">
        <v>45946</v>
      </c>
      <c r="B640">
        <v>1569.400024414062</v>
      </c>
      <c r="C640">
        <f t="shared" si="29"/>
        <v>5.2248955297024254E-3</v>
      </c>
      <c r="K640">
        <f t="shared" si="27"/>
        <v>1663.599975585938</v>
      </c>
      <c r="L640" s="5">
        <f t="shared" si="28"/>
        <v>-5.6624159986957023E-2</v>
      </c>
    </row>
    <row r="641" spans="1:12" x14ac:dyDescent="0.3">
      <c r="A641" s="2">
        <v>45947</v>
      </c>
      <c r="B641">
        <v>1577.599975585938</v>
      </c>
      <c r="C641">
        <f t="shared" si="29"/>
        <v>3.8983266323364532E-2</v>
      </c>
      <c r="K641">
        <f t="shared" si="27"/>
        <v>1663.599975585938</v>
      </c>
      <c r="L641" s="5">
        <f t="shared" si="28"/>
        <v>-5.1695119777643628E-2</v>
      </c>
    </row>
    <row r="642" spans="1:12" x14ac:dyDescent="0.3">
      <c r="A642" s="2">
        <v>45950</v>
      </c>
      <c r="B642">
        <v>1639.099975585938</v>
      </c>
      <c r="C642">
        <f t="shared" si="29"/>
        <v>1.494722735947931E-2</v>
      </c>
      <c r="K642">
        <f t="shared" ref="K642:K705" si="30">MAX(B642:B1381)</f>
        <v>1663.599975585938</v>
      </c>
      <c r="L642" s="5">
        <f t="shared" ref="L642:L705" si="31">B642/K642-1</f>
        <v>-1.4727098076189105E-2</v>
      </c>
    </row>
    <row r="643" spans="1:12" x14ac:dyDescent="0.3">
      <c r="A643" s="2">
        <v>45951</v>
      </c>
      <c r="B643">
        <v>1663.599975585938</v>
      </c>
      <c r="C643">
        <f t="shared" ref="C643:C706" si="32">(B644-B643)/B643</f>
        <v>-1.1120461812632631E-2</v>
      </c>
      <c r="K643">
        <f t="shared" si="30"/>
        <v>1663.599975585938</v>
      </c>
      <c r="L643" s="5">
        <f t="shared" si="31"/>
        <v>0</v>
      </c>
    </row>
    <row r="644" spans="1:12" x14ac:dyDescent="0.3">
      <c r="A644" s="2">
        <v>45953</v>
      </c>
      <c r="B644">
        <v>1645.099975585938</v>
      </c>
      <c r="C644">
        <f t="shared" si="32"/>
        <v>-3.689742390899757E-2</v>
      </c>
      <c r="K644">
        <f t="shared" si="30"/>
        <v>1645.099975585938</v>
      </c>
      <c r="L644" s="5">
        <f t="shared" si="31"/>
        <v>0</v>
      </c>
    </row>
    <row r="645" spans="1:12" x14ac:dyDescent="0.3">
      <c r="A645" s="2">
        <v>45954</v>
      </c>
      <c r="B645">
        <v>1584.400024414062</v>
      </c>
      <c r="C645">
        <f t="shared" si="32"/>
        <v>-2.5247690475767385E-4</v>
      </c>
      <c r="K645">
        <f t="shared" si="30"/>
        <v>1584.400024414062</v>
      </c>
      <c r="L645" s="5">
        <f t="shared" si="31"/>
        <v>0</v>
      </c>
    </row>
    <row r="646" spans="1:12" x14ac:dyDescent="0.3">
      <c r="A646" s="2">
        <v>45957</v>
      </c>
      <c r="B646">
        <v>1584</v>
      </c>
      <c r="C646">
        <f t="shared" si="32"/>
        <v>-1.0037894200796746E-2</v>
      </c>
      <c r="K646">
        <f t="shared" si="30"/>
        <v>1584</v>
      </c>
      <c r="L646" s="5">
        <f t="shared" si="31"/>
        <v>0</v>
      </c>
    </row>
    <row r="647" spans="1:12" x14ac:dyDescent="0.3">
      <c r="A647" s="2">
        <v>45958</v>
      </c>
      <c r="B647">
        <v>1568.099975585938</v>
      </c>
      <c r="C647">
        <f t="shared" si="32"/>
        <v>8.2902877382817416E-3</v>
      </c>
      <c r="K647">
        <f t="shared" si="30"/>
        <v>1581.099975585938</v>
      </c>
      <c r="L647" s="5">
        <f t="shared" si="31"/>
        <v>-8.222123964793826E-3</v>
      </c>
    </row>
    <row r="648" spans="1:12" x14ac:dyDescent="0.3">
      <c r="A648" s="2">
        <v>45959</v>
      </c>
      <c r="B648">
        <v>1581.099975585938</v>
      </c>
      <c r="C648">
        <f t="shared" si="32"/>
        <v>-2.5931314042811151E-2</v>
      </c>
      <c r="K648">
        <f t="shared" si="30"/>
        <v>1581.099975585938</v>
      </c>
      <c r="L648" s="5">
        <f t="shared" si="31"/>
        <v>0</v>
      </c>
    </row>
    <row r="649" spans="1:12" x14ac:dyDescent="0.3">
      <c r="A649" s="2">
        <v>45960</v>
      </c>
      <c r="B649">
        <v>1540.099975585938</v>
      </c>
      <c r="C649">
        <f t="shared" si="32"/>
        <v>-2.5193122117316669E-2</v>
      </c>
      <c r="K649">
        <f t="shared" si="30"/>
        <v>1540.099975585938</v>
      </c>
      <c r="L649" s="5">
        <f t="shared" si="31"/>
        <v>0</v>
      </c>
    </row>
    <row r="650" spans="1:12" x14ac:dyDescent="0.3">
      <c r="A650" s="2">
        <v>45961</v>
      </c>
      <c r="B650">
        <v>1501.300048828125</v>
      </c>
      <c r="C650">
        <f t="shared" si="32"/>
        <v>6.7940790249336313E-3</v>
      </c>
      <c r="K650">
        <f t="shared" si="30"/>
        <v>1535.599975585938</v>
      </c>
      <c r="L650" s="5">
        <f t="shared" si="31"/>
        <v>-2.2336498634499602E-2</v>
      </c>
    </row>
    <row r="651" spans="1:12" x14ac:dyDescent="0.3">
      <c r="A651" s="2">
        <v>45964</v>
      </c>
      <c r="B651">
        <v>1511.5</v>
      </c>
      <c r="C651">
        <f t="shared" si="32"/>
        <v>-5.4250421249586508E-3</v>
      </c>
      <c r="K651">
        <f t="shared" si="30"/>
        <v>1535.599975585938</v>
      </c>
      <c r="L651" s="5">
        <f t="shared" si="31"/>
        <v>-1.5694175546429157E-2</v>
      </c>
    </row>
    <row r="652" spans="1:12" x14ac:dyDescent="0.3">
      <c r="A652" s="2">
        <v>45965</v>
      </c>
      <c r="B652">
        <v>1503.300048828125</v>
      </c>
      <c r="C652">
        <f t="shared" si="32"/>
        <v>-1.1973982369841609E-3</v>
      </c>
      <c r="K652">
        <f t="shared" si="30"/>
        <v>1535.599975585938</v>
      </c>
      <c r="L652" s="5">
        <f t="shared" si="31"/>
        <v>-2.1034076107931843E-2</v>
      </c>
    </row>
    <row r="653" spans="1:12" x14ac:dyDescent="0.3">
      <c r="A653" s="2">
        <v>45967</v>
      </c>
      <c r="B653">
        <v>1501.5</v>
      </c>
      <c r="C653">
        <f t="shared" si="32"/>
        <v>2.7971702776390275E-3</v>
      </c>
      <c r="K653">
        <f t="shared" si="30"/>
        <v>1535.599975585938</v>
      </c>
      <c r="L653" s="5">
        <f t="shared" si="31"/>
        <v>-2.2206288179267841E-2</v>
      </c>
    </row>
    <row r="654" spans="1:12" x14ac:dyDescent="0.3">
      <c r="A654" s="2">
        <v>45968</v>
      </c>
      <c r="B654">
        <v>1505.699951171875</v>
      </c>
      <c r="C654">
        <f t="shared" si="32"/>
        <v>3.8520615104030956E-3</v>
      </c>
      <c r="K654">
        <f t="shared" si="30"/>
        <v>1535.599975585938</v>
      </c>
      <c r="L654" s="5">
        <f t="shared" si="31"/>
        <v>-1.9471232670900562E-2</v>
      </c>
    </row>
    <row r="655" spans="1:12" x14ac:dyDescent="0.3">
      <c r="A655" s="2">
        <v>45971</v>
      </c>
      <c r="B655">
        <v>1511.5</v>
      </c>
      <c r="C655">
        <f t="shared" si="32"/>
        <v>2.2494372570704899E-3</v>
      </c>
      <c r="K655">
        <f t="shared" si="30"/>
        <v>1535.599975585938</v>
      </c>
      <c r="L655" s="5">
        <f t="shared" si="31"/>
        <v>-1.5694175546429157E-2</v>
      </c>
    </row>
    <row r="656" spans="1:12" x14ac:dyDescent="0.3">
      <c r="A656" s="2">
        <v>45972</v>
      </c>
      <c r="B656">
        <v>1514.900024414062</v>
      </c>
      <c r="C656">
        <f t="shared" si="32"/>
        <v>2.9044982131839429E-3</v>
      </c>
      <c r="K656">
        <f t="shared" si="30"/>
        <v>1535.599975585938</v>
      </c>
      <c r="L656" s="5">
        <f t="shared" si="31"/>
        <v>-1.3480041352551764E-2</v>
      </c>
    </row>
    <row r="657" spans="1:12" x14ac:dyDescent="0.3">
      <c r="A657" s="2">
        <v>45973</v>
      </c>
      <c r="B657">
        <v>1519.300048828125</v>
      </c>
      <c r="C657">
        <f t="shared" si="32"/>
        <v>4.2782859152894889E-3</v>
      </c>
      <c r="K657">
        <f t="shared" si="30"/>
        <v>1535.599975585938</v>
      </c>
      <c r="L657" s="5">
        <f t="shared" si="31"/>
        <v>-1.0614695895389992E-2</v>
      </c>
    </row>
    <row r="658" spans="1:12" x14ac:dyDescent="0.3">
      <c r="A658" s="2">
        <v>45974</v>
      </c>
      <c r="B658">
        <v>1525.800048828125</v>
      </c>
      <c r="C658">
        <f t="shared" si="32"/>
        <v>4.1289333832775455E-3</v>
      </c>
      <c r="K658">
        <f t="shared" si="30"/>
        <v>1535.599975585938</v>
      </c>
      <c r="L658" s="5">
        <f t="shared" si="31"/>
        <v>-6.3818226840447467E-3</v>
      </c>
    </row>
    <row r="659" spans="1:12" x14ac:dyDescent="0.3">
      <c r="A659" s="2">
        <v>45975</v>
      </c>
      <c r="B659">
        <v>1532.099975585938</v>
      </c>
      <c r="C659">
        <f t="shared" si="32"/>
        <v>2.2844462213775941E-3</v>
      </c>
      <c r="K659">
        <f t="shared" si="30"/>
        <v>1535.599975585938</v>
      </c>
      <c r="L659" s="5">
        <f t="shared" si="31"/>
        <v>-2.2792394214935507E-3</v>
      </c>
    </row>
    <row r="660" spans="1:12" x14ac:dyDescent="0.3">
      <c r="A660" s="2">
        <v>45978</v>
      </c>
      <c r="B660">
        <v>1535.599975585938</v>
      </c>
      <c r="C660">
        <f t="shared" si="32"/>
        <v>-1.374054175657749E-2</v>
      </c>
      <c r="K660">
        <f t="shared" si="30"/>
        <v>1535.599975585938</v>
      </c>
      <c r="L660" s="5">
        <f t="shared" si="31"/>
        <v>0</v>
      </c>
    </row>
    <row r="661" spans="1:12" x14ac:dyDescent="0.3">
      <c r="A661" s="2">
        <v>45979</v>
      </c>
      <c r="B661">
        <v>1514.5</v>
      </c>
      <c r="C661">
        <f t="shared" si="32"/>
        <v>8.1215244820897984E-3</v>
      </c>
      <c r="K661">
        <f t="shared" si="30"/>
        <v>1531.300048828125</v>
      </c>
      <c r="L661" s="5">
        <f t="shared" si="31"/>
        <v>-1.0971101869278854E-2</v>
      </c>
    </row>
    <row r="662" spans="1:12" x14ac:dyDescent="0.3">
      <c r="A662" s="2">
        <v>45980</v>
      </c>
      <c r="B662">
        <v>1526.800048828125</v>
      </c>
      <c r="C662">
        <f t="shared" si="32"/>
        <v>1.5718511049249788E-3</v>
      </c>
      <c r="K662">
        <f t="shared" si="30"/>
        <v>1531.300048828125</v>
      </c>
      <c r="L662" s="5">
        <f t="shared" si="31"/>
        <v>-2.9386794596159005E-3</v>
      </c>
    </row>
    <row r="663" spans="1:12" x14ac:dyDescent="0.3">
      <c r="A663" s="2">
        <v>45981</v>
      </c>
      <c r="B663">
        <v>1529.199951171875</v>
      </c>
      <c r="C663">
        <f t="shared" si="32"/>
        <v>-1.1378435063652661E-2</v>
      </c>
      <c r="K663">
        <f t="shared" si="30"/>
        <v>1531.300048828125</v>
      </c>
      <c r="L663" s="5">
        <f t="shared" si="31"/>
        <v>-1.371447521246516E-3</v>
      </c>
    </row>
    <row r="664" spans="1:12" x14ac:dyDescent="0.3">
      <c r="A664" s="2">
        <v>45982</v>
      </c>
      <c r="B664">
        <v>1511.800048828125</v>
      </c>
      <c r="C664">
        <f t="shared" si="32"/>
        <v>-5.1594447520829385E-3</v>
      </c>
      <c r="K664">
        <f t="shared" si="30"/>
        <v>1531.300048828125</v>
      </c>
      <c r="L664" s="5">
        <f t="shared" si="31"/>
        <v>-1.2734277658335458E-2</v>
      </c>
    </row>
    <row r="665" spans="1:12" x14ac:dyDescent="0.3">
      <c r="A665" s="2">
        <v>45985</v>
      </c>
      <c r="B665">
        <v>1504</v>
      </c>
      <c r="C665">
        <f t="shared" si="32"/>
        <v>2.327127659574468E-3</v>
      </c>
      <c r="K665">
        <f t="shared" si="30"/>
        <v>1531.300048828125</v>
      </c>
      <c r="L665" s="5">
        <f t="shared" si="31"/>
        <v>-1.7828020608382511E-2</v>
      </c>
    </row>
    <row r="666" spans="1:12" x14ac:dyDescent="0.3">
      <c r="A666" s="2">
        <v>45986</v>
      </c>
      <c r="B666">
        <v>1507.5</v>
      </c>
      <c r="C666">
        <f t="shared" si="32"/>
        <v>1.0812636038557213E-2</v>
      </c>
      <c r="K666">
        <f t="shared" si="30"/>
        <v>1531.300048828125</v>
      </c>
      <c r="L666" s="5">
        <f t="shared" si="31"/>
        <v>-1.5542381028681329E-2</v>
      </c>
    </row>
    <row r="667" spans="1:12" x14ac:dyDescent="0.3">
      <c r="A667" s="2">
        <v>45987</v>
      </c>
      <c r="B667">
        <v>1523.800048828125</v>
      </c>
      <c r="C667">
        <f t="shared" si="32"/>
        <v>9.1869162547054105E-4</v>
      </c>
      <c r="K667">
        <f t="shared" si="30"/>
        <v>1531.300048828125</v>
      </c>
      <c r="L667" s="5">
        <f t="shared" si="31"/>
        <v>-4.8977990993598342E-3</v>
      </c>
    </row>
    <row r="668" spans="1:12" x14ac:dyDescent="0.3">
      <c r="A668" s="2">
        <v>45988</v>
      </c>
      <c r="B668">
        <v>1525.199951171875</v>
      </c>
      <c r="C668">
        <f t="shared" si="32"/>
        <v>3.9995396351560587E-3</v>
      </c>
      <c r="K668">
        <f t="shared" si="30"/>
        <v>1531.300048828125</v>
      </c>
      <c r="L668" s="5">
        <f t="shared" si="31"/>
        <v>-3.9836070409050572E-3</v>
      </c>
    </row>
    <row r="669" spans="1:12" x14ac:dyDescent="0.3">
      <c r="A669" s="2">
        <v>45989</v>
      </c>
      <c r="B669">
        <v>1531.300048828125</v>
      </c>
      <c r="C669">
        <f t="shared" si="32"/>
        <v>-5.3549748453690744E-3</v>
      </c>
      <c r="K669">
        <f t="shared" si="30"/>
        <v>1531.300048828125</v>
      </c>
      <c r="L669" s="5">
        <f t="shared" si="31"/>
        <v>0</v>
      </c>
    </row>
    <row r="670" spans="1:12" x14ac:dyDescent="0.3">
      <c r="A670" s="2">
        <v>45992</v>
      </c>
      <c r="B670">
        <v>1523.099975585938</v>
      </c>
      <c r="C670">
        <f t="shared" si="32"/>
        <v>-4.2676121752936438E-3</v>
      </c>
      <c r="K670">
        <f t="shared" si="30"/>
        <v>1530.800048828125</v>
      </c>
      <c r="L670" s="5">
        <f t="shared" si="31"/>
        <v>-5.0300973324907128E-3</v>
      </c>
    </row>
    <row r="671" spans="1:12" x14ac:dyDescent="0.3">
      <c r="A671" s="2">
        <v>45993</v>
      </c>
      <c r="B671">
        <v>1516.599975585938</v>
      </c>
      <c r="C671">
        <f t="shared" si="32"/>
        <v>-5.6705629199389623E-3</v>
      </c>
      <c r="K671">
        <f t="shared" si="30"/>
        <v>1530.800048828125</v>
      </c>
      <c r="L671" s="5">
        <f t="shared" si="31"/>
        <v>-9.2762430031653187E-3</v>
      </c>
    </row>
    <row r="672" spans="1:12" x14ac:dyDescent="0.3">
      <c r="A672" s="2">
        <v>45994</v>
      </c>
      <c r="B672">
        <v>1508</v>
      </c>
      <c r="C672">
        <f t="shared" si="32"/>
        <v>8.6206896551724137E-3</v>
      </c>
      <c r="K672">
        <f t="shared" si="30"/>
        <v>1530.800048828125</v>
      </c>
      <c r="L672" s="5">
        <f t="shared" si="31"/>
        <v>-1.4894204403494204E-2</v>
      </c>
    </row>
    <row r="673" spans="1:12" x14ac:dyDescent="0.3">
      <c r="A673" s="2">
        <v>45995</v>
      </c>
      <c r="B673">
        <v>1521</v>
      </c>
      <c r="C673">
        <f t="shared" si="32"/>
        <v>-1.3146033653846153E-4</v>
      </c>
      <c r="K673">
        <f t="shared" si="30"/>
        <v>1530.800048828125</v>
      </c>
      <c r="L673" s="5">
        <f t="shared" si="31"/>
        <v>-6.4019130621449927E-3</v>
      </c>
    </row>
    <row r="674" spans="1:12" x14ac:dyDescent="0.3">
      <c r="A674" s="2">
        <v>45996</v>
      </c>
      <c r="B674">
        <v>1520.800048828125</v>
      </c>
      <c r="C674">
        <f t="shared" si="32"/>
        <v>-1.5255176550042989E-2</v>
      </c>
      <c r="K674">
        <f t="shared" si="30"/>
        <v>1530.800048828125</v>
      </c>
      <c r="L674" s="5">
        <f t="shared" si="31"/>
        <v>-6.5325318010378552E-3</v>
      </c>
    </row>
    <row r="675" spans="1:12" x14ac:dyDescent="0.3">
      <c r="A675" s="2">
        <v>45999</v>
      </c>
      <c r="B675">
        <v>1497.599975585938</v>
      </c>
      <c r="C675">
        <f t="shared" si="32"/>
        <v>-4.6741453753438005E-3</v>
      </c>
      <c r="K675">
        <f t="shared" si="30"/>
        <v>1530.800048828125</v>
      </c>
      <c r="L675" s="5">
        <f t="shared" si="31"/>
        <v>-2.1688053425137244E-2</v>
      </c>
    </row>
    <row r="676" spans="1:12" x14ac:dyDescent="0.3">
      <c r="A676" s="2">
        <v>46000</v>
      </c>
      <c r="B676">
        <v>1490.599975585938</v>
      </c>
      <c r="C676">
        <f t="shared" si="32"/>
        <v>2.0129399774486425E-4</v>
      </c>
      <c r="K676">
        <f t="shared" si="30"/>
        <v>1530.800048828125</v>
      </c>
      <c r="L676" s="5">
        <f t="shared" si="31"/>
        <v>-2.6260825685863742E-2</v>
      </c>
    </row>
    <row r="677" spans="1:12" x14ac:dyDescent="0.3">
      <c r="A677" s="2">
        <v>46001</v>
      </c>
      <c r="B677">
        <v>1490.900024414062</v>
      </c>
      <c r="C677">
        <f t="shared" si="32"/>
        <v>1.4353762199764782E-2</v>
      </c>
      <c r="K677">
        <f t="shared" si="30"/>
        <v>1530.800048828125</v>
      </c>
      <c r="L677" s="5">
        <f t="shared" si="31"/>
        <v>-2.6064817834705267E-2</v>
      </c>
    </row>
    <row r="678" spans="1:12" x14ac:dyDescent="0.3">
      <c r="A678" s="2">
        <v>46002</v>
      </c>
      <c r="B678">
        <v>1512.300048828125</v>
      </c>
      <c r="C678">
        <f t="shared" si="32"/>
        <v>3.3723305040484495E-3</v>
      </c>
      <c r="K678">
        <f t="shared" si="30"/>
        <v>1530.800048828125</v>
      </c>
      <c r="L678" s="5">
        <f t="shared" si="31"/>
        <v>-1.2085183831920032E-2</v>
      </c>
    </row>
    <row r="679" spans="1:12" x14ac:dyDescent="0.3">
      <c r="A679" s="2">
        <v>46003</v>
      </c>
      <c r="B679">
        <v>1517.400024414062</v>
      </c>
      <c r="C679">
        <f t="shared" si="32"/>
        <v>-6.1948228962839429E-3</v>
      </c>
      <c r="K679">
        <f t="shared" si="30"/>
        <v>1530.800048828125</v>
      </c>
      <c r="L679" s="5">
        <f t="shared" si="31"/>
        <v>-8.7536085619549509E-3</v>
      </c>
    </row>
    <row r="680" spans="1:12" x14ac:dyDescent="0.3">
      <c r="A680" s="2">
        <v>46006</v>
      </c>
      <c r="B680">
        <v>1508</v>
      </c>
      <c r="C680">
        <f t="shared" si="32"/>
        <v>-5.5703079668846453E-3</v>
      </c>
      <c r="K680">
        <f t="shared" si="30"/>
        <v>1530.800048828125</v>
      </c>
      <c r="L680" s="5">
        <f t="shared" si="31"/>
        <v>-1.4894204403494204E-2</v>
      </c>
    </row>
    <row r="681" spans="1:12" x14ac:dyDescent="0.3">
      <c r="A681" s="2">
        <v>46007</v>
      </c>
      <c r="B681">
        <v>1499.599975585938</v>
      </c>
      <c r="C681">
        <f t="shared" si="32"/>
        <v>-1.8004475965805206E-3</v>
      </c>
      <c r="K681">
        <f t="shared" si="30"/>
        <v>1530.800048828125</v>
      </c>
      <c r="L681" s="5">
        <f t="shared" si="31"/>
        <v>-2.0381547064929673E-2</v>
      </c>
    </row>
    <row r="682" spans="1:12" x14ac:dyDescent="0.3">
      <c r="A682" s="2">
        <v>46008</v>
      </c>
      <c r="B682">
        <v>1496.900024414062</v>
      </c>
      <c r="C682">
        <f t="shared" si="32"/>
        <v>1.3360945737059952E-3</v>
      </c>
      <c r="K682">
        <f t="shared" si="30"/>
        <v>1530.800048828125</v>
      </c>
      <c r="L682" s="5">
        <f t="shared" si="31"/>
        <v>-2.2145298754082554E-2</v>
      </c>
    </row>
    <row r="683" spans="1:12" x14ac:dyDescent="0.3">
      <c r="A683" s="2">
        <v>46009</v>
      </c>
      <c r="B683">
        <v>1498.900024414062</v>
      </c>
      <c r="C683">
        <f t="shared" si="32"/>
        <v>1.2142204867192852E-2</v>
      </c>
      <c r="K683">
        <f t="shared" si="30"/>
        <v>1530.800048828125</v>
      </c>
      <c r="L683" s="5">
        <f t="shared" si="31"/>
        <v>-2.0838792393874983E-2</v>
      </c>
    </row>
    <row r="684" spans="1:12" x14ac:dyDescent="0.3">
      <c r="A684" s="2">
        <v>46010</v>
      </c>
      <c r="B684">
        <v>1517.099975585938</v>
      </c>
      <c r="C684">
        <f t="shared" si="32"/>
        <v>-2.7684076458137142E-3</v>
      </c>
      <c r="K684">
        <f t="shared" si="30"/>
        <v>1530.800048828125</v>
      </c>
      <c r="L684" s="5">
        <f t="shared" si="31"/>
        <v>-8.9496164131134259E-3</v>
      </c>
    </row>
    <row r="685" spans="1:12" x14ac:dyDescent="0.3">
      <c r="A685" s="2">
        <v>46013</v>
      </c>
      <c r="B685">
        <v>1512.900024414062</v>
      </c>
      <c r="C685">
        <f t="shared" si="32"/>
        <v>-8.0640313605071599E-3</v>
      </c>
      <c r="K685">
        <f t="shared" si="30"/>
        <v>1530.800048828125</v>
      </c>
      <c r="L685" s="5">
        <f t="shared" si="31"/>
        <v>-1.1693247872421986E-2</v>
      </c>
    </row>
    <row r="686" spans="1:12" x14ac:dyDescent="0.3">
      <c r="A686" s="2">
        <v>46014</v>
      </c>
      <c r="B686">
        <v>1500.699951171875</v>
      </c>
      <c r="C686">
        <f t="shared" si="32"/>
        <v>-2.9319001045573297E-3</v>
      </c>
      <c r="K686">
        <f t="shared" si="30"/>
        <v>1530.800048828125</v>
      </c>
      <c r="L686" s="5">
        <f t="shared" si="31"/>
        <v>-1.9662984515379733E-2</v>
      </c>
    </row>
    <row r="687" spans="1:12" x14ac:dyDescent="0.3">
      <c r="A687" s="2">
        <v>46015</v>
      </c>
      <c r="B687">
        <v>1496.300048828125</v>
      </c>
      <c r="C687">
        <f t="shared" si="32"/>
        <v>6.4826243770237293E-3</v>
      </c>
      <c r="K687">
        <f t="shared" si="30"/>
        <v>1530.800048828125</v>
      </c>
      <c r="L687" s="5">
        <f t="shared" si="31"/>
        <v>-2.253723471358049E-2</v>
      </c>
    </row>
    <row r="688" spans="1:12" x14ac:dyDescent="0.3">
      <c r="A688" s="2">
        <v>46017</v>
      </c>
      <c r="B688">
        <v>1506</v>
      </c>
      <c r="C688">
        <f t="shared" si="32"/>
        <v>-7.9681274900398405E-3</v>
      </c>
      <c r="K688">
        <f t="shared" si="30"/>
        <v>1530.800048828125</v>
      </c>
      <c r="L688" s="5">
        <f t="shared" si="31"/>
        <v>-1.6200710763701776E-2</v>
      </c>
    </row>
    <row r="689" spans="1:12" x14ac:dyDescent="0.3">
      <c r="A689" s="2">
        <v>46020</v>
      </c>
      <c r="B689">
        <v>1494</v>
      </c>
      <c r="C689">
        <f t="shared" si="32"/>
        <v>-1.004016064257028E-3</v>
      </c>
      <c r="K689">
        <f t="shared" si="30"/>
        <v>1530.800048828125</v>
      </c>
      <c r="L689" s="5">
        <f t="shared" si="31"/>
        <v>-2.4039748924947202E-2</v>
      </c>
    </row>
    <row r="690" spans="1:12" x14ac:dyDescent="0.3">
      <c r="A690" s="2">
        <v>46021</v>
      </c>
      <c r="B690">
        <v>1492.5</v>
      </c>
      <c r="C690">
        <f t="shared" si="32"/>
        <v>1.2596347623534338E-2</v>
      </c>
      <c r="K690">
        <f t="shared" si="30"/>
        <v>1530.800048828125</v>
      </c>
      <c r="L690" s="5">
        <f t="shared" si="31"/>
        <v>-2.501962869510288E-2</v>
      </c>
    </row>
    <row r="691" spans="1:12" x14ac:dyDescent="0.3">
      <c r="A691" s="2">
        <v>46022</v>
      </c>
      <c r="B691">
        <v>1511.300048828125</v>
      </c>
      <c r="C691">
        <f t="shared" si="32"/>
        <v>-6.8815086865955059E-3</v>
      </c>
      <c r="K691">
        <f t="shared" si="30"/>
        <v>1530.800048828125</v>
      </c>
      <c r="L691" s="5">
        <f t="shared" si="31"/>
        <v>-1.2738437012023818E-2</v>
      </c>
    </row>
    <row r="692" spans="1:12" x14ac:dyDescent="0.3">
      <c r="A692" s="2">
        <v>46023</v>
      </c>
      <c r="B692">
        <v>1500.900024414062</v>
      </c>
      <c r="C692">
        <f t="shared" si="32"/>
        <v>7.1290232512675683E-3</v>
      </c>
      <c r="K692">
        <f t="shared" si="30"/>
        <v>1530.800048828125</v>
      </c>
      <c r="L692" s="5">
        <f t="shared" si="31"/>
        <v>-1.9532286033667412E-2</v>
      </c>
    </row>
    <row r="693" spans="1:12" x14ac:dyDescent="0.3">
      <c r="A693" s="2">
        <v>46024</v>
      </c>
      <c r="B693">
        <v>1511.599975585938</v>
      </c>
      <c r="C693">
        <f t="shared" si="32"/>
        <v>5.4247640742442257E-3</v>
      </c>
      <c r="K693">
        <f t="shared" si="30"/>
        <v>1530.800048828125</v>
      </c>
      <c r="L693" s="5">
        <f t="shared" si="31"/>
        <v>-1.2542508903684246E-2</v>
      </c>
    </row>
    <row r="694" spans="1:12" x14ac:dyDescent="0.3">
      <c r="A694" s="2">
        <v>46027</v>
      </c>
      <c r="B694">
        <v>1519.800048828125</v>
      </c>
      <c r="C694">
        <f t="shared" si="32"/>
        <v>7.2377942141019077E-3</v>
      </c>
      <c r="K694">
        <f t="shared" si="30"/>
        <v>1530.800048828125</v>
      </c>
      <c r="L694" s="5">
        <f t="shared" si="31"/>
        <v>-7.1857849811416408E-3</v>
      </c>
    </row>
    <row r="695" spans="1:12" x14ac:dyDescent="0.3">
      <c r="A695" s="2">
        <v>46028</v>
      </c>
      <c r="B695">
        <v>1530.800048828125</v>
      </c>
      <c r="C695">
        <f t="shared" si="32"/>
        <v>-4.1089640977092258E-2</v>
      </c>
      <c r="K695">
        <f t="shared" si="30"/>
        <v>1530.800048828125</v>
      </c>
      <c r="L695" s="5">
        <f t="shared" si="31"/>
        <v>0</v>
      </c>
    </row>
    <row r="696" spans="1:12" x14ac:dyDescent="0.3">
      <c r="A696" s="2">
        <v>46029</v>
      </c>
      <c r="B696">
        <v>1467.900024414062</v>
      </c>
      <c r="C696">
        <f t="shared" si="32"/>
        <v>-4.973123991218702E-3</v>
      </c>
      <c r="K696">
        <f t="shared" si="30"/>
        <v>1467.900024414062</v>
      </c>
      <c r="L696" s="5">
        <f t="shared" si="31"/>
        <v>0</v>
      </c>
    </row>
    <row r="697" spans="1:12" x14ac:dyDescent="0.3">
      <c r="A697" s="2">
        <v>46030</v>
      </c>
      <c r="B697">
        <v>1460.599975585938</v>
      </c>
      <c r="C697">
        <f t="shared" si="32"/>
        <v>3.49169907653266E-3</v>
      </c>
      <c r="K697">
        <f t="shared" si="30"/>
        <v>1465.699951171875</v>
      </c>
      <c r="L697" s="5">
        <f t="shared" si="31"/>
        <v>-3.4795495366288787E-3</v>
      </c>
    </row>
    <row r="698" spans="1:12" x14ac:dyDescent="0.3">
      <c r="A698" s="2">
        <v>46031</v>
      </c>
      <c r="B698">
        <v>1465.699951171875</v>
      </c>
      <c r="C698">
        <f t="shared" si="32"/>
        <v>-3.4113394054508472E-4</v>
      </c>
      <c r="K698">
        <f t="shared" si="30"/>
        <v>1465.699951171875</v>
      </c>
      <c r="L698" s="5">
        <f t="shared" si="31"/>
        <v>0</v>
      </c>
    </row>
    <row r="699" spans="1:12" x14ac:dyDescent="0.3">
      <c r="A699" s="2">
        <v>46034</v>
      </c>
      <c r="B699">
        <v>1465.199951171875</v>
      </c>
      <c r="C699">
        <f t="shared" si="32"/>
        <v>-1.1534195268183953E-2</v>
      </c>
      <c r="K699">
        <f t="shared" si="30"/>
        <v>1465.199951171875</v>
      </c>
      <c r="L699" s="5">
        <f t="shared" si="31"/>
        <v>0</v>
      </c>
    </row>
    <row r="700" spans="1:12" x14ac:dyDescent="0.3">
      <c r="A700" s="2">
        <v>46035</v>
      </c>
      <c r="B700">
        <v>1448.300048828125</v>
      </c>
      <c r="C700">
        <f t="shared" si="32"/>
        <v>-9.5284460145472951E-3</v>
      </c>
      <c r="K700">
        <f t="shared" si="30"/>
        <v>1448.300048828125</v>
      </c>
      <c r="L700" s="5">
        <f t="shared" si="31"/>
        <v>0</v>
      </c>
    </row>
    <row r="701" spans="1:12" x14ac:dyDescent="0.3">
      <c r="A701" s="2">
        <v>46036</v>
      </c>
      <c r="B701">
        <v>1434.5</v>
      </c>
      <c r="C701">
        <f t="shared" si="32"/>
        <v>0</v>
      </c>
      <c r="K701">
        <f t="shared" si="30"/>
        <v>1434.5</v>
      </c>
      <c r="L701" s="5">
        <f t="shared" si="31"/>
        <v>0</v>
      </c>
    </row>
    <row r="702" spans="1:12" x14ac:dyDescent="0.3">
      <c r="A702" s="2">
        <v>46037</v>
      </c>
      <c r="B702">
        <v>1434.5</v>
      </c>
      <c r="C702">
        <f t="shared" si="32"/>
        <v>-2.5792959219240155E-2</v>
      </c>
      <c r="K702">
        <f t="shared" si="30"/>
        <v>1434.5</v>
      </c>
      <c r="L702" s="5">
        <f t="shared" si="31"/>
        <v>0</v>
      </c>
    </row>
    <row r="703" spans="1:12" x14ac:dyDescent="0.3">
      <c r="A703" s="2">
        <v>46038</v>
      </c>
      <c r="B703">
        <v>1397.5</v>
      </c>
      <c r="C703">
        <f t="shared" si="32"/>
        <v>-3.7208952929338106E-3</v>
      </c>
      <c r="K703">
        <f t="shared" si="30"/>
        <v>1397.5</v>
      </c>
      <c r="L703" s="5">
        <f t="shared" si="31"/>
        <v>0</v>
      </c>
    </row>
    <row r="704" spans="1:12" x14ac:dyDescent="0.3">
      <c r="A704" s="2">
        <v>46041</v>
      </c>
      <c r="B704">
        <v>1392.300048828125</v>
      </c>
      <c r="C704">
        <f t="shared" si="32"/>
        <v>-9.983497756652646E-3</v>
      </c>
      <c r="K704">
        <f t="shared" si="30"/>
        <v>1392.300048828125</v>
      </c>
      <c r="L704" s="5">
        <f t="shared" si="31"/>
        <v>0</v>
      </c>
    </row>
    <row r="705" spans="1:12" x14ac:dyDescent="0.3">
      <c r="A705" s="2">
        <v>46042</v>
      </c>
      <c r="B705">
        <v>1378.400024414062</v>
      </c>
      <c r="C705">
        <f t="shared" si="32"/>
        <v>-6.3842488916560081E-3</v>
      </c>
      <c r="K705">
        <f t="shared" si="30"/>
        <v>1378.400024414062</v>
      </c>
      <c r="L705" s="5">
        <f t="shared" si="31"/>
        <v>0</v>
      </c>
    </row>
    <row r="706" spans="1:12" x14ac:dyDescent="0.3">
      <c r="A706" s="2">
        <v>46043</v>
      </c>
      <c r="B706">
        <v>1369.599975585938</v>
      </c>
      <c r="C706">
        <f t="shared" si="32"/>
        <v>5.84147811321197E-4</v>
      </c>
      <c r="K706">
        <f t="shared" ref="K706:K740" si="33">MAX(B706:B1445)</f>
        <v>1370.400024414062</v>
      </c>
      <c r="L706" s="5">
        <f t="shared" ref="L706:L740" si="34">B706/K706-1</f>
        <v>-5.8380678186731316E-4</v>
      </c>
    </row>
    <row r="707" spans="1:12" x14ac:dyDescent="0.3">
      <c r="A707" s="2">
        <v>46044</v>
      </c>
      <c r="B707">
        <v>1370.400024414062</v>
      </c>
      <c r="C707">
        <f t="shared" ref="C707:C740" si="35">(B708-B707)/B707</f>
        <v>-4.0426170043122461E-2</v>
      </c>
      <c r="K707">
        <f t="shared" si="33"/>
        <v>1370.400024414062</v>
      </c>
      <c r="L707" s="5">
        <f t="shared" si="34"/>
        <v>0</v>
      </c>
    </row>
    <row r="708" spans="1:12" x14ac:dyDescent="0.3">
      <c r="A708" s="2">
        <v>46045</v>
      </c>
      <c r="B708">
        <v>1315</v>
      </c>
      <c r="C708">
        <f t="shared" si="35"/>
        <v>-1.520912547528517E-3</v>
      </c>
      <c r="K708">
        <f t="shared" si="33"/>
        <v>1358.099975585938</v>
      </c>
      <c r="L708" s="5">
        <f t="shared" si="34"/>
        <v>-3.1735495442699602E-2</v>
      </c>
    </row>
    <row r="709" spans="1:12" x14ac:dyDescent="0.3">
      <c r="A709" s="2">
        <v>46049</v>
      </c>
      <c r="B709">
        <v>1313</v>
      </c>
      <c r="C709">
        <f t="shared" si="35"/>
        <v>1.1728883788318389E-2</v>
      </c>
      <c r="K709">
        <f t="shared" si="33"/>
        <v>1358.099975585938</v>
      </c>
      <c r="L709" s="5">
        <f t="shared" si="34"/>
        <v>-3.3208141077007314E-2</v>
      </c>
    </row>
    <row r="710" spans="1:12" x14ac:dyDescent="0.3">
      <c r="A710" s="2">
        <v>46050</v>
      </c>
      <c r="B710">
        <v>1328.400024414062</v>
      </c>
      <c r="C710">
        <f t="shared" si="35"/>
        <v>-5.645889688468006E-3</v>
      </c>
      <c r="K710">
        <f t="shared" si="33"/>
        <v>1358.099975585938</v>
      </c>
      <c r="L710" s="5">
        <f t="shared" si="34"/>
        <v>-2.1868751716207169E-2</v>
      </c>
    </row>
    <row r="711" spans="1:12" x14ac:dyDescent="0.3">
      <c r="A711" s="2">
        <v>46051</v>
      </c>
      <c r="B711">
        <v>1320.900024414062</v>
      </c>
      <c r="C711">
        <f t="shared" si="35"/>
        <v>2.3468661735494122E-3</v>
      </c>
      <c r="K711">
        <f t="shared" si="33"/>
        <v>1358.099975585938</v>
      </c>
      <c r="L711" s="5">
        <f t="shared" si="34"/>
        <v>-2.7391172844861034E-2</v>
      </c>
    </row>
    <row r="712" spans="1:12" x14ac:dyDescent="0.3">
      <c r="A712" s="2">
        <v>46052</v>
      </c>
      <c r="B712">
        <v>1324</v>
      </c>
      <c r="C712">
        <f t="shared" si="35"/>
        <v>-9.3655773520106081E-3</v>
      </c>
      <c r="K712">
        <f t="shared" si="33"/>
        <v>1358.099975585938</v>
      </c>
      <c r="L712" s="5">
        <f t="shared" si="34"/>
        <v>-2.5108590088315008E-2</v>
      </c>
    </row>
    <row r="713" spans="1:12" x14ac:dyDescent="0.3">
      <c r="A713" s="2">
        <v>46055</v>
      </c>
      <c r="B713">
        <v>1311.599975585938</v>
      </c>
      <c r="C713">
        <f t="shared" si="35"/>
        <v>8.5392447778779336E-3</v>
      </c>
      <c r="K713">
        <f t="shared" si="33"/>
        <v>1358.099975585938</v>
      </c>
      <c r="L713" s="5">
        <f t="shared" si="34"/>
        <v>-3.4239010997653585E-2</v>
      </c>
    </row>
    <row r="714" spans="1:12" x14ac:dyDescent="0.3">
      <c r="A714" s="2">
        <v>46056</v>
      </c>
      <c r="B714">
        <v>1322.800048828125</v>
      </c>
      <c r="C714">
        <f t="shared" si="35"/>
        <v>2.9482175686377865E-3</v>
      </c>
      <c r="K714">
        <f t="shared" si="33"/>
        <v>1358.099975585938</v>
      </c>
      <c r="L714" s="5">
        <f t="shared" si="34"/>
        <v>-2.5992141515637113E-2</v>
      </c>
    </row>
    <row r="715" spans="1:12" x14ac:dyDescent="0.3">
      <c r="A715" s="2">
        <v>46057</v>
      </c>
      <c r="B715">
        <v>1326.699951171875</v>
      </c>
      <c r="C715">
        <f t="shared" si="35"/>
        <v>4.9748231696399242E-3</v>
      </c>
      <c r="K715">
        <f t="shared" si="33"/>
        <v>1358.099975585938</v>
      </c>
      <c r="L715" s="5">
        <f t="shared" si="34"/>
        <v>-2.3120554435262175E-2</v>
      </c>
    </row>
    <row r="716" spans="1:12" x14ac:dyDescent="0.3">
      <c r="A716" s="2">
        <v>46058</v>
      </c>
      <c r="B716">
        <v>1333.300048828125</v>
      </c>
      <c r="C716">
        <f t="shared" si="35"/>
        <v>-2.4750984079131371E-3</v>
      </c>
      <c r="K716">
        <f t="shared" si="33"/>
        <v>1358.099975585938</v>
      </c>
      <c r="L716" s="5">
        <f t="shared" si="34"/>
        <v>-1.8260751935521791E-2</v>
      </c>
    </row>
    <row r="717" spans="1:12" x14ac:dyDescent="0.3">
      <c r="A717" s="2">
        <v>46059</v>
      </c>
      <c r="B717">
        <v>1330</v>
      </c>
      <c r="C717">
        <f t="shared" si="35"/>
        <v>9.3984962406015032E-3</v>
      </c>
      <c r="K717">
        <f t="shared" si="33"/>
        <v>1358.099975585938</v>
      </c>
      <c r="L717" s="5">
        <f t="shared" si="34"/>
        <v>-2.0690653185391983E-2</v>
      </c>
    </row>
    <row r="718" spans="1:12" x14ac:dyDescent="0.3">
      <c r="A718" s="2">
        <v>46062</v>
      </c>
      <c r="B718">
        <v>1342.5</v>
      </c>
      <c r="C718">
        <f t="shared" si="35"/>
        <v>-2.9796976838886055E-4</v>
      </c>
      <c r="K718">
        <f t="shared" si="33"/>
        <v>1358.099975585938</v>
      </c>
      <c r="L718" s="5">
        <f t="shared" si="34"/>
        <v>-1.1486617970968949E-2</v>
      </c>
    </row>
    <row r="719" spans="1:12" x14ac:dyDescent="0.3">
      <c r="A719" s="2">
        <v>46063</v>
      </c>
      <c r="B719">
        <v>1342.099975585938</v>
      </c>
      <c r="C719">
        <f t="shared" si="35"/>
        <v>5.8118239848106113E-3</v>
      </c>
      <c r="K719">
        <f t="shared" si="33"/>
        <v>1358.099975585938</v>
      </c>
      <c r="L719" s="5">
        <f t="shared" si="34"/>
        <v>-1.1781165074461475E-2</v>
      </c>
    </row>
    <row r="720" spans="1:12" x14ac:dyDescent="0.3">
      <c r="A720" s="2">
        <v>46064</v>
      </c>
      <c r="B720">
        <v>1349.900024414062</v>
      </c>
      <c r="C720">
        <f t="shared" si="35"/>
        <v>-1.4741850547561738E-2</v>
      </c>
      <c r="K720">
        <f t="shared" si="33"/>
        <v>1358.099975585938</v>
      </c>
      <c r="L720" s="5">
        <f t="shared" si="34"/>
        <v>-6.0378111473996521E-3</v>
      </c>
    </row>
    <row r="721" spans="1:12" x14ac:dyDescent="0.3">
      <c r="A721" s="2">
        <v>46065</v>
      </c>
      <c r="B721">
        <v>1330</v>
      </c>
      <c r="C721">
        <f t="shared" si="35"/>
        <v>1.1278195488721805E-3</v>
      </c>
      <c r="K721">
        <f t="shared" si="33"/>
        <v>1358.099975585938</v>
      </c>
      <c r="L721" s="5">
        <f t="shared" si="34"/>
        <v>-2.0690653185391983E-2</v>
      </c>
    </row>
    <row r="722" spans="1:12" x14ac:dyDescent="0.3">
      <c r="A722" s="2">
        <v>46066</v>
      </c>
      <c r="B722">
        <v>1331.5</v>
      </c>
      <c r="C722">
        <f t="shared" si="35"/>
        <v>1.8700731816794627E-2</v>
      </c>
      <c r="K722">
        <f t="shared" si="33"/>
        <v>1358.099975585938</v>
      </c>
      <c r="L722" s="5">
        <f t="shared" si="34"/>
        <v>-1.9586168959661254E-2</v>
      </c>
    </row>
    <row r="723" spans="1:12" x14ac:dyDescent="0.3">
      <c r="A723" s="2">
        <v>46069</v>
      </c>
      <c r="B723">
        <v>1356.400024414062</v>
      </c>
      <c r="C723">
        <f t="shared" si="35"/>
        <v>-9.2155704622607568E-3</v>
      </c>
      <c r="K723">
        <f t="shared" si="33"/>
        <v>1358.099975585938</v>
      </c>
      <c r="L723" s="5">
        <f t="shared" si="34"/>
        <v>-1.2517128358996432E-3</v>
      </c>
    </row>
    <row r="724" spans="1:12" x14ac:dyDescent="0.3">
      <c r="A724" s="2">
        <v>46070</v>
      </c>
      <c r="B724">
        <v>1343.900024414062</v>
      </c>
      <c r="C724">
        <f t="shared" si="35"/>
        <v>4.3902256915542169E-3</v>
      </c>
      <c r="K724">
        <f t="shared" si="33"/>
        <v>1358.099975585938</v>
      </c>
      <c r="L724" s="5">
        <f t="shared" si="34"/>
        <v>-1.0455748050322677E-2</v>
      </c>
    </row>
    <row r="725" spans="1:12" x14ac:dyDescent="0.3">
      <c r="A725" s="2">
        <v>46071</v>
      </c>
      <c r="B725">
        <v>1349.800048828125</v>
      </c>
      <c r="C725">
        <f t="shared" si="35"/>
        <v>-1.548379290118416E-2</v>
      </c>
      <c r="K725">
        <f t="shared" si="33"/>
        <v>1358.099975585938</v>
      </c>
      <c r="L725" s="5">
        <f t="shared" si="34"/>
        <v>-6.1114254524833322E-3</v>
      </c>
    </row>
    <row r="726" spans="1:12" x14ac:dyDescent="0.3">
      <c r="A726" s="2">
        <v>46072</v>
      </c>
      <c r="B726">
        <v>1328.900024414062</v>
      </c>
      <c r="C726">
        <f t="shared" si="35"/>
        <v>9.1804883345194509E-3</v>
      </c>
      <c r="K726">
        <f t="shared" si="33"/>
        <v>1358.099975585938</v>
      </c>
      <c r="L726" s="5">
        <f t="shared" si="34"/>
        <v>-2.1500590307630296E-2</v>
      </c>
    </row>
    <row r="727" spans="1:12" x14ac:dyDescent="0.3">
      <c r="A727" s="2">
        <v>46073</v>
      </c>
      <c r="B727">
        <v>1341.099975585938</v>
      </c>
      <c r="C727">
        <f t="shared" si="35"/>
        <v>-1.0886567632334122E-2</v>
      </c>
      <c r="K727">
        <f t="shared" si="33"/>
        <v>1358.099975585938</v>
      </c>
      <c r="L727" s="5">
        <f t="shared" si="34"/>
        <v>-1.2517487891615331E-2</v>
      </c>
    </row>
    <row r="728" spans="1:12" x14ac:dyDescent="0.3">
      <c r="A728" s="2">
        <v>46076</v>
      </c>
      <c r="B728">
        <v>1326.5</v>
      </c>
      <c r="C728">
        <f t="shared" si="35"/>
        <v>1.5073590039577838E-4</v>
      </c>
      <c r="K728">
        <f t="shared" si="33"/>
        <v>1358.099975585938</v>
      </c>
      <c r="L728" s="5">
        <f t="shared" si="34"/>
        <v>-2.3267783045430424E-2</v>
      </c>
    </row>
    <row r="729" spans="1:12" x14ac:dyDescent="0.3">
      <c r="A729" s="2">
        <v>46077</v>
      </c>
      <c r="B729">
        <v>1326.699951171875</v>
      </c>
      <c r="C729">
        <f t="shared" si="35"/>
        <v>1.4622767112433297E-2</v>
      </c>
      <c r="K729">
        <f t="shared" si="33"/>
        <v>1358.099975585938</v>
      </c>
      <c r="L729" s="5">
        <f t="shared" si="34"/>
        <v>-2.3120554435262175E-2</v>
      </c>
    </row>
    <row r="730" spans="1:12" x14ac:dyDescent="0.3">
      <c r="A730" s="2">
        <v>46078</v>
      </c>
      <c r="B730">
        <v>1346.099975585938</v>
      </c>
      <c r="C730">
        <f t="shared" si="35"/>
        <v>8.9146424616615653E-3</v>
      </c>
      <c r="K730">
        <f t="shared" si="33"/>
        <v>1358.099975585938</v>
      </c>
      <c r="L730" s="5">
        <f t="shared" si="34"/>
        <v>-8.8358738058460506E-3</v>
      </c>
    </row>
    <row r="731" spans="1:12" x14ac:dyDescent="0.3">
      <c r="A731" s="2">
        <v>46079</v>
      </c>
      <c r="B731">
        <v>1358.099975585938</v>
      </c>
      <c r="C731">
        <f t="shared" si="35"/>
        <v>-7.2896138664546349E-3</v>
      </c>
      <c r="K731">
        <f t="shared" si="33"/>
        <v>1358.099975585938</v>
      </c>
      <c r="L731" s="5">
        <f t="shared" si="34"/>
        <v>0</v>
      </c>
    </row>
    <row r="732" spans="1:12" x14ac:dyDescent="0.3">
      <c r="A732" s="2">
        <v>46080</v>
      </c>
      <c r="B732">
        <v>1348.199951171875</v>
      </c>
      <c r="C732">
        <f t="shared" si="35"/>
        <v>2.5218992265261574E-3</v>
      </c>
      <c r="K732">
        <f t="shared" si="33"/>
        <v>1351.599975585938</v>
      </c>
      <c r="L732" s="5">
        <f t="shared" si="34"/>
        <v>-2.5155552496877176E-3</v>
      </c>
    </row>
    <row r="733" spans="1:12" x14ac:dyDescent="0.3">
      <c r="A733" s="2">
        <v>46083</v>
      </c>
      <c r="B733">
        <v>1351.599975585938</v>
      </c>
      <c r="C733">
        <f t="shared" si="35"/>
        <v>-2.8410790994144546E-2</v>
      </c>
      <c r="K733">
        <f t="shared" si="33"/>
        <v>1351.599975585938</v>
      </c>
      <c r="L733" s="5">
        <f t="shared" si="34"/>
        <v>0</v>
      </c>
    </row>
    <row r="734" spans="1:12" x14ac:dyDescent="0.3">
      <c r="A734" s="2">
        <v>46085</v>
      </c>
      <c r="B734">
        <v>1313.199951171875</v>
      </c>
      <c r="C734">
        <f t="shared" si="35"/>
        <v>1.0051838054370583E-2</v>
      </c>
      <c r="K734">
        <f t="shared" si="33"/>
        <v>1333.5</v>
      </c>
      <c r="L734" s="5">
        <f t="shared" si="34"/>
        <v>-1.5223133729377558E-2</v>
      </c>
    </row>
    <row r="735" spans="1:12" x14ac:dyDescent="0.3">
      <c r="A735" s="2">
        <v>46086</v>
      </c>
      <c r="B735">
        <v>1326.400024414062</v>
      </c>
      <c r="C735">
        <f t="shared" si="35"/>
        <v>-3.9204411538549091E-3</v>
      </c>
      <c r="K735">
        <f t="shared" si="33"/>
        <v>1333.5</v>
      </c>
      <c r="L735" s="5">
        <f t="shared" si="34"/>
        <v>-5.3243161499346714E-3</v>
      </c>
    </row>
    <row r="736" spans="1:12" x14ac:dyDescent="0.3">
      <c r="A736" s="2">
        <v>46087</v>
      </c>
      <c r="B736">
        <v>1321.199951171875</v>
      </c>
      <c r="C736">
        <f t="shared" si="35"/>
        <v>2.8762102396041123E-3</v>
      </c>
      <c r="K736">
        <f t="shared" si="33"/>
        <v>1333.5</v>
      </c>
      <c r="L736" s="5">
        <f t="shared" si="34"/>
        <v>-9.2238836356393072E-3</v>
      </c>
    </row>
    <row r="737" spans="1:13" x14ac:dyDescent="0.3">
      <c r="A737" s="2">
        <v>46090</v>
      </c>
      <c r="B737">
        <v>1325</v>
      </c>
      <c r="C737">
        <f t="shared" si="35"/>
        <v>6.4150943396226413E-3</v>
      </c>
      <c r="K737">
        <f t="shared" si="33"/>
        <v>1333.5</v>
      </c>
      <c r="L737" s="5">
        <f t="shared" si="34"/>
        <v>-6.3742032245969193E-3</v>
      </c>
    </row>
    <row r="738" spans="1:13" x14ac:dyDescent="0.3">
      <c r="A738" s="2">
        <v>46091</v>
      </c>
      <c r="B738">
        <v>1333.5</v>
      </c>
      <c r="C738">
        <f t="shared" si="35"/>
        <v>-2.9996250468691415E-3</v>
      </c>
      <c r="K738">
        <f t="shared" si="33"/>
        <v>1333.5</v>
      </c>
      <c r="L738" s="5">
        <f t="shared" si="34"/>
        <v>0</v>
      </c>
    </row>
    <row r="739" spans="1:13" x14ac:dyDescent="0.3">
      <c r="A739" s="2">
        <v>46092</v>
      </c>
      <c r="B739">
        <v>1329.5</v>
      </c>
      <c r="C739">
        <f t="shared" si="35"/>
        <v>-3.911208102200075E-3</v>
      </c>
      <c r="K739">
        <f t="shared" si="33"/>
        <v>1329.5</v>
      </c>
      <c r="L739" s="5">
        <f t="shared" si="34"/>
        <v>0</v>
      </c>
    </row>
    <row r="740" spans="1:13" x14ac:dyDescent="0.3">
      <c r="A740" s="2">
        <v>46093</v>
      </c>
      <c r="B740">
        <v>1324.300048828125</v>
      </c>
      <c r="C740">
        <f t="shared" si="35"/>
        <v>-7.249186213309544E-3</v>
      </c>
      <c r="K740">
        <f t="shared" si="33"/>
        <v>1324.300048828125</v>
      </c>
      <c r="L740" s="5">
        <f t="shared" si="34"/>
        <v>0</v>
      </c>
    </row>
    <row r="741" spans="1:13" x14ac:dyDescent="0.3">
      <c r="A741" s="2">
        <v>46094</v>
      </c>
      <c r="B741">
        <v>1314.699951171875</v>
      </c>
      <c r="C741" t="s">
        <v>3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41"/>
  <sheetViews>
    <sheetView showGridLines="0" zoomScaleNormal="100" workbookViewId="0"/>
  </sheetViews>
  <sheetFormatPr defaultRowHeight="14.4" outlineLevelCol="1" x14ac:dyDescent="0.3"/>
  <cols>
    <col min="1" max="1" width="18.109375" bestFit="1" customWidth="1"/>
    <col min="2" max="2" width="12" bestFit="1" customWidth="1"/>
    <col min="3" max="3" width="12.6640625" bestFit="1" customWidth="1"/>
    <col min="4" max="5" width="12" bestFit="1" customWidth="1"/>
    <col min="6" max="6" width="8.21875" customWidth="1"/>
    <col min="7" max="7" width="11" bestFit="1" customWidth="1"/>
    <col min="8" max="8" width="13.21875" bestFit="1" customWidth="1"/>
    <col min="9" max="9" width="11" bestFit="1" customWidth="1"/>
    <col min="10" max="10" width="12" bestFit="1" customWidth="1"/>
    <col min="11" max="11" width="12" hidden="1" customWidth="1" outlineLevel="1"/>
    <col min="12" max="12" width="12.6640625" hidden="1" customWidth="1" outlineLevel="1"/>
    <col min="13" max="13" width="16.21875" bestFit="1" customWidth="1" collapsed="1"/>
    <col min="15" max="15" width="14" bestFit="1" customWidth="1"/>
  </cols>
  <sheetData>
    <row r="1" spans="1:15" x14ac:dyDescent="0.3">
      <c r="A1" s="1" t="s">
        <v>1</v>
      </c>
      <c r="B1" s="1" t="s">
        <v>0</v>
      </c>
      <c r="C1" s="4" t="s">
        <v>2</v>
      </c>
      <c r="D1" s="4" t="s">
        <v>4</v>
      </c>
      <c r="E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s="2">
        <v>45000</v>
      </c>
      <c r="B2">
        <v>232.53373718261719</v>
      </c>
      <c r="C2">
        <f>(B3-B2)/B2</f>
        <v>1.6794700502272584E-2</v>
      </c>
      <c r="D2">
        <f>((B740/B2)^(1/3)-1)</f>
        <v>0.64319515669688365</v>
      </c>
      <c r="E2">
        <f>SLOPE(C2:C739,Nifty_50!C2:C739)</f>
        <v>1.2854917428043982</v>
      </c>
      <c r="G2">
        <f>_xlfn.STDEV.S(C2:C740)</f>
        <v>2.128109045165609E-2</v>
      </c>
      <c r="H2">
        <v>6.4799999999999996E-2</v>
      </c>
      <c r="I2">
        <f>(D2-H2)/G2</f>
        <v>27.178830803375167</v>
      </c>
      <c r="J2">
        <f>(D2-H2)/E2</f>
        <v>0.44994077942116578</v>
      </c>
      <c r="K2">
        <f t="shared" ref="K2:K65" si="0">MAX(B2:B741)</f>
        <v>1104.599975585938</v>
      </c>
      <c r="L2" s="5">
        <f t="shared" ref="L2:L65" si="1">B2/K2-1</f>
        <v>-0.78948601998721846</v>
      </c>
      <c r="M2" s="5">
        <f>MIN(L2:L740)</f>
        <v>-0.79293593474465318</v>
      </c>
      <c r="N2">
        <f>D2/M2</f>
        <v>-0.81115652414467743</v>
      </c>
      <c r="O2">
        <f>(D2-(H2+E2*(Nifty_50!D2-Larsen_and_Toubro!H2)))</f>
        <v>0.52153252871748379</v>
      </c>
    </row>
    <row r="3" spans="1:15" x14ac:dyDescent="0.3">
      <c r="A3" s="2">
        <v>45001</v>
      </c>
      <c r="B3">
        <v>236.43907165527341</v>
      </c>
      <c r="C3">
        <f t="shared" ref="C3:C66" si="2">(B4-B3)/B3</f>
        <v>-3.3594120425514433E-3</v>
      </c>
      <c r="K3">
        <f t="shared" si="0"/>
        <v>1104.599975585938</v>
      </c>
      <c r="L3" s="5">
        <f t="shared" si="1"/>
        <v>-0.7859505007413623</v>
      </c>
    </row>
    <row r="4" spans="1:15" x14ac:dyDescent="0.3">
      <c r="A4" s="2">
        <v>45002</v>
      </c>
      <c r="B4">
        <v>235.644775390625</v>
      </c>
      <c r="C4">
        <f t="shared" si="2"/>
        <v>-2.1107520609696839E-2</v>
      </c>
      <c r="K4">
        <f t="shared" si="0"/>
        <v>1104.599975585938</v>
      </c>
      <c r="L4" s="5">
        <f t="shared" si="1"/>
        <v>-0.78666958120687391</v>
      </c>
    </row>
    <row r="5" spans="1:15" x14ac:dyDescent="0.3">
      <c r="A5" s="2">
        <v>45005</v>
      </c>
      <c r="B5">
        <v>230.6708984375</v>
      </c>
      <c r="C5">
        <f t="shared" si="2"/>
        <v>3.3450797393811113E-2</v>
      </c>
      <c r="K5">
        <f t="shared" si="0"/>
        <v>1104.599975585938</v>
      </c>
      <c r="L5" s="5">
        <f t="shared" si="1"/>
        <v>-0.79117245741822506</v>
      </c>
    </row>
    <row r="6" spans="1:15" x14ac:dyDescent="0.3">
      <c r="A6" s="2">
        <v>45006</v>
      </c>
      <c r="B6">
        <v>238.38702392578119</v>
      </c>
      <c r="C6">
        <f t="shared" si="2"/>
        <v>-1.1384354742118593E-2</v>
      </c>
      <c r="K6">
        <f t="shared" si="0"/>
        <v>1104.599975585938</v>
      </c>
      <c r="L6" s="5">
        <f t="shared" si="1"/>
        <v>-0.78418700960107468</v>
      </c>
    </row>
    <row r="7" spans="1:15" x14ac:dyDescent="0.3">
      <c r="A7" s="2">
        <v>45007</v>
      </c>
      <c r="B7">
        <v>235.67314147949219</v>
      </c>
      <c r="C7">
        <f t="shared" si="2"/>
        <v>1.1555592964100206E-2</v>
      </c>
      <c r="K7">
        <f t="shared" si="0"/>
        <v>1104.599975585938</v>
      </c>
      <c r="L7" s="5">
        <f t="shared" si="1"/>
        <v>-0.78664390124173345</v>
      </c>
    </row>
    <row r="8" spans="1:15" x14ac:dyDescent="0.3">
      <c r="A8" s="2">
        <v>45008</v>
      </c>
      <c r="B8">
        <v>238.396484375</v>
      </c>
      <c r="C8">
        <f t="shared" si="2"/>
        <v>-2.1696922697220077E-2</v>
      </c>
      <c r="K8">
        <f t="shared" si="0"/>
        <v>1104.599975585938</v>
      </c>
      <c r="L8" s="5">
        <f t="shared" si="1"/>
        <v>-0.78417844500807454</v>
      </c>
    </row>
    <row r="9" spans="1:15" x14ac:dyDescent="0.3">
      <c r="A9" s="2">
        <v>45009</v>
      </c>
      <c r="B9">
        <v>233.22401428222659</v>
      </c>
      <c r="C9">
        <f t="shared" si="2"/>
        <v>-1.9299268432103354E-2</v>
      </c>
      <c r="K9">
        <f t="shared" si="0"/>
        <v>1104.599975585938</v>
      </c>
      <c r="L9" s="5">
        <f t="shared" si="1"/>
        <v>-0.78886110860312819</v>
      </c>
    </row>
    <row r="10" spans="1:15" x14ac:dyDescent="0.3">
      <c r="A10" s="2">
        <v>45012</v>
      </c>
      <c r="B10">
        <v>228.72296142578119</v>
      </c>
      <c r="C10">
        <f t="shared" si="2"/>
        <v>1.3643003396758054E-2</v>
      </c>
      <c r="K10">
        <f t="shared" si="0"/>
        <v>1104.599975585938</v>
      </c>
      <c r="L10" s="5">
        <f t="shared" si="1"/>
        <v>-0.79293593474465318</v>
      </c>
    </row>
    <row r="11" spans="1:15" x14ac:dyDescent="0.3">
      <c r="A11" s="2">
        <v>45013</v>
      </c>
      <c r="B11">
        <v>231.84342956542969</v>
      </c>
      <c r="C11">
        <f t="shared" si="2"/>
        <v>2.1127357997263663E-2</v>
      </c>
      <c r="K11">
        <f t="shared" si="0"/>
        <v>1104.599975585938</v>
      </c>
      <c r="L11" s="5">
        <f t="shared" si="1"/>
        <v>-0.79011095899902795</v>
      </c>
    </row>
    <row r="12" spans="1:15" x14ac:dyDescent="0.3">
      <c r="A12" s="2">
        <v>45014</v>
      </c>
      <c r="B12">
        <v>236.7416687011719</v>
      </c>
      <c r="C12">
        <f t="shared" si="2"/>
        <v>6.0713748449732659E-3</v>
      </c>
      <c r="K12">
        <f t="shared" si="0"/>
        <v>1104.599975585938</v>
      </c>
      <c r="L12" s="5">
        <f t="shared" si="1"/>
        <v>-0.78567655809009807</v>
      </c>
    </row>
    <row r="13" spans="1:15" x14ac:dyDescent="0.3">
      <c r="A13" s="2">
        <v>45016</v>
      </c>
      <c r="B13">
        <v>238.17901611328119</v>
      </c>
      <c r="C13">
        <f t="shared" si="2"/>
        <v>2.1478413509894986E-2</v>
      </c>
      <c r="K13">
        <f t="shared" si="0"/>
        <v>1104.599975585938</v>
      </c>
      <c r="L13" s="5">
        <f t="shared" si="1"/>
        <v>-0.78437532013619815</v>
      </c>
    </row>
    <row r="14" spans="1:15" x14ac:dyDescent="0.3">
      <c r="A14" s="2">
        <v>45019</v>
      </c>
      <c r="B14">
        <v>243.29472351074219</v>
      </c>
      <c r="C14">
        <f t="shared" si="2"/>
        <v>2.0210023943585034E-3</v>
      </c>
      <c r="K14">
        <f t="shared" si="0"/>
        <v>1104.599975585938</v>
      </c>
      <c r="L14" s="5">
        <f t="shared" si="1"/>
        <v>-0.77974404409914466</v>
      </c>
    </row>
    <row r="15" spans="1:15" x14ac:dyDescent="0.3">
      <c r="A15" s="2">
        <v>45021</v>
      </c>
      <c r="B15">
        <v>243.78642272949219</v>
      </c>
      <c r="C15">
        <f t="shared" si="2"/>
        <v>1.1481282187713963E-2</v>
      </c>
      <c r="K15">
        <f t="shared" si="0"/>
        <v>1104.599975585938</v>
      </c>
      <c r="L15" s="5">
        <f t="shared" si="1"/>
        <v>-0.7792989062848974</v>
      </c>
    </row>
    <row r="16" spans="1:15" x14ac:dyDescent="0.3">
      <c r="A16" s="2">
        <v>45022</v>
      </c>
      <c r="B16">
        <v>246.58540344238281</v>
      </c>
      <c r="C16">
        <f t="shared" si="2"/>
        <v>6.902752134392222E-4</v>
      </c>
      <c r="K16">
        <f t="shared" si="0"/>
        <v>1104.599975585938</v>
      </c>
      <c r="L16" s="5">
        <f t="shared" si="1"/>
        <v>-0.77676497474881712</v>
      </c>
    </row>
    <row r="17" spans="1:12" x14ac:dyDescent="0.3">
      <c r="A17" s="2">
        <v>45026</v>
      </c>
      <c r="B17">
        <v>246.755615234375</v>
      </c>
      <c r="C17">
        <f t="shared" si="2"/>
        <v>-7.2426737217659324E-3</v>
      </c>
      <c r="K17">
        <f t="shared" si="0"/>
        <v>1104.599975585938</v>
      </c>
      <c r="L17" s="5">
        <f t="shared" si="1"/>
        <v>-0.77661088114411481</v>
      </c>
    </row>
    <row r="18" spans="1:12" x14ac:dyDescent="0.3">
      <c r="A18" s="2">
        <v>45027</v>
      </c>
      <c r="B18">
        <v>244.96844482421881</v>
      </c>
      <c r="C18">
        <f t="shared" si="2"/>
        <v>1.0576574978391783E-2</v>
      </c>
      <c r="K18">
        <f t="shared" si="0"/>
        <v>1104.599975585938</v>
      </c>
      <c r="L18" s="5">
        <f t="shared" si="1"/>
        <v>-0.77822881564498081</v>
      </c>
    </row>
    <row r="19" spans="1:12" x14ac:dyDescent="0.3">
      <c r="A19" s="2">
        <v>45028</v>
      </c>
      <c r="B19">
        <v>247.55937194824219</v>
      </c>
      <c r="C19">
        <f t="shared" si="2"/>
        <v>-9.4726649959370902E-3</v>
      </c>
      <c r="K19">
        <f t="shared" si="0"/>
        <v>1104.599975585938</v>
      </c>
      <c r="L19" s="5">
        <f t="shared" si="1"/>
        <v>-0.77588323608560317</v>
      </c>
    </row>
    <row r="20" spans="1:12" x14ac:dyDescent="0.3">
      <c r="A20" s="2">
        <v>45029</v>
      </c>
      <c r="B20">
        <v>245.2143249511719</v>
      </c>
      <c r="C20">
        <f t="shared" si="2"/>
        <v>1.908817758102075E-2</v>
      </c>
      <c r="K20">
        <f t="shared" si="0"/>
        <v>1104.599975585938</v>
      </c>
      <c r="L20" s="5">
        <f t="shared" si="1"/>
        <v>-0.77800621911013779</v>
      </c>
    </row>
    <row r="21" spans="1:12" x14ac:dyDescent="0.3">
      <c r="A21" s="2">
        <v>45033</v>
      </c>
      <c r="B21">
        <v>249.89501953125</v>
      </c>
      <c r="C21">
        <f t="shared" si="2"/>
        <v>1.3509029670662372E-2</v>
      </c>
      <c r="K21">
        <f t="shared" si="0"/>
        <v>1104.599975585938</v>
      </c>
      <c r="L21" s="5">
        <f t="shared" si="1"/>
        <v>-0.77376876239862979</v>
      </c>
    </row>
    <row r="22" spans="1:12" x14ac:dyDescent="0.3">
      <c r="A22" s="2">
        <v>45034</v>
      </c>
      <c r="B22">
        <v>253.27085876464841</v>
      </c>
      <c r="C22">
        <f t="shared" si="2"/>
        <v>2.0422561049559515E-2</v>
      </c>
      <c r="K22">
        <f t="shared" si="0"/>
        <v>1104.599975585938</v>
      </c>
      <c r="L22" s="5">
        <f t="shared" si="1"/>
        <v>-0.77071259789744229</v>
      </c>
    </row>
    <row r="23" spans="1:12" x14ac:dyDescent="0.3">
      <c r="A23" s="2">
        <v>45035</v>
      </c>
      <c r="B23">
        <v>258.44329833984381</v>
      </c>
      <c r="C23">
        <f t="shared" si="2"/>
        <v>-1.9904188024802223E-2</v>
      </c>
      <c r="K23">
        <f t="shared" si="0"/>
        <v>1104.599975585938</v>
      </c>
      <c r="L23" s="5">
        <f t="shared" si="1"/>
        <v>-0.76602996193010786</v>
      </c>
    </row>
    <row r="24" spans="1:12" x14ac:dyDescent="0.3">
      <c r="A24" s="2">
        <v>45036</v>
      </c>
      <c r="B24">
        <v>253.2991943359375</v>
      </c>
      <c r="C24">
        <f t="shared" si="2"/>
        <v>1.4559328625603427E-2</v>
      </c>
      <c r="K24">
        <f t="shared" si="0"/>
        <v>1104.599975585938</v>
      </c>
      <c r="L24" s="5">
        <f t="shared" si="1"/>
        <v>-0.77068694556002115</v>
      </c>
    </row>
    <row r="25" spans="1:12" x14ac:dyDescent="0.3">
      <c r="A25" s="2">
        <v>45037</v>
      </c>
      <c r="B25">
        <v>256.987060546875</v>
      </c>
      <c r="C25">
        <f t="shared" si="2"/>
        <v>2.4837215554725879E-2</v>
      </c>
      <c r="K25">
        <f t="shared" si="0"/>
        <v>1104.599975585938</v>
      </c>
      <c r="L25" s="5">
        <f t="shared" si="1"/>
        <v>-0.76734830144228861</v>
      </c>
    </row>
    <row r="26" spans="1:12" x14ac:dyDescent="0.3">
      <c r="A26" s="2">
        <v>45040</v>
      </c>
      <c r="B26">
        <v>263.36990356445313</v>
      </c>
      <c r="C26">
        <f t="shared" si="2"/>
        <v>2.8831051302388559E-2</v>
      </c>
      <c r="K26">
        <f t="shared" si="0"/>
        <v>1104.599975585938</v>
      </c>
      <c r="L26" s="5">
        <f t="shared" si="1"/>
        <v>-0.76156988105603762</v>
      </c>
    </row>
    <row r="27" spans="1:12" x14ac:dyDescent="0.3">
      <c r="A27" s="2">
        <v>45041</v>
      </c>
      <c r="B27">
        <v>270.963134765625</v>
      </c>
      <c r="C27">
        <f t="shared" si="2"/>
        <v>-1.8565771512751551E-2</v>
      </c>
      <c r="K27">
        <f t="shared" si="0"/>
        <v>1104.599975585938</v>
      </c>
      <c r="L27" s="5">
        <f t="shared" si="1"/>
        <v>-0.7546956900647297</v>
      </c>
    </row>
    <row r="28" spans="1:12" x14ac:dyDescent="0.3">
      <c r="A28" s="2">
        <v>45042</v>
      </c>
      <c r="B28">
        <v>265.9324951171875</v>
      </c>
      <c r="C28">
        <f t="shared" si="2"/>
        <v>-4.2655124880710242E-4</v>
      </c>
      <c r="K28">
        <f t="shared" si="0"/>
        <v>1104.599975585938</v>
      </c>
      <c r="L28" s="5">
        <f t="shared" si="1"/>
        <v>-0.75924995383408111</v>
      </c>
    </row>
    <row r="29" spans="1:12" x14ac:dyDescent="0.3">
      <c r="A29" s="2">
        <v>45043</v>
      </c>
      <c r="B29">
        <v>265.81906127929688</v>
      </c>
      <c r="C29">
        <f t="shared" si="2"/>
        <v>-5.1901649518693881E-2</v>
      </c>
      <c r="K29">
        <f t="shared" si="0"/>
        <v>1104.599975585938</v>
      </c>
      <c r="L29" s="5">
        <f t="shared" si="1"/>
        <v>-0.75935264606692354</v>
      </c>
    </row>
    <row r="30" spans="1:12" x14ac:dyDescent="0.3">
      <c r="A30" s="2">
        <v>45044</v>
      </c>
      <c r="B30">
        <v>252.0226135253906</v>
      </c>
      <c r="C30">
        <f t="shared" si="2"/>
        <v>-5.4778981136135467E-3</v>
      </c>
      <c r="K30">
        <f t="shared" si="0"/>
        <v>1104.599975585938</v>
      </c>
      <c r="L30" s="5">
        <f t="shared" si="1"/>
        <v>-0.77184264068835917</v>
      </c>
    </row>
    <row r="31" spans="1:12" x14ac:dyDescent="0.3">
      <c r="A31" s="2">
        <v>45048</v>
      </c>
      <c r="B31">
        <v>250.6420593261719</v>
      </c>
      <c r="C31">
        <f t="shared" si="2"/>
        <v>-4.715915752987414E-3</v>
      </c>
      <c r="K31">
        <f t="shared" si="0"/>
        <v>1104.599975585938</v>
      </c>
      <c r="L31" s="5">
        <f t="shared" si="1"/>
        <v>-0.77309246345653937</v>
      </c>
    </row>
    <row r="32" spans="1:12" x14ac:dyDescent="0.3">
      <c r="A32" s="2">
        <v>45049</v>
      </c>
      <c r="B32">
        <v>249.4600524902344</v>
      </c>
      <c r="C32">
        <f t="shared" si="2"/>
        <v>6.5577424483811361E-3</v>
      </c>
      <c r="K32">
        <f t="shared" si="0"/>
        <v>1104.599975585938</v>
      </c>
      <c r="L32" s="5">
        <f t="shared" si="1"/>
        <v>-0.77416254028259623</v>
      </c>
    </row>
    <row r="33" spans="1:12" x14ac:dyDescent="0.3">
      <c r="A33" s="2">
        <v>45050</v>
      </c>
      <c r="B33">
        <v>251.095947265625</v>
      </c>
      <c r="C33">
        <f t="shared" si="2"/>
        <v>-6.6656643872711483E-3</v>
      </c>
      <c r="K33">
        <f t="shared" si="0"/>
        <v>1104.599975585938</v>
      </c>
      <c r="L33" s="5">
        <f t="shared" si="1"/>
        <v>-0.77268155638657288</v>
      </c>
    </row>
    <row r="34" spans="1:12" x14ac:dyDescent="0.3">
      <c r="A34" s="2">
        <v>45051</v>
      </c>
      <c r="B34">
        <v>249.42222595214841</v>
      </c>
      <c r="C34">
        <f t="shared" si="2"/>
        <v>2.202679716030766E-2</v>
      </c>
      <c r="K34">
        <f t="shared" si="0"/>
        <v>1104.599975585938</v>
      </c>
      <c r="L34" s="5">
        <f t="shared" si="1"/>
        <v>-0.77419678484073684</v>
      </c>
    </row>
    <row r="35" spans="1:12" x14ac:dyDescent="0.3">
      <c r="A35" s="2">
        <v>45054</v>
      </c>
      <c r="B35">
        <v>254.91619873046881</v>
      </c>
      <c r="C35">
        <f t="shared" si="2"/>
        <v>2.5978397944499806E-4</v>
      </c>
      <c r="K35">
        <f t="shared" si="0"/>
        <v>1104.599975585938</v>
      </c>
      <c r="L35" s="5">
        <f t="shared" si="1"/>
        <v>-0.7692230632222784</v>
      </c>
    </row>
    <row r="36" spans="1:12" x14ac:dyDescent="0.3">
      <c r="A36" s="2">
        <v>45055</v>
      </c>
      <c r="B36">
        <v>254.982421875</v>
      </c>
      <c r="C36">
        <f t="shared" si="2"/>
        <v>3.5599712947431621E-3</v>
      </c>
      <c r="K36">
        <f t="shared" si="0"/>
        <v>1104.599975585938</v>
      </c>
      <c r="L36" s="5">
        <f t="shared" si="1"/>
        <v>-0.76916311107127822</v>
      </c>
    </row>
    <row r="37" spans="1:12" x14ac:dyDescent="0.3">
      <c r="A37" s="2">
        <v>45056</v>
      </c>
      <c r="B37">
        <v>255.89015197753909</v>
      </c>
      <c r="C37">
        <f t="shared" si="2"/>
        <v>8.3145413627190631E-3</v>
      </c>
      <c r="K37">
        <f t="shared" si="0"/>
        <v>1104.599975585938</v>
      </c>
      <c r="L37" s="5">
        <f t="shared" si="1"/>
        <v>-0.76834133837292407</v>
      </c>
    </row>
    <row r="38" spans="1:12" x14ac:dyDescent="0.3">
      <c r="A38" s="2">
        <v>45057</v>
      </c>
      <c r="B38">
        <v>258.01776123046881</v>
      </c>
      <c r="C38">
        <f t="shared" si="2"/>
        <v>-1.0664686235840276E-2</v>
      </c>
      <c r="K38">
        <f t="shared" si="0"/>
        <v>1104.599975585938</v>
      </c>
      <c r="L38" s="5">
        <f t="shared" si="1"/>
        <v>-0.76641520284879361</v>
      </c>
    </row>
    <row r="39" spans="1:12" x14ac:dyDescent="0.3">
      <c r="A39" s="2">
        <v>45058</v>
      </c>
      <c r="B39">
        <v>255.2660827636719</v>
      </c>
      <c r="C39">
        <f t="shared" si="2"/>
        <v>-6.7790184754512291E-3</v>
      </c>
      <c r="K39">
        <f t="shared" si="0"/>
        <v>1104.599975585938</v>
      </c>
      <c r="L39" s="5">
        <f t="shared" si="1"/>
        <v>-0.76890631141987364</v>
      </c>
    </row>
    <row r="40" spans="1:12" x14ac:dyDescent="0.3">
      <c r="A40" s="2">
        <v>45061</v>
      </c>
      <c r="B40">
        <v>253.53562927246091</v>
      </c>
      <c r="C40">
        <f t="shared" si="2"/>
        <v>-8.951287128188384E-3</v>
      </c>
      <c r="K40">
        <f t="shared" si="0"/>
        <v>1104.599975585938</v>
      </c>
      <c r="L40" s="5">
        <f t="shared" si="1"/>
        <v>-0.77047289980431855</v>
      </c>
    </row>
    <row r="41" spans="1:12" x14ac:dyDescent="0.3">
      <c r="A41" s="2">
        <v>45062</v>
      </c>
      <c r="B41">
        <v>251.26615905761719</v>
      </c>
      <c r="C41">
        <f t="shared" si="2"/>
        <v>1.1741862305162576E-2</v>
      </c>
      <c r="K41">
        <f t="shared" si="0"/>
        <v>1104.599975585938</v>
      </c>
      <c r="L41" s="5">
        <f t="shared" si="1"/>
        <v>-0.77252746278187057</v>
      </c>
    </row>
    <row r="42" spans="1:12" x14ac:dyDescent="0.3">
      <c r="A42" s="2">
        <v>45063</v>
      </c>
      <c r="B42">
        <v>254.21649169921881</v>
      </c>
      <c r="C42">
        <f t="shared" si="2"/>
        <v>1.4134172116135662E-3</v>
      </c>
      <c r="K42">
        <f t="shared" si="0"/>
        <v>1104.599975585938</v>
      </c>
      <c r="L42" s="5">
        <f t="shared" si="1"/>
        <v>-0.76985651157164925</v>
      </c>
    </row>
    <row r="43" spans="1:12" x14ac:dyDescent="0.3">
      <c r="A43" s="2">
        <v>45064</v>
      </c>
      <c r="B43">
        <v>254.5758056640625</v>
      </c>
      <c r="C43">
        <f t="shared" si="2"/>
        <v>-5.0517625396490507E-3</v>
      </c>
      <c r="K43">
        <f t="shared" si="0"/>
        <v>1104.599975585938</v>
      </c>
      <c r="L43" s="5">
        <f t="shared" si="1"/>
        <v>-0.76953122280396391</v>
      </c>
    </row>
    <row r="44" spans="1:12" x14ac:dyDescent="0.3">
      <c r="A44" s="2">
        <v>45065</v>
      </c>
      <c r="B44">
        <v>253.28974914550781</v>
      </c>
      <c r="C44">
        <f t="shared" si="2"/>
        <v>-1.4933193860067808E-2</v>
      </c>
      <c r="K44">
        <f t="shared" si="0"/>
        <v>1104.599975585938</v>
      </c>
      <c r="L44" s="5">
        <f t="shared" si="1"/>
        <v>-0.77069549633916146</v>
      </c>
    </row>
    <row r="45" spans="1:12" x14ac:dyDescent="0.3">
      <c r="A45" s="2">
        <v>45068</v>
      </c>
      <c r="B45">
        <v>249.50732421875</v>
      </c>
      <c r="C45">
        <f t="shared" si="2"/>
        <v>3.3351003246632524E-2</v>
      </c>
      <c r="K45">
        <f t="shared" si="0"/>
        <v>1104.599975585938</v>
      </c>
      <c r="L45" s="5">
        <f t="shared" si="1"/>
        <v>-0.77411974494531544</v>
      </c>
    </row>
    <row r="46" spans="1:12" x14ac:dyDescent="0.3">
      <c r="A46" s="2">
        <v>45069</v>
      </c>
      <c r="B46">
        <v>257.82864379882813</v>
      </c>
      <c r="C46">
        <f t="shared" si="2"/>
        <v>4.6578522722713032E-3</v>
      </c>
      <c r="K46">
        <f t="shared" si="0"/>
        <v>1104.599975585938</v>
      </c>
      <c r="L46" s="5">
        <f t="shared" si="1"/>
        <v>-0.76658641182563647</v>
      </c>
    </row>
    <row r="47" spans="1:12" x14ac:dyDescent="0.3">
      <c r="A47" s="2">
        <v>45070</v>
      </c>
      <c r="B47">
        <v>259.02957153320313</v>
      </c>
      <c r="C47">
        <f t="shared" si="2"/>
        <v>4.1615804934117245E-3</v>
      </c>
      <c r="K47">
        <f t="shared" si="0"/>
        <v>1104.599975585938</v>
      </c>
      <c r="L47" s="5">
        <f t="shared" si="1"/>
        <v>-0.76549920581357955</v>
      </c>
    </row>
    <row r="48" spans="1:12" x14ac:dyDescent="0.3">
      <c r="A48" s="2">
        <v>45071</v>
      </c>
      <c r="B48">
        <v>260.1075439453125</v>
      </c>
      <c r="C48">
        <f t="shared" si="2"/>
        <v>5.9985657975568816E-3</v>
      </c>
      <c r="K48">
        <f t="shared" si="0"/>
        <v>1104.599975585938</v>
      </c>
      <c r="L48" s="5">
        <f t="shared" si="1"/>
        <v>-0.76452331188280376</v>
      </c>
    </row>
    <row r="49" spans="1:12" x14ac:dyDescent="0.3">
      <c r="A49" s="2">
        <v>45072</v>
      </c>
      <c r="B49">
        <v>261.66781616210938</v>
      </c>
      <c r="C49">
        <f t="shared" si="2"/>
        <v>1.8213432628154898E-2</v>
      </c>
      <c r="K49">
        <f t="shared" si="0"/>
        <v>1104.599975585938</v>
      </c>
      <c r="L49" s="5">
        <f t="shared" si="1"/>
        <v>-0.76311078947534194</v>
      </c>
    </row>
    <row r="50" spans="1:12" x14ac:dyDescent="0.3">
      <c r="A50" s="2">
        <v>45075</v>
      </c>
      <c r="B50">
        <v>266.43368530273438</v>
      </c>
      <c r="C50">
        <f t="shared" si="2"/>
        <v>5.6783695868928155E-3</v>
      </c>
      <c r="K50">
        <f t="shared" si="0"/>
        <v>1104.599975585938</v>
      </c>
      <c r="L50" s="5">
        <f t="shared" si="1"/>
        <v>-0.75879622379911438</v>
      </c>
    </row>
    <row r="51" spans="1:12" x14ac:dyDescent="0.3">
      <c r="A51" s="2">
        <v>45076</v>
      </c>
      <c r="B51">
        <v>267.94659423828119</v>
      </c>
      <c r="C51">
        <f t="shared" si="2"/>
        <v>-1.2033953244585201E-2</v>
      </c>
      <c r="K51">
        <f t="shared" si="0"/>
        <v>1104.599975585938</v>
      </c>
      <c r="L51" s="5">
        <f t="shared" si="1"/>
        <v>-0.75742657961209148</v>
      </c>
    </row>
    <row r="52" spans="1:12" x14ac:dyDescent="0.3">
      <c r="A52" s="2">
        <v>45077</v>
      </c>
      <c r="B52">
        <v>264.72213745117188</v>
      </c>
      <c r="C52">
        <f t="shared" si="2"/>
        <v>7.501255127867412E-3</v>
      </c>
      <c r="K52">
        <f t="shared" si="0"/>
        <v>1104.599975585938</v>
      </c>
      <c r="L52" s="5">
        <f t="shared" si="1"/>
        <v>-0.76034569681141873</v>
      </c>
    </row>
    <row r="53" spans="1:12" x14ac:dyDescent="0.3">
      <c r="A53" s="2">
        <v>45078</v>
      </c>
      <c r="B53">
        <v>266.7078857421875</v>
      </c>
      <c r="C53">
        <f t="shared" si="2"/>
        <v>2.1984135447813626E-3</v>
      </c>
      <c r="K53">
        <f t="shared" si="0"/>
        <v>1104.599975585938</v>
      </c>
      <c r="L53" s="5">
        <f t="shared" si="1"/>
        <v>-0.75854798874070983</v>
      </c>
    </row>
    <row r="54" spans="1:12" x14ac:dyDescent="0.3">
      <c r="A54" s="2">
        <v>45079</v>
      </c>
      <c r="B54">
        <v>267.29421997070313</v>
      </c>
      <c r="C54">
        <f t="shared" si="2"/>
        <v>-8.7734511194987111E-3</v>
      </c>
      <c r="K54">
        <f t="shared" si="0"/>
        <v>1104.599975585938</v>
      </c>
      <c r="L54" s="5">
        <f t="shared" si="1"/>
        <v>-0.75801717736874275</v>
      </c>
    </row>
    <row r="55" spans="1:12" x14ac:dyDescent="0.3">
      <c r="A55" s="2">
        <v>45082</v>
      </c>
      <c r="B55">
        <v>264.94912719726563</v>
      </c>
      <c r="C55">
        <f t="shared" si="2"/>
        <v>5.6744798604631821E-3</v>
      </c>
      <c r="K55">
        <f t="shared" si="0"/>
        <v>1104.599975585938</v>
      </c>
      <c r="L55" s="5">
        <f t="shared" si="1"/>
        <v>-0.76014020183485642</v>
      </c>
    </row>
    <row r="56" spans="1:12" x14ac:dyDescent="0.3">
      <c r="A56" s="2">
        <v>45083</v>
      </c>
      <c r="B56">
        <v>266.45257568359381</v>
      </c>
      <c r="C56">
        <f t="shared" si="2"/>
        <v>-3.9009895410895397E-4</v>
      </c>
      <c r="K56">
        <f t="shared" si="0"/>
        <v>1104.599975585938</v>
      </c>
      <c r="L56" s="5">
        <f t="shared" si="1"/>
        <v>-0.75877912224083355</v>
      </c>
    </row>
    <row r="57" spans="1:12" x14ac:dyDescent="0.3">
      <c r="A57" s="2">
        <v>45084</v>
      </c>
      <c r="B57">
        <v>266.3486328125</v>
      </c>
      <c r="C57">
        <f t="shared" si="2"/>
        <v>1.8459591700551072E-3</v>
      </c>
      <c r="K57">
        <f t="shared" si="0"/>
        <v>1104.599975585938</v>
      </c>
      <c r="L57" s="5">
        <f t="shared" si="1"/>
        <v>-0.75887322225295661</v>
      </c>
    </row>
    <row r="58" spans="1:12" x14ac:dyDescent="0.3">
      <c r="A58" s="2">
        <v>45085</v>
      </c>
      <c r="B58">
        <v>266.84030151367188</v>
      </c>
      <c r="C58">
        <f t="shared" si="2"/>
        <v>4.4295269929409756E-3</v>
      </c>
      <c r="K58">
        <f t="shared" si="0"/>
        <v>1104.599975585938</v>
      </c>
      <c r="L58" s="5">
        <f t="shared" si="1"/>
        <v>-0.75842811206642868</v>
      </c>
    </row>
    <row r="59" spans="1:12" x14ac:dyDescent="0.3">
      <c r="A59" s="2">
        <v>45086</v>
      </c>
      <c r="B59">
        <v>268.02227783203119</v>
      </c>
      <c r="C59">
        <f t="shared" si="2"/>
        <v>2.4802352481977766E-2</v>
      </c>
      <c r="K59">
        <f t="shared" si="0"/>
        <v>1104.599975585938</v>
      </c>
      <c r="L59" s="5">
        <f t="shared" si="1"/>
        <v>-0.75735806286809115</v>
      </c>
    </row>
    <row r="60" spans="1:12" x14ac:dyDescent="0.3">
      <c r="A60" s="2">
        <v>45089</v>
      </c>
      <c r="B60">
        <v>274.66986083984381</v>
      </c>
      <c r="C60">
        <f t="shared" si="2"/>
        <v>-6.1624051068054657E-3</v>
      </c>
      <c r="K60">
        <f t="shared" si="0"/>
        <v>1104.599975585938</v>
      </c>
      <c r="L60" s="5">
        <f t="shared" si="1"/>
        <v>-0.75133997201643565</v>
      </c>
    </row>
    <row r="61" spans="1:12" x14ac:dyDescent="0.3">
      <c r="A61" s="2">
        <v>45090</v>
      </c>
      <c r="B61">
        <v>272.97723388671881</v>
      </c>
      <c r="C61">
        <f t="shared" si="2"/>
        <v>-2.4663948847826422E-2</v>
      </c>
      <c r="K61">
        <f t="shared" si="0"/>
        <v>1104.599975585938</v>
      </c>
      <c r="L61" s="5">
        <f t="shared" si="1"/>
        <v>-0.75287231584273995</v>
      </c>
    </row>
    <row r="62" spans="1:12" x14ac:dyDescent="0.3">
      <c r="A62" s="2">
        <v>45091</v>
      </c>
      <c r="B62">
        <v>266.24453735351563</v>
      </c>
      <c r="C62">
        <f t="shared" si="2"/>
        <v>4.5460375564756574E-3</v>
      </c>
      <c r="K62">
        <f t="shared" si="0"/>
        <v>1104.599975585938</v>
      </c>
      <c r="L62" s="5">
        <f t="shared" si="1"/>
        <v>-0.75896746040367646</v>
      </c>
    </row>
    <row r="63" spans="1:12" x14ac:dyDescent="0.3">
      <c r="A63" s="2">
        <v>45092</v>
      </c>
      <c r="B63">
        <v>267.45489501953119</v>
      </c>
      <c r="C63">
        <f t="shared" si="2"/>
        <v>5.2361021191102688E-3</v>
      </c>
      <c r="K63">
        <f t="shared" si="0"/>
        <v>1104.599975585938</v>
      </c>
      <c r="L63" s="5">
        <f t="shared" si="1"/>
        <v>-0.75787171742633885</v>
      </c>
    </row>
    <row r="64" spans="1:12" x14ac:dyDescent="0.3">
      <c r="A64" s="2">
        <v>45093</v>
      </c>
      <c r="B64">
        <v>268.85531616210938</v>
      </c>
      <c r="C64">
        <f t="shared" si="2"/>
        <v>4.8769156254742561E-2</v>
      </c>
      <c r="K64">
        <f t="shared" si="0"/>
        <v>1104.599975585938</v>
      </c>
      <c r="L64" s="5">
        <f t="shared" si="1"/>
        <v>-0.75660390901285834</v>
      </c>
    </row>
    <row r="65" spans="1:12" x14ac:dyDescent="0.3">
      <c r="A65" s="2">
        <v>45096</v>
      </c>
      <c r="B65">
        <v>281.9671630859375</v>
      </c>
      <c r="C65">
        <f t="shared" si="2"/>
        <v>6.1094647978786734E-2</v>
      </c>
      <c r="K65">
        <f t="shared" si="0"/>
        <v>1104.599975585938</v>
      </c>
      <c r="L65" s="5">
        <f t="shared" si="1"/>
        <v>-0.74473368701971299</v>
      </c>
    </row>
    <row r="66" spans="1:12" x14ac:dyDescent="0.3">
      <c r="A66" s="2">
        <v>45097</v>
      </c>
      <c r="B66">
        <v>299.19384765625</v>
      </c>
      <c r="C66">
        <f t="shared" si="2"/>
        <v>0.11201242270489221</v>
      </c>
      <c r="K66">
        <f t="shared" ref="K66:K129" si="3">MAX(B66:B805)</f>
        <v>1104.599975585938</v>
      </c>
      <c r="L66" s="5">
        <f t="shared" ref="L66:L129" si="4">B66/K66-1</f>
        <v>-0.7291382814873395</v>
      </c>
    </row>
    <row r="67" spans="1:12" x14ac:dyDescent="0.3">
      <c r="A67" s="2">
        <v>45098</v>
      </c>
      <c r="B67">
        <v>332.707275390625</v>
      </c>
      <c r="C67">
        <f t="shared" ref="C67:C130" si="5">(B68-B67)/B67</f>
        <v>-8.9947379196329193E-3</v>
      </c>
      <c r="K67">
        <f t="shared" si="3"/>
        <v>1104.599975585938</v>
      </c>
      <c r="L67" s="5">
        <f t="shared" si="4"/>
        <v>-0.69879840417872585</v>
      </c>
    </row>
    <row r="68" spans="1:12" x14ac:dyDescent="0.3">
      <c r="A68" s="2">
        <v>45099</v>
      </c>
      <c r="B68">
        <v>329.71466064453119</v>
      </c>
      <c r="C68">
        <f t="shared" si="5"/>
        <v>-2.4494612688342857E-2</v>
      </c>
      <c r="K68">
        <f t="shared" si="3"/>
        <v>1104.599975585938</v>
      </c>
      <c r="L68" s="5">
        <f t="shared" si="4"/>
        <v>-0.70150763359411339</v>
      </c>
    </row>
    <row r="69" spans="1:12" x14ac:dyDescent="0.3">
      <c r="A69" s="2">
        <v>45100</v>
      </c>
      <c r="B69">
        <v>321.638427734375</v>
      </c>
      <c r="C69">
        <f t="shared" si="5"/>
        <v>1.5924837809342576E-2</v>
      </c>
      <c r="K69">
        <f t="shared" si="3"/>
        <v>1104.599975585938</v>
      </c>
      <c r="L69" s="5">
        <f t="shared" si="4"/>
        <v>-0.70881908849965258</v>
      </c>
    </row>
    <row r="70" spans="1:12" x14ac:dyDescent="0.3">
      <c r="A70" s="2">
        <v>45103</v>
      </c>
      <c r="B70">
        <v>326.76046752929688</v>
      </c>
      <c r="C70">
        <f t="shared" si="5"/>
        <v>-4.2270278175974918E-3</v>
      </c>
      <c r="K70">
        <f t="shared" si="3"/>
        <v>1104.599975585938</v>
      </c>
      <c r="L70" s="5">
        <f t="shared" si="4"/>
        <v>-0.70418207971083291</v>
      </c>
    </row>
    <row r="71" spans="1:12" x14ac:dyDescent="0.3">
      <c r="A71" s="2">
        <v>45104</v>
      </c>
      <c r="B71">
        <v>325.37924194335938</v>
      </c>
      <c r="C71">
        <f t="shared" si="5"/>
        <v>2.8593062088475298E-3</v>
      </c>
      <c r="K71">
        <f t="shared" si="3"/>
        <v>1104.599975585938</v>
      </c>
      <c r="L71" s="5">
        <f t="shared" si="4"/>
        <v>-0.70543251028883902</v>
      </c>
    </row>
    <row r="72" spans="1:12" x14ac:dyDescent="0.3">
      <c r="A72" s="2">
        <v>45105</v>
      </c>
      <c r="B72">
        <v>326.30960083007813</v>
      </c>
      <c r="C72">
        <f t="shared" si="5"/>
        <v>2.0105657107922149E-2</v>
      </c>
      <c r="K72">
        <f t="shared" si="3"/>
        <v>1104.599975585938</v>
      </c>
      <c r="L72" s="5">
        <f t="shared" si="4"/>
        <v>-0.7045902516365834</v>
      </c>
    </row>
    <row r="73" spans="1:12" x14ac:dyDescent="0.3">
      <c r="A73" s="2">
        <v>45107</v>
      </c>
      <c r="B73">
        <v>332.87026977539063</v>
      </c>
      <c r="C73">
        <f t="shared" si="5"/>
        <v>1.31110787785976E-2</v>
      </c>
      <c r="K73">
        <f t="shared" si="3"/>
        <v>1104.599975585938</v>
      </c>
      <c r="L73" s="5">
        <f t="shared" si="4"/>
        <v>-0.69865084452965087</v>
      </c>
    </row>
    <row r="74" spans="1:12" x14ac:dyDescent="0.3">
      <c r="A74" s="2">
        <v>45110</v>
      </c>
      <c r="B74">
        <v>337.23455810546881</v>
      </c>
      <c r="C74">
        <f t="shared" si="5"/>
        <v>1.1234693229320995E-2</v>
      </c>
      <c r="K74">
        <f t="shared" si="3"/>
        <v>1104.599975585938</v>
      </c>
      <c r="L74" s="5">
        <f t="shared" si="4"/>
        <v>-0.69469983201241536</v>
      </c>
    </row>
    <row r="75" spans="1:12" x14ac:dyDescent="0.3">
      <c r="A75" s="2">
        <v>45111</v>
      </c>
      <c r="B75">
        <v>341.02328491210938</v>
      </c>
      <c r="C75">
        <f t="shared" si="5"/>
        <v>1.3810006236436377E-2</v>
      </c>
      <c r="K75">
        <f t="shared" si="3"/>
        <v>1104.599975585938</v>
      </c>
      <c r="L75" s="5">
        <f t="shared" si="4"/>
        <v>-0.69126987828221464</v>
      </c>
    </row>
    <row r="76" spans="1:12" x14ac:dyDescent="0.3">
      <c r="A76" s="2">
        <v>45112</v>
      </c>
      <c r="B76">
        <v>345.73281860351563</v>
      </c>
      <c r="C76">
        <f t="shared" si="5"/>
        <v>-1.7145331708355041E-2</v>
      </c>
      <c r="K76">
        <f t="shared" si="3"/>
        <v>1104.599975585938</v>
      </c>
      <c r="L76" s="5">
        <f t="shared" si="4"/>
        <v>-0.68700631337591633</v>
      </c>
    </row>
    <row r="77" spans="1:12" x14ac:dyDescent="0.3">
      <c r="A77" s="2">
        <v>45113</v>
      </c>
      <c r="B77">
        <v>339.80511474609381</v>
      </c>
      <c r="C77">
        <f t="shared" si="5"/>
        <v>-2.9779606769232535E-2</v>
      </c>
      <c r="K77">
        <f t="shared" si="3"/>
        <v>1104.599975585938</v>
      </c>
      <c r="L77" s="5">
        <f t="shared" si="4"/>
        <v>-0.69237269395570711</v>
      </c>
    </row>
    <row r="78" spans="1:12" x14ac:dyDescent="0.3">
      <c r="A78" s="2">
        <v>45114</v>
      </c>
      <c r="B78">
        <v>329.68585205078119</v>
      </c>
      <c r="C78">
        <f t="shared" si="5"/>
        <v>2.6767202812960104E-3</v>
      </c>
      <c r="K78">
        <f t="shared" si="3"/>
        <v>1104.599975585938</v>
      </c>
      <c r="L78" s="5">
        <f t="shared" si="4"/>
        <v>-0.70153371416118449</v>
      </c>
    </row>
    <row r="79" spans="1:12" x14ac:dyDescent="0.3">
      <c r="A79" s="2">
        <v>45117</v>
      </c>
      <c r="B79">
        <v>330.56832885742188</v>
      </c>
      <c r="C79">
        <f t="shared" si="5"/>
        <v>2.1761690270819142E-2</v>
      </c>
      <c r="K79">
        <f t="shared" si="3"/>
        <v>1104.599975585938</v>
      </c>
      <c r="L79" s="5">
        <f t="shared" si="4"/>
        <v>-0.70073480340059668</v>
      </c>
    </row>
    <row r="80" spans="1:12" x14ac:dyDescent="0.3">
      <c r="A80" s="2">
        <v>45118</v>
      </c>
      <c r="B80">
        <v>337.76205444335938</v>
      </c>
      <c r="C80">
        <f t="shared" si="5"/>
        <v>2.5444562675447056E-2</v>
      </c>
      <c r="K80">
        <f t="shared" si="3"/>
        <v>1104.599975585938</v>
      </c>
      <c r="L80" s="5">
        <f t="shared" si="4"/>
        <v>-0.69422228688336463</v>
      </c>
    </row>
    <row r="81" spans="1:12" x14ac:dyDescent="0.3">
      <c r="A81" s="2">
        <v>45119</v>
      </c>
      <c r="B81">
        <v>346.35626220703119</v>
      </c>
      <c r="C81">
        <f t="shared" si="5"/>
        <v>-9.1388955999618434E-3</v>
      </c>
      <c r="K81">
        <f t="shared" si="3"/>
        <v>1104.599975585938</v>
      </c>
      <c r="L81" s="5">
        <f t="shared" si="4"/>
        <v>-0.6864419066972135</v>
      </c>
    </row>
    <row r="82" spans="1:12" x14ac:dyDescent="0.3">
      <c r="A82" s="2">
        <v>45120</v>
      </c>
      <c r="B82">
        <v>343.19094848632813</v>
      </c>
      <c r="C82">
        <f t="shared" si="5"/>
        <v>-2.8506944132596326E-3</v>
      </c>
      <c r="K82">
        <f t="shared" si="3"/>
        <v>1104.599975585938</v>
      </c>
      <c r="L82" s="5">
        <f t="shared" si="4"/>
        <v>-0.68930748137643083</v>
      </c>
    </row>
    <row r="83" spans="1:12" x14ac:dyDescent="0.3">
      <c r="A83" s="2">
        <v>45121</v>
      </c>
      <c r="B83">
        <v>342.21261596679688</v>
      </c>
      <c r="C83">
        <f t="shared" si="5"/>
        <v>-8.0722349948807795E-3</v>
      </c>
      <c r="K83">
        <f t="shared" si="3"/>
        <v>1104.599975585938</v>
      </c>
      <c r="L83" s="5">
        <f t="shared" si="4"/>
        <v>-0.6901931708035125</v>
      </c>
    </row>
    <row r="84" spans="1:12" x14ac:dyDescent="0.3">
      <c r="A84" s="2">
        <v>45124</v>
      </c>
      <c r="B84">
        <v>339.4501953125</v>
      </c>
      <c r="C84">
        <f t="shared" si="5"/>
        <v>8.2790738987965941E-3</v>
      </c>
      <c r="K84">
        <f t="shared" si="3"/>
        <v>1104.599975585938</v>
      </c>
      <c r="L84" s="5">
        <f t="shared" si="4"/>
        <v>-0.6926940043318055</v>
      </c>
    </row>
    <row r="85" spans="1:12" x14ac:dyDescent="0.3">
      <c r="A85" s="2">
        <v>45125</v>
      </c>
      <c r="B85">
        <v>342.26052856445313</v>
      </c>
      <c r="C85">
        <f t="shared" si="5"/>
        <v>8.9690832783706888E-4</v>
      </c>
      <c r="K85">
        <f t="shared" si="3"/>
        <v>1104.599975585938</v>
      </c>
      <c r="L85" s="5">
        <f t="shared" si="4"/>
        <v>-0.69014979528412523</v>
      </c>
    </row>
    <row r="86" spans="1:12" x14ac:dyDescent="0.3">
      <c r="A86" s="2">
        <v>45126</v>
      </c>
      <c r="B86">
        <v>342.5675048828125</v>
      </c>
      <c r="C86">
        <f t="shared" si="5"/>
        <v>-1.6238388233956796E-3</v>
      </c>
      <c r="K86">
        <f t="shared" si="3"/>
        <v>1104.599975585938</v>
      </c>
      <c r="L86" s="5">
        <f t="shared" si="4"/>
        <v>-0.68987188805513355</v>
      </c>
    </row>
    <row r="87" spans="1:12" x14ac:dyDescent="0.3">
      <c r="A87" s="2">
        <v>45127</v>
      </c>
      <c r="B87">
        <v>342.01123046875</v>
      </c>
      <c r="C87">
        <f t="shared" si="5"/>
        <v>2.7287708137325471E-2</v>
      </c>
      <c r="K87">
        <f t="shared" si="3"/>
        <v>1104.599975585938</v>
      </c>
      <c r="L87" s="5">
        <f t="shared" si="4"/>
        <v>-0.69037548612353605</v>
      </c>
    </row>
    <row r="88" spans="1:12" x14ac:dyDescent="0.3">
      <c r="A88" s="2">
        <v>45128</v>
      </c>
      <c r="B88">
        <v>351.34393310546881</v>
      </c>
      <c r="C88">
        <f t="shared" si="5"/>
        <v>-1.9219240295051811E-2</v>
      </c>
      <c r="K88">
        <f t="shared" si="3"/>
        <v>1104.599975585938</v>
      </c>
      <c r="L88" s="5">
        <f t="shared" si="4"/>
        <v>-0.68192654275671383</v>
      </c>
    </row>
    <row r="89" spans="1:12" x14ac:dyDescent="0.3">
      <c r="A89" s="2">
        <v>45131</v>
      </c>
      <c r="B89">
        <v>344.59136962890619</v>
      </c>
      <c r="C89">
        <f t="shared" si="5"/>
        <v>1.5142269852642613E-2</v>
      </c>
      <c r="K89">
        <f t="shared" si="3"/>
        <v>1104.599975585938</v>
      </c>
      <c r="L89" s="5">
        <f t="shared" si="4"/>
        <v>-0.68803967296295043</v>
      </c>
    </row>
    <row r="90" spans="1:12" x14ac:dyDescent="0.3">
      <c r="A90" s="2">
        <v>45132</v>
      </c>
      <c r="B90">
        <v>349.80926513671881</v>
      </c>
      <c r="C90">
        <f t="shared" si="5"/>
        <v>-2.3856820689987708E-3</v>
      </c>
      <c r="K90">
        <f t="shared" si="3"/>
        <v>1104.599975585938</v>
      </c>
      <c r="L90" s="5">
        <f t="shared" si="4"/>
        <v>-0.68331588550763678</v>
      </c>
    </row>
    <row r="91" spans="1:12" x14ac:dyDescent="0.3">
      <c r="A91" s="2">
        <v>45133</v>
      </c>
      <c r="B91">
        <v>348.9747314453125</v>
      </c>
      <c r="C91">
        <f t="shared" si="5"/>
        <v>-4.1227073867680895E-3</v>
      </c>
      <c r="K91">
        <f t="shared" si="3"/>
        <v>1104.599975585938</v>
      </c>
      <c r="L91" s="5">
        <f t="shared" si="4"/>
        <v>-0.68407139312111798</v>
      </c>
    </row>
    <row r="92" spans="1:12" x14ac:dyDescent="0.3">
      <c r="A92" s="2">
        <v>45134</v>
      </c>
      <c r="B92">
        <v>347.5360107421875</v>
      </c>
      <c r="C92">
        <f t="shared" si="5"/>
        <v>3.4221807753032564E-3</v>
      </c>
      <c r="K92">
        <f t="shared" si="3"/>
        <v>1104.599975585938</v>
      </c>
      <c r="L92" s="5">
        <f t="shared" si="4"/>
        <v>-0.68537387432238894</v>
      </c>
    </row>
    <row r="93" spans="1:12" x14ac:dyDescent="0.3">
      <c r="A93" s="2">
        <v>45135</v>
      </c>
      <c r="B93">
        <v>348.725341796875</v>
      </c>
      <c r="C93">
        <f t="shared" si="5"/>
        <v>4.1422742143366713E-2</v>
      </c>
      <c r="K93">
        <f t="shared" si="3"/>
        <v>1104.599975585938</v>
      </c>
      <c r="L93" s="5">
        <f t="shared" si="4"/>
        <v>-0.6842971668436868</v>
      </c>
    </row>
    <row r="94" spans="1:12" x14ac:dyDescent="0.3">
      <c r="A94" s="2">
        <v>45138</v>
      </c>
      <c r="B94">
        <v>363.17050170898438</v>
      </c>
      <c r="C94">
        <f t="shared" si="5"/>
        <v>-2.0838257899690689E-2</v>
      </c>
      <c r="K94">
        <f t="shared" si="3"/>
        <v>1104.599975585938</v>
      </c>
      <c r="L94" s="5">
        <f t="shared" si="4"/>
        <v>-0.6712198897919226</v>
      </c>
    </row>
    <row r="95" spans="1:12" x14ac:dyDescent="0.3">
      <c r="A95" s="2">
        <v>45139</v>
      </c>
      <c r="B95">
        <v>355.6026611328125</v>
      </c>
      <c r="C95">
        <f t="shared" si="5"/>
        <v>-1.1085967957812757E-2</v>
      </c>
      <c r="K95">
        <f t="shared" si="3"/>
        <v>1104.599975585938</v>
      </c>
      <c r="L95" s="5">
        <f t="shared" si="4"/>
        <v>-0.67807109452072711</v>
      </c>
    </row>
    <row r="96" spans="1:12" x14ac:dyDescent="0.3">
      <c r="A96" s="2">
        <v>45140</v>
      </c>
      <c r="B96">
        <v>351.66046142578119</v>
      </c>
      <c r="C96">
        <f t="shared" si="5"/>
        <v>-8.0190328910085089E-3</v>
      </c>
      <c r="K96">
        <f t="shared" si="3"/>
        <v>1104.599975585938</v>
      </c>
      <c r="L96" s="5">
        <f t="shared" si="4"/>
        <v>-0.68163998805156412</v>
      </c>
    </row>
    <row r="97" spans="1:12" x14ac:dyDescent="0.3">
      <c r="A97" s="2">
        <v>45141</v>
      </c>
      <c r="B97">
        <v>348.84048461914063</v>
      </c>
      <c r="C97">
        <f t="shared" si="5"/>
        <v>1.0200943853035559E-2</v>
      </c>
      <c r="K97">
        <f t="shared" si="3"/>
        <v>1104.599975585938</v>
      </c>
      <c r="L97" s="5">
        <f t="shared" si="4"/>
        <v>-0.68419292745856053</v>
      </c>
    </row>
    <row r="98" spans="1:12" x14ac:dyDescent="0.3">
      <c r="A98" s="2">
        <v>45142</v>
      </c>
      <c r="B98">
        <v>352.39898681640619</v>
      </c>
      <c r="C98">
        <f t="shared" si="5"/>
        <v>9.6897053105416617E-3</v>
      </c>
      <c r="K98">
        <f t="shared" si="3"/>
        <v>1104.599975585938</v>
      </c>
      <c r="L98" s="5">
        <f t="shared" si="4"/>
        <v>-0.68097139724317368</v>
      </c>
    </row>
    <row r="99" spans="1:12" x14ac:dyDescent="0.3">
      <c r="A99" s="2">
        <v>45145</v>
      </c>
      <c r="B99">
        <v>355.81362915039063</v>
      </c>
      <c r="C99">
        <f t="shared" si="5"/>
        <v>3.558446599843495E-3</v>
      </c>
      <c r="K99">
        <f t="shared" si="3"/>
        <v>1104.599975585938</v>
      </c>
      <c r="L99" s="5">
        <f t="shared" si="4"/>
        <v>-0.67788010409682631</v>
      </c>
    </row>
    <row r="100" spans="1:12" x14ac:dyDescent="0.3">
      <c r="A100" s="2">
        <v>45146</v>
      </c>
      <c r="B100">
        <v>357.07977294921881</v>
      </c>
      <c r="C100">
        <f t="shared" si="5"/>
        <v>-6.715443999935046E-3</v>
      </c>
      <c r="K100">
        <f t="shared" si="3"/>
        <v>1104.599975585938</v>
      </c>
      <c r="L100" s="5">
        <f t="shared" si="4"/>
        <v>-0.67673385764850758</v>
      </c>
    </row>
    <row r="101" spans="1:12" x14ac:dyDescent="0.3">
      <c r="A101" s="2">
        <v>45147</v>
      </c>
      <c r="B101">
        <v>354.68182373046881</v>
      </c>
      <c r="C101">
        <f t="shared" si="5"/>
        <v>9.7365269646525806E-4</v>
      </c>
      <c r="K101">
        <f t="shared" si="3"/>
        <v>1104.599975585938</v>
      </c>
      <c r="L101" s="5">
        <f t="shared" si="4"/>
        <v>-0.67890473332454415</v>
      </c>
    </row>
    <row r="102" spans="1:12" x14ac:dyDescent="0.3">
      <c r="A102" s="2">
        <v>45148</v>
      </c>
      <c r="B102">
        <v>355.02716064453119</v>
      </c>
      <c r="C102">
        <f t="shared" si="5"/>
        <v>-2.309952353241004E-2</v>
      </c>
      <c r="K102">
        <f t="shared" si="3"/>
        <v>1104.599975585938</v>
      </c>
      <c r="L102" s="5">
        <f t="shared" si="4"/>
        <v>-0.67859209805232334</v>
      </c>
    </row>
    <row r="103" spans="1:12" x14ac:dyDescent="0.3">
      <c r="A103" s="2">
        <v>45149</v>
      </c>
      <c r="B103">
        <v>346.82620239257813</v>
      </c>
      <c r="C103">
        <f t="shared" si="5"/>
        <v>3.0974585476683664E-3</v>
      </c>
      <c r="K103">
        <f t="shared" si="3"/>
        <v>1104.599975585938</v>
      </c>
      <c r="L103" s="5">
        <f t="shared" si="4"/>
        <v>-0.68601646744686628</v>
      </c>
    </row>
    <row r="104" spans="1:12" x14ac:dyDescent="0.3">
      <c r="A104" s="2">
        <v>45152</v>
      </c>
      <c r="B104">
        <v>347.90048217773438</v>
      </c>
      <c r="C104">
        <f t="shared" si="5"/>
        <v>-9.6770149972767554E-3</v>
      </c>
      <c r="K104">
        <f t="shared" si="3"/>
        <v>1104.599975585938</v>
      </c>
      <c r="L104" s="5">
        <f t="shared" si="4"/>
        <v>-0.68504391647013241</v>
      </c>
    </row>
    <row r="105" spans="1:12" x14ac:dyDescent="0.3">
      <c r="A105" s="2">
        <v>45154</v>
      </c>
      <c r="B105">
        <v>344.53384399414063</v>
      </c>
      <c r="C105">
        <f t="shared" si="5"/>
        <v>2.6948758977774843E-2</v>
      </c>
      <c r="K105">
        <f t="shared" si="3"/>
        <v>1104.599975585938</v>
      </c>
      <c r="L105" s="5">
        <f t="shared" si="4"/>
        <v>-0.68809175121393451</v>
      </c>
    </row>
    <row r="106" spans="1:12" x14ac:dyDescent="0.3">
      <c r="A106" s="2">
        <v>45155</v>
      </c>
      <c r="B106">
        <v>353.818603515625</v>
      </c>
      <c r="C106">
        <f t="shared" si="5"/>
        <v>-1.2985245380168124E-2</v>
      </c>
      <c r="K106">
        <f t="shared" si="3"/>
        <v>1104.599975585938</v>
      </c>
      <c r="L106" s="5">
        <f t="shared" si="4"/>
        <v>-0.679686210994219</v>
      </c>
    </row>
    <row r="107" spans="1:12" x14ac:dyDescent="0.3">
      <c r="A107" s="2">
        <v>45156</v>
      </c>
      <c r="B107">
        <v>349.22418212890619</v>
      </c>
      <c r="C107">
        <f t="shared" si="5"/>
        <v>1.2524273863888795E-2</v>
      </c>
      <c r="K107">
        <f t="shared" si="3"/>
        <v>1104.599975585938</v>
      </c>
      <c r="L107" s="5">
        <f t="shared" si="4"/>
        <v>-0.68384556414311048</v>
      </c>
    </row>
    <row r="108" spans="1:12" x14ac:dyDescent="0.3">
      <c r="A108" s="2">
        <v>45159</v>
      </c>
      <c r="B108">
        <v>353.59796142578119</v>
      </c>
      <c r="C108">
        <f t="shared" si="5"/>
        <v>9.7663717480197783E-4</v>
      </c>
      <c r="K108">
        <f t="shared" si="3"/>
        <v>1104.599975585938</v>
      </c>
      <c r="L108" s="5">
        <f t="shared" si="4"/>
        <v>-0.6798859594051555</v>
      </c>
    </row>
    <row r="109" spans="1:12" x14ac:dyDescent="0.3">
      <c r="A109" s="2">
        <v>45160</v>
      </c>
      <c r="B109">
        <v>353.94329833984381</v>
      </c>
      <c r="C109">
        <f t="shared" si="5"/>
        <v>3.875146210377052E-3</v>
      </c>
      <c r="K109">
        <f t="shared" si="3"/>
        <v>1104.599975585938</v>
      </c>
      <c r="L109" s="5">
        <f t="shared" si="4"/>
        <v>-0.67957332413293448</v>
      </c>
    </row>
    <row r="110" spans="1:12" x14ac:dyDescent="0.3">
      <c r="A110" s="2">
        <v>45161</v>
      </c>
      <c r="B110">
        <v>355.31488037109381</v>
      </c>
      <c r="C110">
        <f t="shared" si="5"/>
        <v>1.257962108941731E-2</v>
      </c>
      <c r="K110">
        <f t="shared" si="3"/>
        <v>1104.599975585938</v>
      </c>
      <c r="L110" s="5">
        <f t="shared" si="4"/>
        <v>-0.67833162391424451</v>
      </c>
    </row>
    <row r="111" spans="1:12" x14ac:dyDescent="0.3">
      <c r="A111" s="2">
        <v>45162</v>
      </c>
      <c r="B111">
        <v>359.78460693359381</v>
      </c>
      <c r="C111">
        <f t="shared" si="5"/>
        <v>-6.0517809948614828E-3</v>
      </c>
      <c r="K111">
        <f t="shared" si="3"/>
        <v>1104.599975585938</v>
      </c>
      <c r="L111" s="5">
        <f t="shared" si="4"/>
        <v>-0.67428515762663754</v>
      </c>
    </row>
    <row r="112" spans="1:12" x14ac:dyDescent="0.3">
      <c r="A112" s="2">
        <v>45163</v>
      </c>
      <c r="B112">
        <v>357.60726928710938</v>
      </c>
      <c r="C112">
        <f t="shared" si="5"/>
        <v>-1.2338204013884533E-3</v>
      </c>
      <c r="K112">
        <f t="shared" si="3"/>
        <v>1104.599975585938</v>
      </c>
      <c r="L112" s="5">
        <f t="shared" si="4"/>
        <v>-0.67625631251945695</v>
      </c>
    </row>
    <row r="113" spans="1:12" x14ac:dyDescent="0.3">
      <c r="A113" s="2">
        <v>45166</v>
      </c>
      <c r="B113">
        <v>357.16604614257813</v>
      </c>
      <c r="C113">
        <f t="shared" si="5"/>
        <v>5.5860508764083907E-3</v>
      </c>
      <c r="K113">
        <f t="shared" si="3"/>
        <v>1104.599975585938</v>
      </c>
      <c r="L113" s="5">
        <f t="shared" si="4"/>
        <v>-0.67665575408589118</v>
      </c>
    </row>
    <row r="114" spans="1:12" x14ac:dyDescent="0.3">
      <c r="A114" s="2">
        <v>45167</v>
      </c>
      <c r="B114">
        <v>359.16119384765619</v>
      </c>
      <c r="C114">
        <f t="shared" si="5"/>
        <v>6.3290881106746995E-3</v>
      </c>
      <c r="K114">
        <f t="shared" si="3"/>
        <v>1104.599975585938</v>
      </c>
      <c r="L114" s="5">
        <f t="shared" si="4"/>
        <v>-0.67484953667762104</v>
      </c>
    </row>
    <row r="115" spans="1:12" x14ac:dyDescent="0.3">
      <c r="A115" s="2">
        <v>45168</v>
      </c>
      <c r="B115">
        <v>361.43435668945313</v>
      </c>
      <c r="C115">
        <f t="shared" si="5"/>
        <v>2.3459572401053373E-2</v>
      </c>
      <c r="K115">
        <f t="shared" si="3"/>
        <v>1104.599975585938</v>
      </c>
      <c r="L115" s="5">
        <f t="shared" si="4"/>
        <v>-0.6727916307460271</v>
      </c>
    </row>
    <row r="116" spans="1:12" x14ac:dyDescent="0.3">
      <c r="A116" s="2">
        <v>45169</v>
      </c>
      <c r="B116">
        <v>369.9134521484375</v>
      </c>
      <c r="C116">
        <f t="shared" si="5"/>
        <v>-8.4272147168081638E-3</v>
      </c>
      <c r="K116">
        <f t="shared" si="3"/>
        <v>1104.599975585938</v>
      </c>
      <c r="L116" s="5">
        <f t="shared" si="4"/>
        <v>-0.6651154623172828</v>
      </c>
    </row>
    <row r="117" spans="1:12" x14ac:dyDescent="0.3">
      <c r="A117" s="2">
        <v>45170</v>
      </c>
      <c r="B117">
        <v>366.79611206054688</v>
      </c>
      <c r="C117">
        <f t="shared" si="5"/>
        <v>-9.4924152448067362E-3</v>
      </c>
      <c r="K117">
        <f t="shared" si="3"/>
        <v>1104.599975585938</v>
      </c>
      <c r="L117" s="5">
        <f t="shared" si="4"/>
        <v>-0.6679376062216742</v>
      </c>
    </row>
    <row r="118" spans="1:12" x14ac:dyDescent="0.3">
      <c r="A118" s="2">
        <v>45173</v>
      </c>
      <c r="B118">
        <v>363.3143310546875</v>
      </c>
      <c r="C118">
        <f t="shared" si="5"/>
        <v>1.0349107994534101E-2</v>
      </c>
      <c r="K118">
        <f t="shared" si="3"/>
        <v>1104.599975585938</v>
      </c>
      <c r="L118" s="5">
        <f t="shared" si="4"/>
        <v>-0.67108968035060257</v>
      </c>
    </row>
    <row r="119" spans="1:12" x14ac:dyDescent="0.3">
      <c r="A119" s="2">
        <v>45174</v>
      </c>
      <c r="B119">
        <v>367.07431030273438</v>
      </c>
      <c r="C119">
        <f t="shared" si="5"/>
        <v>-1.0922499297697404E-2</v>
      </c>
      <c r="K119">
        <f t="shared" si="3"/>
        <v>1104.599975585938</v>
      </c>
      <c r="L119" s="5">
        <f t="shared" si="4"/>
        <v>-0.66768575193203417</v>
      </c>
    </row>
    <row r="120" spans="1:12" x14ac:dyDescent="0.3">
      <c r="A120" s="2">
        <v>45175</v>
      </c>
      <c r="B120">
        <v>363.06494140625</v>
      </c>
      <c r="C120">
        <f t="shared" si="5"/>
        <v>5.813273225858946E-4</v>
      </c>
      <c r="K120">
        <f t="shared" si="3"/>
        <v>1104.599975585938</v>
      </c>
      <c r="L120" s="5">
        <f t="shared" si="4"/>
        <v>-0.67131545407317139</v>
      </c>
    </row>
    <row r="121" spans="1:12" x14ac:dyDescent="0.3">
      <c r="A121" s="2">
        <v>45176</v>
      </c>
      <c r="B121">
        <v>363.2760009765625</v>
      </c>
      <c r="C121">
        <f t="shared" si="5"/>
        <v>3.1763227761691451E-2</v>
      </c>
      <c r="K121">
        <f t="shared" si="3"/>
        <v>1104.599975585938</v>
      </c>
      <c r="L121" s="5">
        <f t="shared" si="4"/>
        <v>-0.67112438076611236</v>
      </c>
    </row>
    <row r="122" spans="1:12" x14ac:dyDescent="0.3">
      <c r="A122" s="2">
        <v>45177</v>
      </c>
      <c r="B122">
        <v>374.8148193359375</v>
      </c>
      <c r="C122">
        <f t="shared" si="5"/>
        <v>1.7144696778975815E-3</v>
      </c>
      <c r="K122">
        <f t="shared" si="3"/>
        <v>1104.599975585938</v>
      </c>
      <c r="L122" s="5">
        <f t="shared" si="4"/>
        <v>-0.66067822956711908</v>
      </c>
    </row>
    <row r="123" spans="1:12" x14ac:dyDescent="0.3">
      <c r="A123" s="2">
        <v>45180</v>
      </c>
      <c r="B123">
        <v>375.45742797851563</v>
      </c>
      <c r="C123">
        <f t="shared" si="5"/>
        <v>-2.3528510023051969E-2</v>
      </c>
      <c r="K123">
        <f t="shared" si="3"/>
        <v>1104.599975585938</v>
      </c>
      <c r="L123" s="5">
        <f t="shared" si="4"/>
        <v>-0.66009647268066141</v>
      </c>
    </row>
    <row r="124" spans="1:12" x14ac:dyDescent="0.3">
      <c r="A124" s="2">
        <v>45181</v>
      </c>
      <c r="B124">
        <v>366.62347412109381</v>
      </c>
      <c r="C124">
        <f t="shared" si="5"/>
        <v>-4.184452880498337E-4</v>
      </c>
      <c r="K124">
        <f t="shared" si="3"/>
        <v>1104.599975585938</v>
      </c>
      <c r="L124" s="5">
        <f t="shared" si="4"/>
        <v>-0.6680938962300651</v>
      </c>
    </row>
    <row r="125" spans="1:12" x14ac:dyDescent="0.3">
      <c r="A125" s="2">
        <v>45182</v>
      </c>
      <c r="B125">
        <v>366.47006225585938</v>
      </c>
      <c r="C125">
        <f t="shared" si="5"/>
        <v>2.6433795886592359E-3</v>
      </c>
      <c r="K125">
        <f t="shared" si="3"/>
        <v>1104.599975585938</v>
      </c>
      <c r="L125" s="5">
        <f t="shared" si="4"/>
        <v>-0.6682327807752626</v>
      </c>
    </row>
    <row r="126" spans="1:12" x14ac:dyDescent="0.3">
      <c r="A126" s="2">
        <v>45183</v>
      </c>
      <c r="B126">
        <v>367.43878173828119</v>
      </c>
      <c r="C126">
        <f t="shared" si="5"/>
        <v>3.5763424531453235E-3</v>
      </c>
      <c r="K126">
        <f t="shared" si="3"/>
        <v>1104.599975585938</v>
      </c>
      <c r="L126" s="5">
        <f t="shared" si="4"/>
        <v>-0.66735579407977774</v>
      </c>
    </row>
    <row r="127" spans="1:12" x14ac:dyDescent="0.3">
      <c r="A127" s="2">
        <v>45184</v>
      </c>
      <c r="B127">
        <v>368.75286865234381</v>
      </c>
      <c r="C127">
        <f t="shared" si="5"/>
        <v>-5.0721268554750048E-3</v>
      </c>
      <c r="K127">
        <f t="shared" si="3"/>
        <v>1104.599975585938</v>
      </c>
      <c r="L127" s="5">
        <f t="shared" si="4"/>
        <v>-0.66616614448435252</v>
      </c>
    </row>
    <row r="128" spans="1:12" x14ac:dyDescent="0.3">
      <c r="A128" s="2">
        <v>45187</v>
      </c>
      <c r="B128">
        <v>366.88250732421881</v>
      </c>
      <c r="C128">
        <f t="shared" si="5"/>
        <v>2.8234888586813212E-3</v>
      </c>
      <c r="K128">
        <f t="shared" si="3"/>
        <v>1104.599975585938</v>
      </c>
      <c r="L128" s="5">
        <f t="shared" si="4"/>
        <v>-0.66785939214818013</v>
      </c>
    </row>
    <row r="129" spans="1:12" x14ac:dyDescent="0.3">
      <c r="A129" s="2">
        <v>45189</v>
      </c>
      <c r="B129">
        <v>367.91839599609381</v>
      </c>
      <c r="C129">
        <f t="shared" si="5"/>
        <v>-9.176796519561034E-3</v>
      </c>
      <c r="K129">
        <f t="shared" si="3"/>
        <v>1104.599975585938</v>
      </c>
      <c r="L129" s="5">
        <f t="shared" si="4"/>
        <v>-0.66692159684239494</v>
      </c>
    </row>
    <row r="130" spans="1:12" x14ac:dyDescent="0.3">
      <c r="A130" s="2">
        <v>45190</v>
      </c>
      <c r="B130">
        <v>364.54208374023438</v>
      </c>
      <c r="C130">
        <f t="shared" si="5"/>
        <v>-4.9202553469707578E-3</v>
      </c>
      <c r="K130">
        <f t="shared" ref="K130:K193" si="6">MAX(B130:B869)</f>
        <v>1104.599975585938</v>
      </c>
      <c r="L130" s="5">
        <f t="shared" ref="L130:L193" si="7">B130/K130-1</f>
        <v>-0.66997818957323252</v>
      </c>
    </row>
    <row r="131" spans="1:12" x14ac:dyDescent="0.3">
      <c r="A131" s="2">
        <v>45191</v>
      </c>
      <c r="B131">
        <v>362.74844360351563</v>
      </c>
      <c r="C131">
        <f t="shared" ref="C131:C194" si="8">(B132-B131)/B131</f>
        <v>2.8874337790951967E-2</v>
      </c>
      <c r="K131">
        <f t="shared" si="6"/>
        <v>1104.599975585938</v>
      </c>
      <c r="L131" s="5">
        <f t="shared" si="7"/>
        <v>-0.67160198115060177</v>
      </c>
    </row>
    <row r="132" spans="1:12" x14ac:dyDescent="0.3">
      <c r="A132" s="2">
        <v>45194</v>
      </c>
      <c r="B132">
        <v>373.22256469726563</v>
      </c>
      <c r="C132">
        <f t="shared" si="8"/>
        <v>-3.1327850586074603E-2</v>
      </c>
      <c r="K132">
        <f t="shared" si="6"/>
        <v>1104.599975585938</v>
      </c>
      <c r="L132" s="5">
        <f t="shared" si="7"/>
        <v>-0.66211970582446489</v>
      </c>
    </row>
    <row r="133" spans="1:12" x14ac:dyDescent="0.3">
      <c r="A133" s="2">
        <v>45195</v>
      </c>
      <c r="B133">
        <v>361.53030395507813</v>
      </c>
      <c r="C133">
        <f t="shared" si="8"/>
        <v>4.1389003197113104E-3</v>
      </c>
      <c r="K133">
        <f t="shared" si="6"/>
        <v>1104.599975585938</v>
      </c>
      <c r="L133" s="5">
        <f t="shared" si="7"/>
        <v>-0.67270476919637501</v>
      </c>
    </row>
    <row r="134" spans="1:12" x14ac:dyDescent="0.3">
      <c r="A134" s="2">
        <v>45196</v>
      </c>
      <c r="B134">
        <v>363.02664184570313</v>
      </c>
      <c r="C134">
        <f t="shared" si="8"/>
        <v>-1.1070594923844896E-2</v>
      </c>
      <c r="K134">
        <f t="shared" si="6"/>
        <v>1104.599975585938</v>
      </c>
      <c r="L134" s="5">
        <f t="shared" si="7"/>
        <v>-0.67135012686096185</v>
      </c>
    </row>
    <row r="135" spans="1:12" x14ac:dyDescent="0.3">
      <c r="A135" s="2">
        <v>45197</v>
      </c>
      <c r="B135">
        <v>359.00772094726563</v>
      </c>
      <c r="C135">
        <f t="shared" si="8"/>
        <v>2.5595026846815676E-2</v>
      </c>
      <c r="K135">
        <f t="shared" si="6"/>
        <v>1104.599975585938</v>
      </c>
      <c r="L135" s="5">
        <f t="shared" si="7"/>
        <v>-0.67498847647825722</v>
      </c>
    </row>
    <row r="136" spans="1:12" x14ac:dyDescent="0.3">
      <c r="A136" s="2">
        <v>45198</v>
      </c>
      <c r="B136">
        <v>368.196533203125</v>
      </c>
      <c r="C136">
        <f t="shared" si="8"/>
        <v>1.3545721763266237E-3</v>
      </c>
      <c r="K136">
        <f t="shared" si="6"/>
        <v>1104.599975585938</v>
      </c>
      <c r="L136" s="5">
        <f t="shared" si="7"/>
        <v>-0.66666979780819369</v>
      </c>
    </row>
    <row r="137" spans="1:12" x14ac:dyDescent="0.3">
      <c r="A137" s="2">
        <v>45202</v>
      </c>
      <c r="B137">
        <v>368.69528198242188</v>
      </c>
      <c r="C137">
        <f t="shared" si="8"/>
        <v>-3.7123573438093603E-2</v>
      </c>
      <c r="K137">
        <f t="shared" si="6"/>
        <v>1104.599975585938</v>
      </c>
      <c r="L137" s="5">
        <f t="shared" si="7"/>
        <v>-0.66621827799077538</v>
      </c>
    </row>
    <row r="138" spans="1:12" x14ac:dyDescent="0.3">
      <c r="A138" s="2">
        <v>45203</v>
      </c>
      <c r="B138">
        <v>355.00799560546881</v>
      </c>
      <c r="C138">
        <f t="shared" si="8"/>
        <v>-7.0788011452345987E-3</v>
      </c>
      <c r="K138">
        <f t="shared" si="6"/>
        <v>1104.599975585938</v>
      </c>
      <c r="L138" s="5">
        <f t="shared" si="7"/>
        <v>-0.67860944826007819</v>
      </c>
    </row>
    <row r="139" spans="1:12" x14ac:dyDescent="0.3">
      <c r="A139" s="2">
        <v>45204</v>
      </c>
      <c r="B139">
        <v>352.49496459960938</v>
      </c>
      <c r="C139">
        <f t="shared" si="8"/>
        <v>6.176672895804574E-3</v>
      </c>
      <c r="K139">
        <f t="shared" si="6"/>
        <v>1104.599975585938</v>
      </c>
      <c r="L139" s="5">
        <f t="shared" si="7"/>
        <v>-0.68088450806580236</v>
      </c>
    </row>
    <row r="140" spans="1:12" x14ac:dyDescent="0.3">
      <c r="A140" s="2">
        <v>45205</v>
      </c>
      <c r="B140">
        <v>354.67221069335938</v>
      </c>
      <c r="C140">
        <f t="shared" si="8"/>
        <v>-1.5117408953562421E-2</v>
      </c>
      <c r="K140">
        <f t="shared" si="6"/>
        <v>1104.599975585938</v>
      </c>
      <c r="L140" s="5">
        <f t="shared" si="7"/>
        <v>-0.67891343605614096</v>
      </c>
    </row>
    <row r="141" spans="1:12" x14ac:dyDescent="0.3">
      <c r="A141" s="2">
        <v>45208</v>
      </c>
      <c r="B141">
        <v>349.31048583984381</v>
      </c>
      <c r="C141">
        <f t="shared" si="8"/>
        <v>3.9513354905546701E-2</v>
      </c>
      <c r="K141">
        <f t="shared" si="6"/>
        <v>1104.599975585938</v>
      </c>
      <c r="L141" s="5">
        <f t="shared" si="7"/>
        <v>-0.68376743295277453</v>
      </c>
    </row>
    <row r="142" spans="1:12" x14ac:dyDescent="0.3">
      <c r="A142" s="2">
        <v>45209</v>
      </c>
      <c r="B142">
        <v>363.1129150390625</v>
      </c>
      <c r="C142">
        <f t="shared" si="8"/>
        <v>3.0376979117675831E-3</v>
      </c>
      <c r="K142">
        <f t="shared" si="6"/>
        <v>1104.599975585938</v>
      </c>
      <c r="L142" s="5">
        <f t="shared" si="7"/>
        <v>-0.67127202329834534</v>
      </c>
    </row>
    <row r="143" spans="1:12" x14ac:dyDescent="0.3">
      <c r="A143" s="2">
        <v>45210</v>
      </c>
      <c r="B143">
        <v>364.2159423828125</v>
      </c>
      <c r="C143">
        <f t="shared" si="8"/>
        <v>-1.0797487780934605E-2</v>
      </c>
      <c r="K143">
        <f t="shared" si="6"/>
        <v>1104.599975585938</v>
      </c>
      <c r="L143" s="5">
        <f t="shared" si="7"/>
        <v>-0.67027344700997915</v>
      </c>
    </row>
    <row r="144" spans="1:12" x14ac:dyDescent="0.3">
      <c r="A144" s="2">
        <v>45211</v>
      </c>
      <c r="B144">
        <v>360.2833251953125</v>
      </c>
      <c r="C144">
        <f t="shared" si="8"/>
        <v>1.517733202188197E-3</v>
      </c>
      <c r="K144">
        <f t="shared" si="6"/>
        <v>1104.599975585938</v>
      </c>
      <c r="L144" s="5">
        <f t="shared" si="7"/>
        <v>-0.67383366543693857</v>
      </c>
    </row>
    <row r="145" spans="1:12" x14ac:dyDescent="0.3">
      <c r="A145" s="2">
        <v>45212</v>
      </c>
      <c r="B145">
        <v>360.83013916015619</v>
      </c>
      <c r="C145">
        <f t="shared" si="8"/>
        <v>-7.1240921398256609E-3</v>
      </c>
      <c r="K145">
        <f t="shared" si="6"/>
        <v>1104.599975585938</v>
      </c>
      <c r="L145" s="5">
        <f t="shared" si="7"/>
        <v>-0.6733386319615362</v>
      </c>
    </row>
    <row r="146" spans="1:12" x14ac:dyDescent="0.3">
      <c r="A146" s="2">
        <v>45215</v>
      </c>
      <c r="B146">
        <v>358.25955200195313</v>
      </c>
      <c r="C146">
        <f t="shared" si="8"/>
        <v>1.1191155564456219E-2</v>
      </c>
      <c r="K146">
        <f t="shared" si="6"/>
        <v>1104.599975585938</v>
      </c>
      <c r="L146" s="5">
        <f t="shared" si="7"/>
        <v>-0.67566579764596368</v>
      </c>
    </row>
    <row r="147" spans="1:12" x14ac:dyDescent="0.3">
      <c r="A147" s="2">
        <v>45216</v>
      </c>
      <c r="B147">
        <v>362.26889038085938</v>
      </c>
      <c r="C147">
        <f t="shared" si="8"/>
        <v>-1.1782329908438562E-2</v>
      </c>
      <c r="K147">
        <f t="shared" si="6"/>
        <v>1104.599975585938</v>
      </c>
      <c r="L147" s="5">
        <f t="shared" si="7"/>
        <v>-0.6720361231325459</v>
      </c>
    </row>
    <row r="148" spans="1:12" x14ac:dyDescent="0.3">
      <c r="A148" s="2">
        <v>45217</v>
      </c>
      <c r="B148">
        <v>358.00051879882813</v>
      </c>
      <c r="C148">
        <f t="shared" si="8"/>
        <v>6.7785580397036523E-3</v>
      </c>
      <c r="K148">
        <f t="shared" si="6"/>
        <v>1104.599975585938</v>
      </c>
      <c r="L148" s="5">
        <f t="shared" si="7"/>
        <v>-0.67590030172784876</v>
      </c>
    </row>
    <row r="149" spans="1:12" x14ac:dyDescent="0.3">
      <c r="A149" s="2">
        <v>45218</v>
      </c>
      <c r="B149">
        <v>360.42724609375</v>
      </c>
      <c r="C149">
        <f t="shared" si="8"/>
        <v>-1.1443226693580617E-3</v>
      </c>
      <c r="K149">
        <f t="shared" si="6"/>
        <v>1104.599975585938</v>
      </c>
      <c r="L149" s="5">
        <f t="shared" si="7"/>
        <v>-0.67370337311246054</v>
      </c>
    </row>
    <row r="150" spans="1:12" x14ac:dyDescent="0.3">
      <c r="A150" s="2">
        <v>45219</v>
      </c>
      <c r="B150">
        <v>360.01480102539063</v>
      </c>
      <c r="C150">
        <f t="shared" si="8"/>
        <v>1.7584183728611555E-3</v>
      </c>
      <c r="K150">
        <f t="shared" si="6"/>
        <v>1104.599975585938</v>
      </c>
      <c r="L150" s="5">
        <f t="shared" si="7"/>
        <v>-0.67407676173954301</v>
      </c>
    </row>
    <row r="151" spans="1:12" x14ac:dyDescent="0.3">
      <c r="A151" s="2">
        <v>45222</v>
      </c>
      <c r="B151">
        <v>360.64785766601563</v>
      </c>
      <c r="C151">
        <f t="shared" si="8"/>
        <v>-3.3962674152832835E-2</v>
      </c>
      <c r="K151">
        <f t="shared" si="6"/>
        <v>1104.599975585938</v>
      </c>
      <c r="L151" s="5">
        <f t="shared" si="7"/>
        <v>-0.67350365232924347</v>
      </c>
    </row>
    <row r="152" spans="1:12" x14ac:dyDescent="0.3">
      <c r="A152" s="2">
        <v>45224</v>
      </c>
      <c r="B152">
        <v>348.3992919921875</v>
      </c>
      <c r="C152">
        <f t="shared" si="8"/>
        <v>-1.0214124516877025E-2</v>
      </c>
      <c r="K152">
        <f t="shared" si="6"/>
        <v>1104.599975585938</v>
      </c>
      <c r="L152" s="5">
        <f t="shared" si="7"/>
        <v>-0.68459234139727543</v>
      </c>
    </row>
    <row r="153" spans="1:12" x14ac:dyDescent="0.3">
      <c r="A153" s="2">
        <v>45225</v>
      </c>
      <c r="B153">
        <v>344.8406982421875</v>
      </c>
      <c r="C153">
        <f t="shared" si="8"/>
        <v>7.6546717004107895E-2</v>
      </c>
      <c r="K153">
        <f t="shared" si="6"/>
        <v>1104.599975585938</v>
      </c>
      <c r="L153" s="5">
        <f t="shared" si="7"/>
        <v>-0.68781395449582017</v>
      </c>
    </row>
    <row r="154" spans="1:12" x14ac:dyDescent="0.3">
      <c r="A154" s="2">
        <v>45226</v>
      </c>
      <c r="B154">
        <v>371.23712158203119</v>
      </c>
      <c r="C154">
        <f t="shared" si="8"/>
        <v>-2.2220033740253668E-2</v>
      </c>
      <c r="K154">
        <f t="shared" si="6"/>
        <v>1104.599975585938</v>
      </c>
      <c r="L154" s="5">
        <f t="shared" si="7"/>
        <v>-0.66391713761798021</v>
      </c>
    </row>
    <row r="155" spans="1:12" x14ac:dyDescent="0.3">
      <c r="A155" s="2">
        <v>45229</v>
      </c>
      <c r="B155">
        <v>362.98822021484381</v>
      </c>
      <c r="C155">
        <f t="shared" si="8"/>
        <v>-6.5266859239115635E-3</v>
      </c>
      <c r="K155">
        <f t="shared" si="6"/>
        <v>1104.599975585938</v>
      </c>
      <c r="L155" s="5">
        <f t="shared" si="7"/>
        <v>-0.67138491015962976</v>
      </c>
    </row>
    <row r="156" spans="1:12" x14ac:dyDescent="0.3">
      <c r="A156" s="2">
        <v>45230</v>
      </c>
      <c r="B156">
        <v>360.61911010742188</v>
      </c>
      <c r="C156">
        <f t="shared" si="8"/>
        <v>1.1915780348381245E-2</v>
      </c>
      <c r="K156">
        <f t="shared" si="6"/>
        <v>1104.599975585938</v>
      </c>
      <c r="L156" s="5">
        <f t="shared" si="7"/>
        <v>-0.67352967764087579</v>
      </c>
    </row>
    <row r="157" spans="1:12" x14ac:dyDescent="0.3">
      <c r="A157" s="2">
        <v>45231</v>
      </c>
      <c r="B157">
        <v>364.91616821289063</v>
      </c>
      <c r="C157">
        <f t="shared" si="8"/>
        <v>2.7651430603852469E-2</v>
      </c>
      <c r="K157">
        <f t="shared" si="6"/>
        <v>1104.599975585938</v>
      </c>
      <c r="L157" s="5">
        <f t="shared" si="7"/>
        <v>-0.66963952898937928</v>
      </c>
    </row>
    <row r="158" spans="1:12" x14ac:dyDescent="0.3">
      <c r="A158" s="2">
        <v>45232</v>
      </c>
      <c r="B158">
        <v>375.00662231445313</v>
      </c>
      <c r="C158">
        <f t="shared" si="8"/>
        <v>3.002787141535683E-2</v>
      </c>
      <c r="K158">
        <f t="shared" si="6"/>
        <v>1104.599975585938</v>
      </c>
      <c r="L158" s="5">
        <f t="shared" si="7"/>
        <v>-0.66050458935097311</v>
      </c>
    </row>
    <row r="159" spans="1:12" x14ac:dyDescent="0.3">
      <c r="A159" s="2">
        <v>45233</v>
      </c>
      <c r="B159">
        <v>386.26727294921881</v>
      </c>
      <c r="C159">
        <f t="shared" si="8"/>
        <v>-1.0283470143410795E-3</v>
      </c>
      <c r="K159">
        <f t="shared" si="6"/>
        <v>1104.599975585938</v>
      </c>
      <c r="L159" s="5">
        <f t="shared" si="7"/>
        <v>-0.65031026481390031</v>
      </c>
    </row>
    <row r="160" spans="1:12" x14ac:dyDescent="0.3">
      <c r="A160" s="2">
        <v>45236</v>
      </c>
      <c r="B160">
        <v>385.87005615234381</v>
      </c>
      <c r="C160">
        <f t="shared" si="8"/>
        <v>-2.1590153264069789E-3</v>
      </c>
      <c r="K160">
        <f t="shared" si="6"/>
        <v>1104.599975585938</v>
      </c>
      <c r="L160" s="5">
        <f t="shared" si="7"/>
        <v>-0.65066986720902475</v>
      </c>
    </row>
    <row r="161" spans="1:12" x14ac:dyDescent="0.3">
      <c r="A161" s="2">
        <v>45237</v>
      </c>
      <c r="B161">
        <v>385.03695678710938</v>
      </c>
      <c r="C161">
        <f t="shared" si="8"/>
        <v>-3.7993512030816468E-3</v>
      </c>
      <c r="K161">
        <f t="shared" si="6"/>
        <v>1104.599975585938</v>
      </c>
      <c r="L161" s="5">
        <f t="shared" si="7"/>
        <v>-0.65142407631969612</v>
      </c>
    </row>
    <row r="162" spans="1:12" x14ac:dyDescent="0.3">
      <c r="A162" s="2">
        <v>45238</v>
      </c>
      <c r="B162">
        <v>383.57406616210938</v>
      </c>
      <c r="C162">
        <f t="shared" si="8"/>
        <v>-1.8311466625507054E-2</v>
      </c>
      <c r="K162">
        <f t="shared" si="6"/>
        <v>1104.599975585938</v>
      </c>
      <c r="L162" s="5">
        <f t="shared" si="7"/>
        <v>-0.65274843867469623</v>
      </c>
    </row>
    <row r="163" spans="1:12" x14ac:dyDescent="0.3">
      <c r="A163" s="2">
        <v>45239</v>
      </c>
      <c r="B163">
        <v>376.55026245117188</v>
      </c>
      <c r="C163">
        <f t="shared" si="8"/>
        <v>4.5283175453299787E-3</v>
      </c>
      <c r="K163">
        <f t="shared" si="6"/>
        <v>1104.599975585938</v>
      </c>
      <c r="L163" s="5">
        <f t="shared" si="7"/>
        <v>-0.65910712405055971</v>
      </c>
    </row>
    <row r="164" spans="1:12" x14ac:dyDescent="0.3">
      <c r="A164" s="2">
        <v>45240</v>
      </c>
      <c r="B164">
        <v>378.25540161132813</v>
      </c>
      <c r="C164">
        <f t="shared" si="8"/>
        <v>7.991013558808692E-3</v>
      </c>
      <c r="K164">
        <f t="shared" si="6"/>
        <v>1104.599975585938</v>
      </c>
      <c r="L164" s="5">
        <f t="shared" si="7"/>
        <v>-0.65756345285931994</v>
      </c>
    </row>
    <row r="165" spans="1:12" x14ac:dyDescent="0.3">
      <c r="A165" s="2">
        <v>45243</v>
      </c>
      <c r="B165">
        <v>381.27804565429688</v>
      </c>
      <c r="C165">
        <f t="shared" si="8"/>
        <v>3.45307910318777E-2</v>
      </c>
      <c r="K165">
        <f t="shared" si="6"/>
        <v>1104.599975585938</v>
      </c>
      <c r="L165" s="5">
        <f t="shared" si="7"/>
        <v>-0.65482703776808715</v>
      </c>
    </row>
    <row r="166" spans="1:12" x14ac:dyDescent="0.3">
      <c r="A166" s="2">
        <v>45245</v>
      </c>
      <c r="B166">
        <v>394.44387817382813</v>
      </c>
      <c r="C166">
        <f t="shared" si="8"/>
        <v>0</v>
      </c>
      <c r="K166">
        <f t="shared" si="6"/>
        <v>1104.599975585938</v>
      </c>
      <c r="L166" s="5">
        <f t="shared" si="7"/>
        <v>-0.64290794233940263</v>
      </c>
    </row>
    <row r="167" spans="1:12" x14ac:dyDescent="0.3">
      <c r="A167" s="2">
        <v>45246</v>
      </c>
      <c r="B167">
        <v>394.44387817382813</v>
      </c>
      <c r="C167">
        <f t="shared" si="8"/>
        <v>-2.0115376726761194E-2</v>
      </c>
      <c r="K167">
        <f t="shared" si="6"/>
        <v>1104.599975585938</v>
      </c>
      <c r="L167" s="5">
        <f t="shared" si="7"/>
        <v>-0.64290794233940263</v>
      </c>
    </row>
    <row r="168" spans="1:12" x14ac:dyDescent="0.3">
      <c r="A168" s="2">
        <v>45247</v>
      </c>
      <c r="B168">
        <v>386.50949096679688</v>
      </c>
      <c r="C168">
        <f t="shared" si="8"/>
        <v>-2.9326159207203584E-3</v>
      </c>
      <c r="K168">
        <f t="shared" si="6"/>
        <v>1104.599975585938</v>
      </c>
      <c r="L168" s="5">
        <f t="shared" si="7"/>
        <v>-0.65009098360537987</v>
      </c>
    </row>
    <row r="169" spans="1:12" x14ac:dyDescent="0.3">
      <c r="A169" s="2">
        <v>45250</v>
      </c>
      <c r="B169">
        <v>385.37600708007813</v>
      </c>
      <c r="C169">
        <f t="shared" si="8"/>
        <v>5.4802814792303126E-3</v>
      </c>
      <c r="K169">
        <f t="shared" si="6"/>
        <v>1104.599975585938</v>
      </c>
      <c r="L169" s="5">
        <f t="shared" si="7"/>
        <v>-0.65111713235766233</v>
      </c>
    </row>
    <row r="170" spans="1:12" x14ac:dyDescent="0.3">
      <c r="A170" s="2">
        <v>45251</v>
      </c>
      <c r="B170">
        <v>387.48797607421881</v>
      </c>
      <c r="C170">
        <f t="shared" si="8"/>
        <v>-1.1375809764762566E-2</v>
      </c>
      <c r="K170">
        <f t="shared" si="6"/>
        <v>1104.599975585938</v>
      </c>
      <c r="L170" s="5">
        <f t="shared" si="7"/>
        <v>-0.64920515603970141</v>
      </c>
    </row>
    <row r="171" spans="1:12" x14ac:dyDescent="0.3">
      <c r="A171" s="2">
        <v>45252</v>
      </c>
      <c r="B171">
        <v>383.07998657226563</v>
      </c>
      <c r="C171">
        <f t="shared" si="8"/>
        <v>-1.1380759537838875E-3</v>
      </c>
      <c r="K171">
        <f t="shared" si="6"/>
        <v>1104.599975585938</v>
      </c>
      <c r="L171" s="5">
        <f t="shared" si="7"/>
        <v>-0.65319573145105325</v>
      </c>
    </row>
    <row r="172" spans="1:12" x14ac:dyDescent="0.3">
      <c r="A172" s="2">
        <v>45253</v>
      </c>
      <c r="B172">
        <v>382.64401245117188</v>
      </c>
      <c r="C172">
        <f t="shared" si="8"/>
        <v>-1.3849127952441441E-2</v>
      </c>
      <c r="K172">
        <f t="shared" si="6"/>
        <v>1104.599975585938</v>
      </c>
      <c r="L172" s="5">
        <f t="shared" si="7"/>
        <v>-0.65359042104975851</v>
      </c>
    </row>
    <row r="173" spans="1:12" x14ac:dyDescent="0.3">
      <c r="A173" s="2">
        <v>45254</v>
      </c>
      <c r="B173">
        <v>377.3447265625</v>
      </c>
      <c r="C173">
        <f t="shared" si="8"/>
        <v>9.3452947844337875E-3</v>
      </c>
      <c r="K173">
        <f t="shared" si="6"/>
        <v>1104.599975585938</v>
      </c>
      <c r="L173" s="5">
        <f t="shared" si="7"/>
        <v>-0.6583878916325917</v>
      </c>
    </row>
    <row r="174" spans="1:12" x14ac:dyDescent="0.3">
      <c r="A174" s="2">
        <v>45258</v>
      </c>
      <c r="B174">
        <v>380.87112426757813</v>
      </c>
      <c r="C174">
        <f t="shared" si="8"/>
        <v>4.4004251471408936E-3</v>
      </c>
      <c r="K174">
        <f t="shared" si="6"/>
        <v>1104.599975585938</v>
      </c>
      <c r="L174" s="5">
        <f t="shared" si="7"/>
        <v>-0.65519542577796641</v>
      </c>
    </row>
    <row r="175" spans="1:12" x14ac:dyDescent="0.3">
      <c r="A175" s="2">
        <v>45259</v>
      </c>
      <c r="B175">
        <v>382.547119140625</v>
      </c>
      <c r="C175">
        <f t="shared" si="8"/>
        <v>1.6638367924702902E-2</v>
      </c>
      <c r="K175">
        <f t="shared" si="6"/>
        <v>1104.599975585938</v>
      </c>
      <c r="L175" s="5">
        <f t="shared" si="7"/>
        <v>-0.65367813905871053</v>
      </c>
    </row>
    <row r="176" spans="1:12" x14ac:dyDescent="0.3">
      <c r="A176" s="2">
        <v>45260</v>
      </c>
      <c r="B176">
        <v>388.91207885742188</v>
      </c>
      <c r="C176">
        <f t="shared" si="8"/>
        <v>-1.9678479168535211E-3</v>
      </c>
      <c r="K176">
        <f t="shared" si="6"/>
        <v>1104.599975585938</v>
      </c>
      <c r="L176" s="5">
        <f t="shared" si="7"/>
        <v>-0.64791590851600156</v>
      </c>
    </row>
    <row r="177" spans="1:12" x14ac:dyDescent="0.3">
      <c r="A177" s="2">
        <v>45261</v>
      </c>
      <c r="B177">
        <v>388.14675903320313</v>
      </c>
      <c r="C177">
        <f t="shared" si="8"/>
        <v>4.5526018074199336E-2</v>
      </c>
      <c r="K177">
        <f t="shared" si="6"/>
        <v>1104.599975585938</v>
      </c>
      <c r="L177" s="5">
        <f t="shared" si="7"/>
        <v>-0.64860875646198557</v>
      </c>
    </row>
    <row r="178" spans="1:12" x14ac:dyDescent="0.3">
      <c r="A178" s="2">
        <v>45264</v>
      </c>
      <c r="B178">
        <v>405.81753540039063</v>
      </c>
      <c r="C178">
        <f t="shared" si="8"/>
        <v>-1.1697623724895244E-2</v>
      </c>
      <c r="K178">
        <f t="shared" si="6"/>
        <v>1104.599975585938</v>
      </c>
      <c r="L178" s="5">
        <f t="shared" si="7"/>
        <v>-0.63261131235755852</v>
      </c>
    </row>
    <row r="179" spans="1:12" x14ac:dyDescent="0.3">
      <c r="A179" s="2">
        <v>45265</v>
      </c>
      <c r="B179">
        <v>401.0704345703125</v>
      </c>
      <c r="C179">
        <f t="shared" si="8"/>
        <v>-6.8841957055232944E-3</v>
      </c>
      <c r="K179">
        <f t="shared" si="6"/>
        <v>1104.599975585938</v>
      </c>
      <c r="L179" s="5">
        <f t="shared" si="7"/>
        <v>-0.63690888698638282</v>
      </c>
    </row>
    <row r="180" spans="1:12" x14ac:dyDescent="0.3">
      <c r="A180" s="2">
        <v>45266</v>
      </c>
      <c r="B180">
        <v>398.30938720703119</v>
      </c>
      <c r="C180">
        <f t="shared" si="8"/>
        <v>-1.016687197675846E-2</v>
      </c>
      <c r="K180">
        <f t="shared" si="6"/>
        <v>1104.599975585938</v>
      </c>
      <c r="L180" s="5">
        <f t="shared" si="7"/>
        <v>-0.63940847726730499</v>
      </c>
    </row>
    <row r="181" spans="1:12" x14ac:dyDescent="0.3">
      <c r="A181" s="2">
        <v>45267</v>
      </c>
      <c r="B181">
        <v>394.25982666015619</v>
      </c>
      <c r="C181">
        <f t="shared" si="8"/>
        <v>-1.5727094428978398E-3</v>
      </c>
      <c r="K181">
        <f t="shared" si="6"/>
        <v>1104.599975585938</v>
      </c>
      <c r="L181" s="5">
        <f t="shared" si="7"/>
        <v>-0.64307456511483263</v>
      </c>
    </row>
    <row r="182" spans="1:12" x14ac:dyDescent="0.3">
      <c r="A182" s="2">
        <v>45268</v>
      </c>
      <c r="B182">
        <v>393.6397705078125</v>
      </c>
      <c r="C182">
        <f t="shared" si="8"/>
        <v>7.629476505854659E-3</v>
      </c>
      <c r="K182">
        <f t="shared" si="6"/>
        <v>1104.599975585938</v>
      </c>
      <c r="L182" s="5">
        <f t="shared" si="7"/>
        <v>-0.64363590511668689</v>
      </c>
    </row>
    <row r="183" spans="1:12" x14ac:dyDescent="0.3">
      <c r="A183" s="2">
        <v>45271</v>
      </c>
      <c r="B183">
        <v>396.64303588867188</v>
      </c>
      <c r="C183">
        <f t="shared" si="8"/>
        <v>-2.5328457308378519E-2</v>
      </c>
      <c r="K183">
        <f t="shared" si="6"/>
        <v>1104.599975585938</v>
      </c>
      <c r="L183" s="5">
        <f t="shared" si="7"/>
        <v>-0.6409170336272445</v>
      </c>
    </row>
    <row r="184" spans="1:12" x14ac:dyDescent="0.3">
      <c r="A184" s="2">
        <v>45272</v>
      </c>
      <c r="B184">
        <v>386.5966796875</v>
      </c>
      <c r="C184">
        <f t="shared" si="8"/>
        <v>2.5023681717713924E-5</v>
      </c>
      <c r="K184">
        <f t="shared" si="6"/>
        <v>1104.599975585938</v>
      </c>
      <c r="L184" s="5">
        <f t="shared" si="7"/>
        <v>-0.65001205121118277</v>
      </c>
    </row>
    <row r="185" spans="1:12" x14ac:dyDescent="0.3">
      <c r="A185" s="2">
        <v>45273</v>
      </c>
      <c r="B185">
        <v>386.60635375976563</v>
      </c>
      <c r="C185">
        <f t="shared" si="8"/>
        <v>6.1644889372440066E-2</v>
      </c>
      <c r="K185">
        <f t="shared" si="6"/>
        <v>1104.599975585938</v>
      </c>
      <c r="L185" s="5">
        <f t="shared" si="7"/>
        <v>-0.65000329322414729</v>
      </c>
    </row>
    <row r="186" spans="1:12" x14ac:dyDescent="0.3">
      <c r="A186" s="2">
        <v>45274</v>
      </c>
      <c r="B186">
        <v>410.43865966796881</v>
      </c>
      <c r="C186">
        <f t="shared" si="8"/>
        <v>-1.9166267511938111E-2</v>
      </c>
      <c r="K186">
        <f t="shared" si="6"/>
        <v>1104.599975585938</v>
      </c>
      <c r="L186" s="5">
        <f t="shared" si="7"/>
        <v>-0.62842778495423146</v>
      </c>
    </row>
    <row r="187" spans="1:12" x14ac:dyDescent="0.3">
      <c r="A187" s="2">
        <v>45275</v>
      </c>
      <c r="B187">
        <v>402.57208251953119</v>
      </c>
      <c r="C187">
        <f t="shared" si="8"/>
        <v>-1.4294678945095026E-2</v>
      </c>
      <c r="K187">
        <f t="shared" si="6"/>
        <v>1104.599975585938</v>
      </c>
      <c r="L187" s="5">
        <f t="shared" si="7"/>
        <v>-0.63554943742780212</v>
      </c>
    </row>
    <row r="188" spans="1:12" x14ac:dyDescent="0.3">
      <c r="A188" s="2">
        <v>45278</v>
      </c>
      <c r="B188">
        <v>396.81744384765619</v>
      </c>
      <c r="C188">
        <f t="shared" si="8"/>
        <v>5.6396589256841765E-3</v>
      </c>
      <c r="K188">
        <f t="shared" si="6"/>
        <v>1104.599975585938</v>
      </c>
      <c r="L188" s="5">
        <f t="shared" si="7"/>
        <v>-0.64075914121113087</v>
      </c>
    </row>
    <row r="189" spans="1:12" x14ac:dyDescent="0.3">
      <c r="A189" s="2">
        <v>45279</v>
      </c>
      <c r="B189">
        <v>399.05535888671881</v>
      </c>
      <c r="C189">
        <f t="shared" si="8"/>
        <v>-2.9521010846691009E-2</v>
      </c>
      <c r="K189">
        <f t="shared" si="6"/>
        <v>1104.599975585938</v>
      </c>
      <c r="L189" s="5">
        <f t="shared" si="7"/>
        <v>-0.63873314529539182</v>
      </c>
    </row>
    <row r="190" spans="1:12" x14ac:dyDescent="0.3">
      <c r="A190" s="2">
        <v>45280</v>
      </c>
      <c r="B190">
        <v>387.27484130859381</v>
      </c>
      <c r="C190">
        <f t="shared" si="8"/>
        <v>9.0555547412801852E-3</v>
      </c>
      <c r="K190">
        <f t="shared" si="6"/>
        <v>1104.599975585938</v>
      </c>
      <c r="L190" s="5">
        <f t="shared" si="7"/>
        <v>-0.64939810803167641</v>
      </c>
    </row>
    <row r="191" spans="1:12" x14ac:dyDescent="0.3">
      <c r="A191" s="2">
        <v>45281</v>
      </c>
      <c r="B191">
        <v>390.78182983398438</v>
      </c>
      <c r="C191">
        <f t="shared" si="8"/>
        <v>1.9138800445664968E-2</v>
      </c>
      <c r="K191">
        <f t="shared" si="6"/>
        <v>1104.599975585938</v>
      </c>
      <c r="L191" s="5">
        <f t="shared" si="7"/>
        <v>-0.64622321340656086</v>
      </c>
    </row>
    <row r="192" spans="1:12" x14ac:dyDescent="0.3">
      <c r="A192" s="2">
        <v>45282</v>
      </c>
      <c r="B192">
        <v>398.26092529296881</v>
      </c>
      <c r="C192">
        <f t="shared" si="8"/>
        <v>-9.5842872768218089E-3</v>
      </c>
      <c r="K192">
        <f t="shared" si="6"/>
        <v>1104.599975585938</v>
      </c>
      <c r="L192" s="5">
        <f t="shared" si="7"/>
        <v>-0.6394523500856405</v>
      </c>
    </row>
    <row r="193" spans="1:12" x14ac:dyDescent="0.3">
      <c r="A193" s="2">
        <v>45286</v>
      </c>
      <c r="B193">
        <v>394.44387817382813</v>
      </c>
      <c r="C193">
        <f t="shared" si="8"/>
        <v>6.9507967304331085E-3</v>
      </c>
      <c r="K193">
        <f t="shared" si="6"/>
        <v>1104.599975585938</v>
      </c>
      <c r="L193" s="5">
        <f t="shared" si="7"/>
        <v>-0.64290794233940263</v>
      </c>
    </row>
    <row r="194" spans="1:12" x14ac:dyDescent="0.3">
      <c r="A194" s="2">
        <v>45287</v>
      </c>
      <c r="B194">
        <v>397.18557739257813</v>
      </c>
      <c r="C194">
        <f t="shared" si="8"/>
        <v>-2.0733037023423092E-3</v>
      </c>
      <c r="K194">
        <f t="shared" ref="K194:K257" si="9">MAX(B194:B933)</f>
        <v>1104.599975585938</v>
      </c>
      <c r="L194" s="5">
        <f t="shared" ref="L194:L257" si="10">B194/K194-1</f>
        <v>-0.64042586803255186</v>
      </c>
    </row>
    <row r="195" spans="1:12" x14ac:dyDescent="0.3">
      <c r="A195" s="2">
        <v>45288</v>
      </c>
      <c r="B195">
        <v>396.36209106445313</v>
      </c>
      <c r="C195">
        <f t="shared" ref="C195:C258" si="11">(B196-B195)/B195</f>
        <v>3.7396078054553923E-3</v>
      </c>
      <c r="K195">
        <f t="shared" si="9"/>
        <v>1104.599975585938</v>
      </c>
      <c r="L195" s="5">
        <f t="shared" si="10"/>
        <v>-0.64117137441162642</v>
      </c>
    </row>
    <row r="196" spans="1:12" x14ac:dyDescent="0.3">
      <c r="A196" s="2">
        <v>45289</v>
      </c>
      <c r="B196">
        <v>397.84432983398438</v>
      </c>
      <c r="C196">
        <f t="shared" si="11"/>
        <v>-2.1671356169567085E-3</v>
      </c>
      <c r="K196">
        <f t="shared" si="9"/>
        <v>1104.599975585938</v>
      </c>
      <c r="L196" s="5">
        <f t="shared" si="10"/>
        <v>-0.63982949608255524</v>
      </c>
    </row>
    <row r="197" spans="1:12" x14ac:dyDescent="0.3">
      <c r="A197" s="2">
        <v>45292</v>
      </c>
      <c r="B197">
        <v>396.98214721679688</v>
      </c>
      <c r="C197">
        <f t="shared" si="11"/>
        <v>-9.1758261314631856E-3</v>
      </c>
      <c r="K197">
        <f t="shared" si="9"/>
        <v>1104.599975585938</v>
      </c>
      <c r="L197" s="5">
        <f t="shared" si="10"/>
        <v>-0.64061003440977204</v>
      </c>
    </row>
    <row r="198" spans="1:12" x14ac:dyDescent="0.3">
      <c r="A198" s="2">
        <v>45293</v>
      </c>
      <c r="B198">
        <v>393.33950805664063</v>
      </c>
      <c r="C198">
        <f t="shared" si="11"/>
        <v>2.9555862157573904E-2</v>
      </c>
      <c r="K198">
        <f t="shared" si="9"/>
        <v>1104.599975585938</v>
      </c>
      <c r="L198" s="5">
        <f t="shared" si="10"/>
        <v>-0.64390773424742054</v>
      </c>
    </row>
    <row r="199" spans="1:12" x14ac:dyDescent="0.3">
      <c r="A199" s="2">
        <v>45294</v>
      </c>
      <c r="B199">
        <v>404.96499633789063</v>
      </c>
      <c r="C199">
        <f t="shared" si="11"/>
        <v>2.7798415556176678E-2</v>
      </c>
      <c r="K199">
        <f t="shared" si="9"/>
        <v>1104.599975585938</v>
      </c>
      <c r="L199" s="5">
        <f t="shared" si="10"/>
        <v>-0.63338312032545918</v>
      </c>
    </row>
    <row r="200" spans="1:12" x14ac:dyDescent="0.3">
      <c r="A200" s="2">
        <v>45295</v>
      </c>
      <c r="B200">
        <v>416.22238159179688</v>
      </c>
      <c r="C200">
        <f t="shared" si="11"/>
        <v>1.1288770435761276E-2</v>
      </c>
      <c r="K200">
        <f t="shared" si="9"/>
        <v>1104.599975585938</v>
      </c>
      <c r="L200" s="5">
        <f t="shared" si="10"/>
        <v>-0.62319175195435739</v>
      </c>
    </row>
    <row r="201" spans="1:12" x14ac:dyDescent="0.3">
      <c r="A201" s="2">
        <v>45296</v>
      </c>
      <c r="B201">
        <v>420.9210205078125</v>
      </c>
      <c r="C201">
        <f t="shared" si="11"/>
        <v>1.102456799736673E-2</v>
      </c>
      <c r="K201">
        <f t="shared" si="9"/>
        <v>1104.599975585938</v>
      </c>
      <c r="L201" s="5">
        <f t="shared" si="10"/>
        <v>-0.61893805014386882</v>
      </c>
    </row>
    <row r="202" spans="1:12" x14ac:dyDescent="0.3">
      <c r="A202" s="2">
        <v>45299</v>
      </c>
      <c r="B202">
        <v>425.56149291992188</v>
      </c>
      <c r="C202">
        <f t="shared" si="11"/>
        <v>-1.2975948954158465E-2</v>
      </c>
      <c r="K202">
        <f t="shared" si="9"/>
        <v>1104.599975585938</v>
      </c>
      <c r="L202" s="5">
        <f t="shared" si="10"/>
        <v>-0.61473700676647069</v>
      </c>
    </row>
    <row r="203" spans="1:12" x14ac:dyDescent="0.3">
      <c r="A203" s="2">
        <v>45300</v>
      </c>
      <c r="B203">
        <v>420.0394287109375</v>
      </c>
      <c r="C203">
        <f t="shared" si="11"/>
        <v>-8.2340321590205993E-3</v>
      </c>
      <c r="K203">
        <f t="shared" si="9"/>
        <v>1104.599975585938</v>
      </c>
      <c r="L203" s="5">
        <f t="shared" si="10"/>
        <v>-0.61973615970059526</v>
      </c>
    </row>
    <row r="204" spans="1:12" x14ac:dyDescent="0.3">
      <c r="A204" s="2">
        <v>45301</v>
      </c>
      <c r="B204">
        <v>416.580810546875</v>
      </c>
      <c r="C204">
        <f t="shared" si="11"/>
        <v>6.0348909785121606E-2</v>
      </c>
      <c r="K204">
        <f t="shared" si="9"/>
        <v>1104.599975585938</v>
      </c>
      <c r="L204" s="5">
        <f t="shared" si="10"/>
        <v>-0.62286726439053319</v>
      </c>
    </row>
    <row r="205" spans="1:12" x14ac:dyDescent="0.3">
      <c r="A205" s="2">
        <v>45302</v>
      </c>
      <c r="B205">
        <v>441.72100830078119</v>
      </c>
      <c r="C205">
        <f t="shared" si="11"/>
        <v>5.7242781937715233E-3</v>
      </c>
      <c r="K205">
        <f t="shared" si="9"/>
        <v>1104.599975585938</v>
      </c>
      <c r="L205" s="5">
        <f t="shared" si="10"/>
        <v>-0.60010771495222137</v>
      </c>
    </row>
    <row r="206" spans="1:12" x14ac:dyDescent="0.3">
      <c r="A206" s="2">
        <v>45303</v>
      </c>
      <c r="B206">
        <v>444.24954223632813</v>
      </c>
      <c r="C206">
        <f t="shared" si="11"/>
        <v>0</v>
      </c>
      <c r="K206">
        <f t="shared" si="9"/>
        <v>1104.599975585938</v>
      </c>
      <c r="L206" s="5">
        <f t="shared" si="10"/>
        <v>-0.59781862026506494</v>
      </c>
    </row>
    <row r="207" spans="1:12" x14ac:dyDescent="0.3">
      <c r="A207" s="2">
        <v>45306</v>
      </c>
      <c r="B207">
        <v>444.24954223632813</v>
      </c>
      <c r="C207">
        <f t="shared" si="11"/>
        <v>7.3709386763319163E-3</v>
      </c>
      <c r="K207">
        <f t="shared" si="9"/>
        <v>1104.599975585938</v>
      </c>
      <c r="L207" s="5">
        <f t="shared" si="10"/>
        <v>-0.59781862026506494</v>
      </c>
    </row>
    <row r="208" spans="1:12" x14ac:dyDescent="0.3">
      <c r="A208" s="2">
        <v>45307</v>
      </c>
      <c r="B208">
        <v>447.52407836914063</v>
      </c>
      <c r="C208">
        <f t="shared" si="11"/>
        <v>-9.3952259710187933E-3</v>
      </c>
      <c r="K208">
        <f t="shared" si="9"/>
        <v>1104.599975585938</v>
      </c>
      <c r="L208" s="5">
        <f t="shared" si="10"/>
        <v>-0.59485416597827623</v>
      </c>
    </row>
    <row r="209" spans="1:12" x14ac:dyDescent="0.3">
      <c r="A209" s="2">
        <v>45308</v>
      </c>
      <c r="B209">
        <v>443.31948852539063</v>
      </c>
      <c r="C209">
        <f t="shared" si="11"/>
        <v>-1.4248322037231736E-2</v>
      </c>
      <c r="K209">
        <f t="shared" si="9"/>
        <v>1104.599975585938</v>
      </c>
      <c r="L209" s="5">
        <f t="shared" si="10"/>
        <v>-0.5986606026401271</v>
      </c>
    </row>
    <row r="210" spans="1:12" x14ac:dyDescent="0.3">
      <c r="A210" s="2">
        <v>45309</v>
      </c>
      <c r="B210">
        <v>437.0029296875</v>
      </c>
      <c r="C210">
        <f t="shared" si="11"/>
        <v>2.0594967273084692E-2</v>
      </c>
      <c r="K210">
        <f t="shared" si="9"/>
        <v>1104.599975585938</v>
      </c>
      <c r="L210" s="5">
        <f t="shared" si="10"/>
        <v>-0.60437901561993912</v>
      </c>
    </row>
    <row r="211" spans="1:12" x14ac:dyDescent="0.3">
      <c r="A211" s="2">
        <v>45310</v>
      </c>
      <c r="B211">
        <v>446.00299072265619</v>
      </c>
      <c r="C211">
        <f t="shared" si="11"/>
        <v>-9.7094513400477235E-3</v>
      </c>
      <c r="K211">
        <f t="shared" si="9"/>
        <v>1104.599975585938</v>
      </c>
      <c r="L211" s="5">
        <f t="shared" si="10"/>
        <v>-0.59623121439408622</v>
      </c>
    </row>
    <row r="212" spans="1:12" x14ac:dyDescent="0.3">
      <c r="A212" s="2">
        <v>45314</v>
      </c>
      <c r="B212">
        <v>441.67254638671881</v>
      </c>
      <c r="C212">
        <f t="shared" si="11"/>
        <v>1.0067902895418467E-2</v>
      </c>
      <c r="K212">
        <f t="shared" si="9"/>
        <v>1104.599975585938</v>
      </c>
      <c r="L212" s="5">
        <f t="shared" si="10"/>
        <v>-0.60015158777055699</v>
      </c>
    </row>
    <row r="213" spans="1:12" x14ac:dyDescent="0.3">
      <c r="A213" s="2">
        <v>45315</v>
      </c>
      <c r="B213">
        <v>446.1192626953125</v>
      </c>
      <c r="C213">
        <f t="shared" si="11"/>
        <v>2.0413948523632665E-3</v>
      </c>
      <c r="K213">
        <f t="shared" si="9"/>
        <v>1104.599975585938</v>
      </c>
      <c r="L213" s="5">
        <f t="shared" si="10"/>
        <v>-0.59612595278334368</v>
      </c>
    </row>
    <row r="214" spans="1:12" x14ac:dyDescent="0.3">
      <c r="A214" s="2">
        <v>45316</v>
      </c>
      <c r="B214">
        <v>447.02996826171881</v>
      </c>
      <c r="C214">
        <f t="shared" si="11"/>
        <v>4.4145257210437716E-2</v>
      </c>
      <c r="K214">
        <f t="shared" si="9"/>
        <v>1104.599975585938</v>
      </c>
      <c r="L214" s="5">
        <f t="shared" si="10"/>
        <v>-0.59530148638235247</v>
      </c>
    </row>
    <row r="215" spans="1:12" x14ac:dyDescent="0.3">
      <c r="A215" s="2">
        <v>45320</v>
      </c>
      <c r="B215">
        <v>466.76422119140619</v>
      </c>
      <c r="C215">
        <f t="shared" si="11"/>
        <v>1.824415018571526E-2</v>
      </c>
      <c r="K215">
        <f t="shared" si="9"/>
        <v>1104.599975585938</v>
      </c>
      <c r="L215" s="5">
        <f t="shared" si="10"/>
        <v>-0.57743596640601957</v>
      </c>
    </row>
    <row r="216" spans="1:12" x14ac:dyDescent="0.3">
      <c r="A216" s="2">
        <v>45321</v>
      </c>
      <c r="B216">
        <v>475.27993774414063</v>
      </c>
      <c r="C216">
        <f t="shared" si="11"/>
        <v>5.6462150024274476E-3</v>
      </c>
      <c r="K216">
        <f t="shared" si="9"/>
        <v>1104.599975585938</v>
      </c>
      <c r="L216" s="5">
        <f t="shared" si="10"/>
        <v>-0.56972664471404943</v>
      </c>
    </row>
    <row r="217" spans="1:12" x14ac:dyDescent="0.3">
      <c r="A217" s="2">
        <v>45322</v>
      </c>
      <c r="B217">
        <v>477.96347045898438</v>
      </c>
      <c r="C217">
        <f t="shared" si="11"/>
        <v>-2.8214635676230233E-2</v>
      </c>
      <c r="K217">
        <f t="shared" si="9"/>
        <v>1104.599975585938</v>
      </c>
      <c r="L217" s="5">
        <f t="shared" si="10"/>
        <v>-0.5672972288402891</v>
      </c>
    </row>
    <row r="218" spans="1:12" x14ac:dyDescent="0.3">
      <c r="A218" s="2">
        <v>45323</v>
      </c>
      <c r="B218">
        <v>464.4779052734375</v>
      </c>
      <c r="C218">
        <f t="shared" si="11"/>
        <v>3.4624151413285261E-3</v>
      </c>
      <c r="K218">
        <f t="shared" si="9"/>
        <v>1104.599975585938</v>
      </c>
      <c r="L218" s="5">
        <f t="shared" si="10"/>
        <v>-0.57950577988465557</v>
      </c>
    </row>
    <row r="219" spans="1:12" x14ac:dyDescent="0.3">
      <c r="A219" s="2">
        <v>45324</v>
      </c>
      <c r="B219">
        <v>466.08612060546881</v>
      </c>
      <c r="C219">
        <f t="shared" si="11"/>
        <v>-2.0120463231476392E-2</v>
      </c>
      <c r="K219">
        <f t="shared" si="9"/>
        <v>1104.599975585938</v>
      </c>
      <c r="L219" s="5">
        <f t="shared" si="10"/>
        <v>-0.57804985433008704</v>
      </c>
    </row>
    <row r="220" spans="1:12" x14ac:dyDescent="0.3">
      <c r="A220" s="2">
        <v>45327</v>
      </c>
      <c r="B220">
        <v>456.708251953125</v>
      </c>
      <c r="C220">
        <f t="shared" si="11"/>
        <v>2.102581044188815E-2</v>
      </c>
      <c r="K220">
        <f t="shared" si="9"/>
        <v>1104.599975585938</v>
      </c>
      <c r="L220" s="5">
        <f t="shared" si="10"/>
        <v>-0.58653968672155465</v>
      </c>
    </row>
    <row r="221" spans="1:12" x14ac:dyDescent="0.3">
      <c r="A221" s="2">
        <v>45328</v>
      </c>
      <c r="B221">
        <v>466.3109130859375</v>
      </c>
      <c r="C221">
        <f t="shared" si="11"/>
        <v>7.1772548775280963E-3</v>
      </c>
      <c r="K221">
        <f t="shared" si="9"/>
        <v>1104.599975585938</v>
      </c>
      <c r="L221" s="5">
        <f t="shared" si="10"/>
        <v>-0.57784634854931838</v>
      </c>
    </row>
    <row r="222" spans="1:12" x14ac:dyDescent="0.3">
      <c r="A222" s="2">
        <v>45329</v>
      </c>
      <c r="B222">
        <v>469.65774536132813</v>
      </c>
      <c r="C222">
        <f t="shared" si="11"/>
        <v>-2.7220269081781406E-2</v>
      </c>
      <c r="K222">
        <f t="shared" si="9"/>
        <v>1104.599975585938</v>
      </c>
      <c r="L222" s="5">
        <f t="shared" si="10"/>
        <v>-0.57481644419537758</v>
      </c>
    </row>
    <row r="223" spans="1:12" x14ac:dyDescent="0.3">
      <c r="A223" s="2">
        <v>45330</v>
      </c>
      <c r="B223">
        <v>456.87353515625</v>
      </c>
      <c r="C223">
        <f t="shared" si="11"/>
        <v>-5.8986033641951225E-3</v>
      </c>
      <c r="K223">
        <f t="shared" si="9"/>
        <v>1104.599975585938</v>
      </c>
      <c r="L223" s="5">
        <f t="shared" si="10"/>
        <v>-0.58639005499352814</v>
      </c>
    </row>
    <row r="224" spans="1:12" x14ac:dyDescent="0.3">
      <c r="A224" s="2">
        <v>45331</v>
      </c>
      <c r="B224">
        <v>454.17861938476563</v>
      </c>
      <c r="C224">
        <f t="shared" si="11"/>
        <v>-3.0782679686410741E-2</v>
      </c>
      <c r="K224">
        <f t="shared" si="9"/>
        <v>1104.599975585938</v>
      </c>
      <c r="L224" s="5">
        <f t="shared" si="10"/>
        <v>-0.58882977600660791</v>
      </c>
    </row>
    <row r="225" spans="1:12" x14ac:dyDescent="0.3">
      <c r="A225" s="2">
        <v>45334</v>
      </c>
      <c r="B225">
        <v>440.19778442382813</v>
      </c>
      <c r="C225">
        <f t="shared" si="11"/>
        <v>3.0235224325779759E-2</v>
      </c>
      <c r="K225">
        <f t="shared" si="9"/>
        <v>1104.599975585938</v>
      </c>
      <c r="L225" s="5">
        <f t="shared" si="10"/>
        <v>-0.60148669730838611</v>
      </c>
    </row>
    <row r="226" spans="1:12" x14ac:dyDescent="0.3">
      <c r="A226" s="2">
        <v>45335</v>
      </c>
      <c r="B226">
        <v>453.50726318359381</v>
      </c>
      <c r="C226">
        <f t="shared" si="11"/>
        <v>2.6880946206076291E-2</v>
      </c>
      <c r="K226">
        <f t="shared" si="9"/>
        <v>1104.599975585938</v>
      </c>
      <c r="L226" s="5">
        <f t="shared" si="10"/>
        <v>-0.58943755820469779</v>
      </c>
    </row>
    <row r="227" spans="1:12" x14ac:dyDescent="0.3">
      <c r="A227" s="2">
        <v>45336</v>
      </c>
      <c r="B227">
        <v>465.69796752929688</v>
      </c>
      <c r="C227">
        <f t="shared" si="11"/>
        <v>1.8509971598279447E-2</v>
      </c>
      <c r="K227">
        <f t="shared" si="9"/>
        <v>1104.599975585938</v>
      </c>
      <c r="L227" s="5">
        <f t="shared" si="10"/>
        <v>-0.57840125129256303</v>
      </c>
    </row>
    <row r="228" spans="1:12" x14ac:dyDescent="0.3">
      <c r="A228" s="2">
        <v>45337</v>
      </c>
      <c r="B228">
        <v>474.31802368164063</v>
      </c>
      <c r="C228">
        <f t="shared" si="11"/>
        <v>4.8408703568220534E-3</v>
      </c>
      <c r="K228">
        <f t="shared" si="9"/>
        <v>1104.599975585938</v>
      </c>
      <c r="L228" s="5">
        <f t="shared" si="10"/>
        <v>-0.57059747042811826</v>
      </c>
    </row>
    <row r="229" spans="1:12" x14ac:dyDescent="0.3">
      <c r="A229" s="2">
        <v>45338</v>
      </c>
      <c r="B229">
        <v>476.6141357421875</v>
      </c>
      <c r="C229">
        <f t="shared" si="11"/>
        <v>-3.8784860144507908E-3</v>
      </c>
      <c r="K229">
        <f t="shared" si="9"/>
        <v>1104.599975585938</v>
      </c>
      <c r="L229" s="5">
        <f t="shared" si="10"/>
        <v>-0.56851878845156922</v>
      </c>
    </row>
    <row r="230" spans="1:12" x14ac:dyDescent="0.3">
      <c r="A230" s="2">
        <v>45341</v>
      </c>
      <c r="B230">
        <v>474.76559448242188</v>
      </c>
      <c r="C230">
        <f t="shared" si="11"/>
        <v>-9.5290779738846157E-3</v>
      </c>
      <c r="K230">
        <f t="shared" si="9"/>
        <v>1104.599975585938</v>
      </c>
      <c r="L230" s="5">
        <f t="shared" si="10"/>
        <v>-0.57019228229605812</v>
      </c>
    </row>
    <row r="231" spans="1:12" x14ac:dyDescent="0.3">
      <c r="A231" s="2">
        <v>45342</v>
      </c>
      <c r="B231">
        <v>470.24151611328119</v>
      </c>
      <c r="C231">
        <f t="shared" si="11"/>
        <v>-2.511747451500999E-2</v>
      </c>
      <c r="K231">
        <f t="shared" si="9"/>
        <v>1104.599975585938</v>
      </c>
      <c r="L231" s="5">
        <f t="shared" si="10"/>
        <v>-0.57428795355183637</v>
      </c>
    </row>
    <row r="232" spans="1:12" x14ac:dyDescent="0.3">
      <c r="A232" s="2">
        <v>45343</v>
      </c>
      <c r="B232">
        <v>458.43023681640619</v>
      </c>
      <c r="C232">
        <f t="shared" si="11"/>
        <v>1.666000747444954E-2</v>
      </c>
      <c r="K232">
        <f t="shared" si="9"/>
        <v>1104.599975585938</v>
      </c>
      <c r="L232" s="5">
        <f t="shared" si="10"/>
        <v>-0.58498076502923091</v>
      </c>
    </row>
    <row r="233" spans="1:12" x14ac:dyDescent="0.3">
      <c r="A233" s="2">
        <v>45344</v>
      </c>
      <c r="B233">
        <v>466.06768798828119</v>
      </c>
      <c r="C233">
        <f t="shared" si="11"/>
        <v>2.0979490320457567E-2</v>
      </c>
      <c r="K233">
        <f t="shared" si="9"/>
        <v>1104.599975585938</v>
      </c>
      <c r="L233" s="5">
        <f t="shared" si="10"/>
        <v>-0.57806654147257763</v>
      </c>
    </row>
    <row r="234" spans="1:12" x14ac:dyDescent="0.3">
      <c r="A234" s="2">
        <v>45345</v>
      </c>
      <c r="B234">
        <v>475.84555053710938</v>
      </c>
      <c r="C234">
        <f t="shared" si="11"/>
        <v>1.6234207879464155E-2</v>
      </c>
      <c r="K234">
        <f t="shared" si="9"/>
        <v>1104.599975585938</v>
      </c>
      <c r="L234" s="5">
        <f t="shared" si="10"/>
        <v>-0.56921459256352436</v>
      </c>
    </row>
    <row r="235" spans="1:12" x14ac:dyDescent="0.3">
      <c r="A235" s="2">
        <v>45348</v>
      </c>
      <c r="B235">
        <v>483.57052612304688</v>
      </c>
      <c r="C235">
        <f t="shared" si="11"/>
        <v>-4.5369517758166888E-2</v>
      </c>
      <c r="K235">
        <f t="shared" si="9"/>
        <v>1104.599975585938</v>
      </c>
      <c r="L235" s="5">
        <f t="shared" si="10"/>
        <v>-0.56222113270776086</v>
      </c>
    </row>
    <row r="236" spans="1:12" x14ac:dyDescent="0.3">
      <c r="A236" s="2">
        <v>45349</v>
      </c>
      <c r="B236">
        <v>461.63116455078119</v>
      </c>
      <c r="C236">
        <f t="shared" si="11"/>
        <v>-9.9477547361523713E-3</v>
      </c>
      <c r="K236">
        <f t="shared" si="9"/>
        <v>1104.599975585938</v>
      </c>
      <c r="L236" s="5">
        <f t="shared" si="10"/>
        <v>-0.58208294880152633</v>
      </c>
    </row>
    <row r="237" spans="1:12" x14ac:dyDescent="0.3">
      <c r="A237" s="2">
        <v>45350</v>
      </c>
      <c r="B237">
        <v>457.03897094726563</v>
      </c>
      <c r="C237">
        <f t="shared" si="11"/>
        <v>3.8232326871080628E-2</v>
      </c>
      <c r="K237">
        <f t="shared" si="9"/>
        <v>1104.599975585938</v>
      </c>
      <c r="L237" s="5">
        <f t="shared" si="10"/>
        <v>-0.58624028512690485</v>
      </c>
    </row>
    <row r="238" spans="1:12" x14ac:dyDescent="0.3">
      <c r="A238" s="2">
        <v>45351</v>
      </c>
      <c r="B238">
        <v>474.51263427734381</v>
      </c>
      <c r="C238">
        <f t="shared" si="11"/>
        <v>4.8592723696893117E-3</v>
      </c>
      <c r="K238">
        <f t="shared" si="9"/>
        <v>1104.599975585938</v>
      </c>
      <c r="L238" s="5">
        <f t="shared" si="10"/>
        <v>-0.57042128846179141</v>
      </c>
    </row>
    <row r="239" spans="1:12" x14ac:dyDescent="0.3">
      <c r="A239" s="2">
        <v>45352</v>
      </c>
      <c r="B239">
        <v>476.81842041015619</v>
      </c>
      <c r="C239">
        <f t="shared" si="11"/>
        <v>-1.6119033413535828E-3</v>
      </c>
      <c r="K239">
        <f t="shared" si="9"/>
        <v>1104.599975585938</v>
      </c>
      <c r="L239" s="5">
        <f t="shared" si="10"/>
        <v>-0.56833384849820712</v>
      </c>
    </row>
    <row r="240" spans="1:12" x14ac:dyDescent="0.3">
      <c r="A240" s="2">
        <v>45355</v>
      </c>
      <c r="B240">
        <v>476.04983520507813</v>
      </c>
      <c r="C240">
        <f t="shared" si="11"/>
        <v>-6.1312755698191296E-3</v>
      </c>
      <c r="K240">
        <f t="shared" si="9"/>
        <v>1104.599975585938</v>
      </c>
      <c r="L240" s="5">
        <f t="shared" si="10"/>
        <v>-0.56902965261016214</v>
      </c>
    </row>
    <row r="241" spans="1:12" x14ac:dyDescent="0.3">
      <c r="A241" s="2">
        <v>45356</v>
      </c>
      <c r="B241">
        <v>473.13104248046881</v>
      </c>
      <c r="C241">
        <f t="shared" si="11"/>
        <v>-2.3401079932748339E-2</v>
      </c>
      <c r="K241">
        <f t="shared" si="9"/>
        <v>1104.599975585938</v>
      </c>
      <c r="L241" s="5">
        <f t="shared" si="10"/>
        <v>-0.57167205057242987</v>
      </c>
    </row>
    <row r="242" spans="1:12" x14ac:dyDescent="0.3">
      <c r="A242" s="2">
        <v>45357</v>
      </c>
      <c r="B242">
        <v>462.05926513671881</v>
      </c>
      <c r="C242">
        <f t="shared" si="11"/>
        <v>3.1563214998879055E-2</v>
      </c>
      <c r="K242">
        <f t="shared" si="9"/>
        <v>1104.599975585938</v>
      </c>
      <c r="L242" s="5">
        <f t="shared" si="10"/>
        <v>-0.5816953871544146</v>
      </c>
    </row>
    <row r="243" spans="1:12" x14ac:dyDescent="0.3">
      <c r="A243" s="2">
        <v>45358</v>
      </c>
      <c r="B243">
        <v>476.64334106445313</v>
      </c>
      <c r="C243">
        <f t="shared" si="11"/>
        <v>1.281865031988362E-2</v>
      </c>
      <c r="K243">
        <f t="shared" si="9"/>
        <v>1104.599975585938</v>
      </c>
      <c r="L243" s="5">
        <f t="shared" si="10"/>
        <v>-0.56849234872414656</v>
      </c>
    </row>
    <row r="244" spans="1:12" x14ac:dyDescent="0.3">
      <c r="A244" s="2">
        <v>45362</v>
      </c>
      <c r="B244">
        <v>482.75326538085938</v>
      </c>
      <c r="C244">
        <f t="shared" si="11"/>
        <v>-2.3861834788463567E-2</v>
      </c>
      <c r="K244">
        <f t="shared" si="9"/>
        <v>1104.599975585938</v>
      </c>
      <c r="L244" s="5">
        <f t="shared" si="10"/>
        <v>-0.56296100303208707</v>
      </c>
    </row>
    <row r="245" spans="1:12" x14ac:dyDescent="0.3">
      <c r="A245" s="2">
        <v>45363</v>
      </c>
      <c r="B245">
        <v>471.23388671875</v>
      </c>
      <c r="C245">
        <f t="shared" si="11"/>
        <v>-4.1437002570752689E-2</v>
      </c>
      <c r="K245">
        <f t="shared" si="9"/>
        <v>1104.599975585938</v>
      </c>
      <c r="L245" s="5">
        <f t="shared" si="10"/>
        <v>-0.57338955537385128</v>
      </c>
    </row>
    <row r="246" spans="1:12" x14ac:dyDescent="0.3">
      <c r="A246" s="2">
        <v>45364</v>
      </c>
      <c r="B246">
        <v>451.70736694335938</v>
      </c>
      <c r="C246">
        <f t="shared" si="11"/>
        <v>-1.2880140163727481E-2</v>
      </c>
      <c r="K246">
        <f t="shared" si="9"/>
        <v>1104.599975585938</v>
      </c>
      <c r="L246" s="5">
        <f t="shared" si="10"/>
        <v>-0.59106701346453494</v>
      </c>
    </row>
    <row r="247" spans="1:12" x14ac:dyDescent="0.3">
      <c r="A247" s="2">
        <v>45365</v>
      </c>
      <c r="B247">
        <v>445.88931274414063</v>
      </c>
      <c r="C247">
        <f t="shared" si="11"/>
        <v>-1.0779006715602403E-2</v>
      </c>
      <c r="K247">
        <f t="shared" si="9"/>
        <v>1104.599975585938</v>
      </c>
      <c r="L247" s="5">
        <f t="shared" si="10"/>
        <v>-0.59633412764868343</v>
      </c>
    </row>
    <row r="248" spans="1:12" x14ac:dyDescent="0.3">
      <c r="A248" s="2">
        <v>45366</v>
      </c>
      <c r="B248">
        <v>441.08306884765619</v>
      </c>
      <c r="C248">
        <f t="shared" si="11"/>
        <v>1.8594643063471094E-2</v>
      </c>
      <c r="K248">
        <f t="shared" si="9"/>
        <v>1104.599975585938</v>
      </c>
      <c r="L248" s="5">
        <f t="shared" si="10"/>
        <v>-0.60068524479761776</v>
      </c>
    </row>
    <row r="249" spans="1:12" x14ac:dyDescent="0.3">
      <c r="A249" s="2">
        <v>45369</v>
      </c>
      <c r="B249">
        <v>449.28485107421881</v>
      </c>
      <c r="C249">
        <f t="shared" si="11"/>
        <v>-9.5065495118042981E-3</v>
      </c>
      <c r="K249">
        <f t="shared" si="9"/>
        <v>1104.599975585938</v>
      </c>
      <c r="L249" s="5">
        <f t="shared" si="10"/>
        <v>-0.59326012945465212</v>
      </c>
    </row>
    <row r="250" spans="1:12" x14ac:dyDescent="0.3">
      <c r="A250" s="2">
        <v>45370</v>
      </c>
      <c r="B250">
        <v>445.01370239257813</v>
      </c>
      <c r="C250">
        <f t="shared" si="11"/>
        <v>1.1893259793492194E-2</v>
      </c>
      <c r="K250">
        <f t="shared" si="9"/>
        <v>1104.599975585938</v>
      </c>
      <c r="L250" s="5">
        <f t="shared" si="10"/>
        <v>-0.59712682217241642</v>
      </c>
    </row>
    <row r="251" spans="1:12" x14ac:dyDescent="0.3">
      <c r="A251" s="2">
        <v>45371</v>
      </c>
      <c r="B251">
        <v>450.30636596679688</v>
      </c>
      <c r="C251">
        <f t="shared" si="11"/>
        <v>-1.4691332581394814E-3</v>
      </c>
      <c r="K251">
        <f t="shared" si="9"/>
        <v>1104.599975585938</v>
      </c>
      <c r="L251" s="5">
        <f t="shared" si="10"/>
        <v>-0.59233534680468314</v>
      </c>
    </row>
    <row r="252" spans="1:12" x14ac:dyDescent="0.3">
      <c r="A252" s="2">
        <v>45372</v>
      </c>
      <c r="B252">
        <v>449.64480590820313</v>
      </c>
      <c r="C252">
        <f t="shared" si="11"/>
        <v>8.6117371968068776E-3</v>
      </c>
      <c r="K252">
        <f t="shared" si="9"/>
        <v>1104.599975585938</v>
      </c>
      <c r="L252" s="5">
        <f t="shared" si="10"/>
        <v>-0.5929342605048602</v>
      </c>
    </row>
    <row r="253" spans="1:12" x14ac:dyDescent="0.3">
      <c r="A253" s="2">
        <v>45373</v>
      </c>
      <c r="B253">
        <v>453.51702880859381</v>
      </c>
      <c r="C253">
        <f t="shared" si="11"/>
        <v>1.7955976395960103E-2</v>
      </c>
      <c r="K253">
        <f t="shared" si="9"/>
        <v>1104.599975585938</v>
      </c>
      <c r="L253" s="5">
        <f t="shared" si="10"/>
        <v>-0.5894287173345043</v>
      </c>
    </row>
    <row r="254" spans="1:12" x14ac:dyDescent="0.3">
      <c r="A254" s="2">
        <v>45377</v>
      </c>
      <c r="B254">
        <v>461.66036987304688</v>
      </c>
      <c r="C254">
        <f t="shared" si="11"/>
        <v>5.8164873453555718E-3</v>
      </c>
      <c r="K254">
        <f t="shared" si="9"/>
        <v>1104.599975585938</v>
      </c>
      <c r="L254" s="5">
        <f t="shared" si="10"/>
        <v>-0.58205650907410356</v>
      </c>
    </row>
    <row r="255" spans="1:12" x14ac:dyDescent="0.3">
      <c r="A255" s="2">
        <v>45378</v>
      </c>
      <c r="B255">
        <v>464.34561157226563</v>
      </c>
      <c r="C255">
        <f t="shared" si="11"/>
        <v>-1.1125827657881943E-2</v>
      </c>
      <c r="K255">
        <f t="shared" si="9"/>
        <v>1104.599975585938</v>
      </c>
      <c r="L255" s="5">
        <f t="shared" si="10"/>
        <v>-0.57962554604805938</v>
      </c>
    </row>
    <row r="256" spans="1:12" x14ac:dyDescent="0.3">
      <c r="A256" s="2">
        <v>45379</v>
      </c>
      <c r="B256">
        <v>459.17938232421881</v>
      </c>
      <c r="C256">
        <f t="shared" si="11"/>
        <v>3.0489971348608948E-2</v>
      </c>
      <c r="K256">
        <f t="shared" si="9"/>
        <v>1104.599975585938</v>
      </c>
      <c r="L256" s="5">
        <f t="shared" si="10"/>
        <v>-0.58430255977450485</v>
      </c>
    </row>
    <row r="257" spans="1:12" x14ac:dyDescent="0.3">
      <c r="A257" s="2">
        <v>45383</v>
      </c>
      <c r="B257">
        <v>473.17974853515619</v>
      </c>
      <c r="C257">
        <f t="shared" si="11"/>
        <v>1.4063904170187661E-2</v>
      </c>
      <c r="K257">
        <f t="shared" si="9"/>
        <v>1104.599975585938</v>
      </c>
      <c r="L257" s="5">
        <f t="shared" si="10"/>
        <v>-0.57162795673233946</v>
      </c>
    </row>
    <row r="258" spans="1:12" x14ac:dyDescent="0.3">
      <c r="A258" s="2">
        <v>45384</v>
      </c>
      <c r="B258">
        <v>479.83450317382813</v>
      </c>
      <c r="C258">
        <f t="shared" si="11"/>
        <v>3.6699868735513862E-2</v>
      </c>
      <c r="K258">
        <f t="shared" ref="K258:K321" si="12">MAX(B258:B997)</f>
        <v>1104.599975585938</v>
      </c>
      <c r="L258" s="5">
        <f t="shared" ref="L258:L321" si="13">B258/K258-1</f>
        <v>-0.56560337336663558</v>
      </c>
    </row>
    <row r="259" spans="1:12" x14ac:dyDescent="0.3">
      <c r="A259" s="2">
        <v>45385</v>
      </c>
      <c r="B259">
        <v>497.44436645507813</v>
      </c>
      <c r="C259">
        <f t="shared" ref="C259:C322" si="14">(B260-B259)/B259</f>
        <v>-2.2355291698775055E-2</v>
      </c>
      <c r="K259">
        <f t="shared" si="12"/>
        <v>1104.599975585938</v>
      </c>
      <c r="L259" s="5">
        <f t="shared" si="13"/>
        <v>-0.54966107419004118</v>
      </c>
    </row>
    <row r="260" spans="1:12" x14ac:dyDescent="0.3">
      <c r="A260" s="2">
        <v>45386</v>
      </c>
      <c r="B260">
        <v>486.3238525390625</v>
      </c>
      <c r="C260">
        <f t="shared" si="14"/>
        <v>7.822232374029273E-3</v>
      </c>
      <c r="K260">
        <f t="shared" si="12"/>
        <v>1104.599975585938</v>
      </c>
      <c r="L260" s="5">
        <f t="shared" si="13"/>
        <v>-0.55972853223983576</v>
      </c>
    </row>
    <row r="261" spans="1:12" x14ac:dyDescent="0.3">
      <c r="A261" s="2">
        <v>45387</v>
      </c>
      <c r="B261">
        <v>490.12799072265619</v>
      </c>
      <c r="C261">
        <f t="shared" si="14"/>
        <v>1.9989397599603602E-2</v>
      </c>
      <c r="K261">
        <f t="shared" si="12"/>
        <v>1104.599975585938</v>
      </c>
      <c r="L261" s="5">
        <f t="shared" si="13"/>
        <v>-0.55628462651136079</v>
      </c>
    </row>
    <row r="262" spans="1:12" x14ac:dyDescent="0.3">
      <c r="A262" s="2">
        <v>45390</v>
      </c>
      <c r="B262">
        <v>499.92535400390619</v>
      </c>
      <c r="C262">
        <f t="shared" si="14"/>
        <v>-7.3175597382274084E-3</v>
      </c>
      <c r="K262">
        <f t="shared" si="12"/>
        <v>1104.599975585938</v>
      </c>
      <c r="L262" s="5">
        <f t="shared" si="13"/>
        <v>-0.54741502348963977</v>
      </c>
    </row>
    <row r="263" spans="1:12" x14ac:dyDescent="0.3">
      <c r="A263" s="2">
        <v>45391</v>
      </c>
      <c r="B263">
        <v>496.26712036132813</v>
      </c>
      <c r="C263">
        <f t="shared" si="14"/>
        <v>-8.7633621640959593E-3</v>
      </c>
      <c r="K263">
        <f t="shared" si="12"/>
        <v>1104.599975585938</v>
      </c>
      <c r="L263" s="5">
        <f t="shared" si="13"/>
        <v>-0.55072684109187864</v>
      </c>
    </row>
    <row r="264" spans="1:12" x14ac:dyDescent="0.3">
      <c r="A264" s="2">
        <v>45392</v>
      </c>
      <c r="B264">
        <v>491.91815185546881</v>
      </c>
      <c r="C264">
        <f t="shared" si="14"/>
        <v>-1.6791679275873793E-2</v>
      </c>
      <c r="K264">
        <f t="shared" si="12"/>
        <v>1104.599975585938</v>
      </c>
      <c r="L264" s="5">
        <f t="shared" si="13"/>
        <v>-0.5546639844939979</v>
      </c>
    </row>
    <row r="265" spans="1:12" x14ac:dyDescent="0.3">
      <c r="A265" s="2">
        <v>45394</v>
      </c>
      <c r="B265">
        <v>483.65802001953119</v>
      </c>
      <c r="C265">
        <f t="shared" si="14"/>
        <v>-2.8544330929363197E-2</v>
      </c>
      <c r="K265">
        <f t="shared" si="12"/>
        <v>1104.599975585938</v>
      </c>
      <c r="L265" s="5">
        <f t="shared" si="13"/>
        <v>-0.56214192403637031</v>
      </c>
    </row>
    <row r="266" spans="1:12" x14ac:dyDescent="0.3">
      <c r="A266" s="2">
        <v>45397</v>
      </c>
      <c r="B266">
        <v>469.85232543945313</v>
      </c>
      <c r="C266">
        <f t="shared" si="14"/>
        <v>-5.7564499525561107E-3</v>
      </c>
      <c r="K266">
        <f t="shared" si="12"/>
        <v>1104.599975585938</v>
      </c>
      <c r="L266" s="5">
        <f t="shared" si="13"/>
        <v>-0.5746402898567704</v>
      </c>
    </row>
    <row r="267" spans="1:12" x14ac:dyDescent="0.3">
      <c r="A267" s="2">
        <v>45398</v>
      </c>
      <c r="B267">
        <v>467.14764404296881</v>
      </c>
      <c r="C267">
        <f t="shared" si="14"/>
        <v>-1.2204545041794681E-2</v>
      </c>
      <c r="K267">
        <f t="shared" si="12"/>
        <v>1104.599975585938</v>
      </c>
      <c r="L267" s="5">
        <f t="shared" si="13"/>
        <v>-0.57708885174004365</v>
      </c>
    </row>
    <row r="268" spans="1:12" x14ac:dyDescent="0.3">
      <c r="A268" s="2">
        <v>45400</v>
      </c>
      <c r="B268">
        <v>461.44631958007813</v>
      </c>
      <c r="C268">
        <f t="shared" si="14"/>
        <v>-2.066244009112434E-3</v>
      </c>
      <c r="K268">
        <f t="shared" si="12"/>
        <v>1104.599975585938</v>
      </c>
      <c r="L268" s="5">
        <f t="shared" si="13"/>
        <v>-0.58225028989765937</v>
      </c>
    </row>
    <row r="269" spans="1:12" x14ac:dyDescent="0.3">
      <c r="A269" s="2">
        <v>45401</v>
      </c>
      <c r="B269">
        <v>460.49285888671881</v>
      </c>
      <c r="C269">
        <f t="shared" si="14"/>
        <v>2.4550430334346375E-2</v>
      </c>
      <c r="K269">
        <f t="shared" si="12"/>
        <v>1104.599975585938</v>
      </c>
      <c r="L269" s="5">
        <f t="shared" si="13"/>
        <v>-0.58311346273346676</v>
      </c>
    </row>
    <row r="270" spans="1:12" x14ac:dyDescent="0.3">
      <c r="A270" s="2">
        <v>45404</v>
      </c>
      <c r="B270">
        <v>471.79815673828119</v>
      </c>
      <c r="C270">
        <f t="shared" si="14"/>
        <v>9.4877826363769962E-4</v>
      </c>
      <c r="K270">
        <f t="shared" si="12"/>
        <v>1104.599975585938</v>
      </c>
      <c r="L270" s="5">
        <f t="shared" si="13"/>
        <v>-0.57287871884297781</v>
      </c>
    </row>
    <row r="271" spans="1:12" x14ac:dyDescent="0.3">
      <c r="A271" s="2">
        <v>45405</v>
      </c>
      <c r="B271">
        <v>472.24578857421881</v>
      </c>
      <c r="C271">
        <f t="shared" si="14"/>
        <v>1.4050424729636725E-2</v>
      </c>
      <c r="K271">
        <f t="shared" si="12"/>
        <v>1104.599975585938</v>
      </c>
      <c r="L271" s="5">
        <f t="shared" si="13"/>
        <v>-0.572473475455479</v>
      </c>
    </row>
    <row r="272" spans="1:12" x14ac:dyDescent="0.3">
      <c r="A272" s="2">
        <v>45406</v>
      </c>
      <c r="B272">
        <v>478.88104248046881</v>
      </c>
      <c r="C272">
        <f t="shared" si="14"/>
        <v>1.2514932793031647E-2</v>
      </c>
      <c r="K272">
        <f t="shared" si="12"/>
        <v>1104.599975585938</v>
      </c>
      <c r="L272" s="5">
        <f t="shared" si="13"/>
        <v>-0.56646654620244297</v>
      </c>
    </row>
    <row r="273" spans="1:12" x14ac:dyDescent="0.3">
      <c r="A273" s="2">
        <v>45407</v>
      </c>
      <c r="B273">
        <v>484.87420654296881</v>
      </c>
      <c r="C273">
        <f t="shared" si="14"/>
        <v>2.7088387610600248E-3</v>
      </c>
      <c r="K273">
        <f t="shared" si="12"/>
        <v>1104.599975585938</v>
      </c>
      <c r="L273" s="5">
        <f t="shared" si="13"/>
        <v>-0.5610409041646357</v>
      </c>
    </row>
    <row r="274" spans="1:12" x14ac:dyDescent="0.3">
      <c r="A274" s="2">
        <v>45408</v>
      </c>
      <c r="B274">
        <v>486.18765258789063</v>
      </c>
      <c r="C274">
        <f t="shared" si="14"/>
        <v>-2.5614200688111742E-3</v>
      </c>
      <c r="K274">
        <f t="shared" si="12"/>
        <v>1104.599975585938</v>
      </c>
      <c r="L274" s="5">
        <f t="shared" si="13"/>
        <v>-0.55985183475131706</v>
      </c>
    </row>
    <row r="275" spans="1:12" x14ac:dyDescent="0.3">
      <c r="A275" s="2">
        <v>45411</v>
      </c>
      <c r="B275">
        <v>484.94232177734381</v>
      </c>
      <c r="C275">
        <f t="shared" si="14"/>
        <v>2.3874506862237098E-2</v>
      </c>
      <c r="K275">
        <f t="shared" si="12"/>
        <v>1104.599975585938</v>
      </c>
      <c r="L275" s="5">
        <f t="shared" si="13"/>
        <v>-0.56097923909503544</v>
      </c>
    </row>
    <row r="276" spans="1:12" x14ac:dyDescent="0.3">
      <c r="A276" s="2">
        <v>45412</v>
      </c>
      <c r="B276">
        <v>496.52008056640619</v>
      </c>
      <c r="C276">
        <f t="shared" si="14"/>
        <v>1.1913666712354226E-2</v>
      </c>
      <c r="K276">
        <f t="shared" si="12"/>
        <v>1104.599975585938</v>
      </c>
      <c r="L276" s="5">
        <f t="shared" si="13"/>
        <v>-0.55049783492614535</v>
      </c>
    </row>
    <row r="277" spans="1:12" x14ac:dyDescent="0.3">
      <c r="A277" s="2">
        <v>45414</v>
      </c>
      <c r="B277">
        <v>502.43545532226563</v>
      </c>
      <c r="C277">
        <f t="shared" si="14"/>
        <v>2.4980252134910491E-3</v>
      </c>
      <c r="K277">
        <f t="shared" si="12"/>
        <v>1104.599975585938</v>
      </c>
      <c r="L277" s="5">
        <f t="shared" si="13"/>
        <v>-0.54514261594497371</v>
      </c>
    </row>
    <row r="278" spans="1:12" x14ac:dyDescent="0.3">
      <c r="A278" s="2">
        <v>45415</v>
      </c>
      <c r="B278">
        <v>503.6905517578125</v>
      </c>
      <c r="C278">
        <f t="shared" si="14"/>
        <v>-1.5839023147747482E-2</v>
      </c>
      <c r="K278">
        <f t="shared" si="12"/>
        <v>1104.599975585938</v>
      </c>
      <c r="L278" s="5">
        <f t="shared" si="13"/>
        <v>-0.54400637073106162</v>
      </c>
    </row>
    <row r="279" spans="1:12" x14ac:dyDescent="0.3">
      <c r="A279" s="2">
        <v>45418</v>
      </c>
      <c r="B279">
        <v>495.71258544921881</v>
      </c>
      <c r="C279">
        <f t="shared" si="14"/>
        <v>-2.4239034543642464E-2</v>
      </c>
      <c r="K279">
        <f t="shared" si="12"/>
        <v>1104.599975585938</v>
      </c>
      <c r="L279" s="5">
        <f t="shared" si="13"/>
        <v>-0.55122886438027785</v>
      </c>
    </row>
    <row r="280" spans="1:12" x14ac:dyDescent="0.3">
      <c r="A280" s="2">
        <v>45419</v>
      </c>
      <c r="B280">
        <v>483.69699096679688</v>
      </c>
      <c r="C280">
        <f t="shared" si="14"/>
        <v>-1.520626496905352E-2</v>
      </c>
      <c r="K280">
        <f t="shared" si="12"/>
        <v>1104.599975585938</v>
      </c>
      <c r="L280" s="5">
        <f t="shared" si="13"/>
        <v>-0.56210664343875383</v>
      </c>
    </row>
    <row r="281" spans="1:12" x14ac:dyDescent="0.3">
      <c r="A281" s="2">
        <v>45420</v>
      </c>
      <c r="B281">
        <v>476.34176635742188</v>
      </c>
      <c r="C281">
        <f t="shared" si="14"/>
        <v>-3.5580196693307038E-2</v>
      </c>
      <c r="K281">
        <f t="shared" si="12"/>
        <v>1104.599975585938</v>
      </c>
      <c r="L281" s="5">
        <f t="shared" si="13"/>
        <v>-0.56876536584681237</v>
      </c>
    </row>
    <row r="282" spans="1:12" x14ac:dyDescent="0.3">
      <c r="A282" s="2">
        <v>45421</v>
      </c>
      <c r="B282">
        <v>459.3934326171875</v>
      </c>
      <c r="C282">
        <f t="shared" si="14"/>
        <v>-7.009975949625746E-3</v>
      </c>
      <c r="K282">
        <f t="shared" si="12"/>
        <v>1104.599975585938</v>
      </c>
      <c r="L282" s="5">
        <f t="shared" si="13"/>
        <v>-0.58410877895094915</v>
      </c>
    </row>
    <row r="283" spans="1:12" x14ac:dyDescent="0.3">
      <c r="A283" s="2">
        <v>45422</v>
      </c>
      <c r="B283">
        <v>456.173095703125</v>
      </c>
      <c r="C283">
        <f t="shared" si="14"/>
        <v>-1.8150065427338193E-2</v>
      </c>
      <c r="K283">
        <f t="shared" si="12"/>
        <v>1104.599975585938</v>
      </c>
      <c r="L283" s="5">
        <f t="shared" si="13"/>
        <v>-0.58702416640816346</v>
      </c>
    </row>
    <row r="284" spans="1:12" x14ac:dyDescent="0.3">
      <c r="A284" s="2">
        <v>45425</v>
      </c>
      <c r="B284">
        <v>447.89352416992188</v>
      </c>
      <c r="C284">
        <f t="shared" si="14"/>
        <v>1.2403438813210849E-2</v>
      </c>
      <c r="K284">
        <f t="shared" si="12"/>
        <v>1104.599975585938</v>
      </c>
      <c r="L284" s="5">
        <f t="shared" si="13"/>
        <v>-0.59451970480776484</v>
      </c>
    </row>
    <row r="285" spans="1:12" x14ac:dyDescent="0.3">
      <c r="A285" s="2">
        <v>45426</v>
      </c>
      <c r="B285">
        <v>453.44894409179688</v>
      </c>
      <c r="C285">
        <f t="shared" si="14"/>
        <v>-4.441463756884474E-3</v>
      </c>
      <c r="K285">
        <f t="shared" si="12"/>
        <v>1104.599975585938</v>
      </c>
      <c r="L285" s="5">
        <f t="shared" si="13"/>
        <v>-0.58949035477638523</v>
      </c>
    </row>
    <row r="286" spans="1:12" x14ac:dyDescent="0.3">
      <c r="A286" s="2">
        <v>45427</v>
      </c>
      <c r="B286">
        <v>451.43496704101563</v>
      </c>
      <c r="C286">
        <f t="shared" si="14"/>
        <v>8.0603024981172611E-3</v>
      </c>
      <c r="K286">
        <f t="shared" si="12"/>
        <v>1104.599975585938</v>
      </c>
      <c r="L286" s="5">
        <f t="shared" si="13"/>
        <v>-0.59131361848749742</v>
      </c>
    </row>
    <row r="287" spans="1:12" x14ac:dyDescent="0.3">
      <c r="A287" s="2">
        <v>45428</v>
      </c>
      <c r="B287">
        <v>455.07366943359381</v>
      </c>
      <c r="C287">
        <f t="shared" si="14"/>
        <v>1.4067667239767644E-2</v>
      </c>
      <c r="K287">
        <f t="shared" si="12"/>
        <v>1104.599975585938</v>
      </c>
      <c r="L287" s="5">
        <f t="shared" si="13"/>
        <v>-0.58801948262564574</v>
      </c>
    </row>
    <row r="288" spans="1:12" x14ac:dyDescent="0.3">
      <c r="A288" s="2">
        <v>45429</v>
      </c>
      <c r="B288">
        <v>461.47549438476563</v>
      </c>
      <c r="C288">
        <f t="shared" si="14"/>
        <v>6.9575837365153331E-4</v>
      </c>
      <c r="K288">
        <f t="shared" si="12"/>
        <v>1104.599975585938</v>
      </c>
      <c r="L288" s="5">
        <f t="shared" si="13"/>
        <v>-0.58222387779795604</v>
      </c>
    </row>
    <row r="289" spans="1:12" x14ac:dyDescent="0.3">
      <c r="A289" s="2">
        <v>45433</v>
      </c>
      <c r="B289">
        <v>461.79656982421881</v>
      </c>
      <c r="C289">
        <f t="shared" si="14"/>
        <v>-1.537970480070578E-2</v>
      </c>
      <c r="K289">
        <f t="shared" si="12"/>
        <v>1104.599975585938</v>
      </c>
      <c r="L289" s="5">
        <f t="shared" si="13"/>
        <v>-0.58193320656262226</v>
      </c>
    </row>
    <row r="290" spans="1:12" x14ac:dyDescent="0.3">
      <c r="A290" s="2">
        <v>45434</v>
      </c>
      <c r="B290">
        <v>454.69427490234381</v>
      </c>
      <c r="C290">
        <f t="shared" si="14"/>
        <v>2.7259983642318346E-2</v>
      </c>
      <c r="K290">
        <f t="shared" si="12"/>
        <v>1104.599975585938</v>
      </c>
      <c r="L290" s="5">
        <f t="shared" si="13"/>
        <v>-0.58836295043266684</v>
      </c>
    </row>
    <row r="291" spans="1:12" x14ac:dyDescent="0.3">
      <c r="A291" s="2">
        <v>45435</v>
      </c>
      <c r="B291">
        <v>467.0892333984375</v>
      </c>
      <c r="C291">
        <f t="shared" si="14"/>
        <v>-1.2288982188195417E-3</v>
      </c>
      <c r="K291">
        <f t="shared" si="12"/>
        <v>1104.599975585938</v>
      </c>
      <c r="L291" s="5">
        <f t="shared" si="13"/>
        <v>-0.5771417311948891</v>
      </c>
    </row>
    <row r="292" spans="1:12" x14ac:dyDescent="0.3">
      <c r="A292" s="2">
        <v>45436</v>
      </c>
      <c r="B292">
        <v>466.51522827148438</v>
      </c>
      <c r="C292">
        <f t="shared" si="14"/>
        <v>-7.2991869898488132E-3</v>
      </c>
      <c r="K292">
        <f t="shared" si="12"/>
        <v>1104.599975585938</v>
      </c>
      <c r="L292" s="5">
        <f t="shared" si="13"/>
        <v>-0.57766138096823683</v>
      </c>
    </row>
    <row r="293" spans="1:12" x14ac:dyDescent="0.3">
      <c r="A293" s="2">
        <v>45439</v>
      </c>
      <c r="B293">
        <v>463.11004638671881</v>
      </c>
      <c r="C293">
        <f t="shared" si="14"/>
        <v>5.7562376484248294E-3</v>
      </c>
      <c r="K293">
        <f t="shared" si="12"/>
        <v>1104.599975585938</v>
      </c>
      <c r="L293" s="5">
        <f t="shared" si="13"/>
        <v>-0.58074410952158417</v>
      </c>
    </row>
    <row r="294" spans="1:12" x14ac:dyDescent="0.3">
      <c r="A294" s="2">
        <v>45440</v>
      </c>
      <c r="B294">
        <v>465.77581787109381</v>
      </c>
      <c r="C294">
        <f t="shared" si="14"/>
        <v>-7.958438378089433E-3</v>
      </c>
      <c r="K294">
        <f t="shared" si="12"/>
        <v>1104.599975585938</v>
      </c>
      <c r="L294" s="5">
        <f t="shared" si="13"/>
        <v>-0.57833077298048841</v>
      </c>
    </row>
    <row r="295" spans="1:12" x14ac:dyDescent="0.3">
      <c r="A295" s="2">
        <v>45441</v>
      </c>
      <c r="B295">
        <v>462.0689697265625</v>
      </c>
      <c r="C295">
        <f t="shared" si="14"/>
        <v>-3.0299167641718586E-2</v>
      </c>
      <c r="K295">
        <f t="shared" si="12"/>
        <v>1104.599975585938</v>
      </c>
      <c r="L295" s="5">
        <f t="shared" si="13"/>
        <v>-0.58168660153965979</v>
      </c>
    </row>
    <row r="296" spans="1:12" x14ac:dyDescent="0.3">
      <c r="A296" s="2">
        <v>45442</v>
      </c>
      <c r="B296">
        <v>448.06866455078119</v>
      </c>
      <c r="C296">
        <f t="shared" si="14"/>
        <v>2.2299890875511989E-2</v>
      </c>
      <c r="K296">
        <f t="shared" si="12"/>
        <v>1104.599975585938</v>
      </c>
      <c r="L296" s="5">
        <f t="shared" si="13"/>
        <v>-0.59436114932638673</v>
      </c>
    </row>
    <row r="297" spans="1:12" x14ac:dyDescent="0.3">
      <c r="A297" s="2">
        <v>45443</v>
      </c>
      <c r="B297">
        <v>458.060546875</v>
      </c>
      <c r="C297">
        <f t="shared" si="14"/>
        <v>6.5886403804252813E-2</v>
      </c>
      <c r="K297">
        <f t="shared" si="12"/>
        <v>1104.599975585938</v>
      </c>
      <c r="L297" s="5">
        <f t="shared" si="13"/>
        <v>-0.58531544722149698</v>
      </c>
    </row>
    <row r="298" spans="1:12" x14ac:dyDescent="0.3">
      <c r="A298" s="2">
        <v>45446</v>
      </c>
      <c r="B298">
        <v>488.24050903320313</v>
      </c>
      <c r="C298">
        <f t="shared" si="14"/>
        <v>-9.9017449268423222E-2</v>
      </c>
      <c r="K298">
        <f t="shared" si="12"/>
        <v>1104.599975585938</v>
      </c>
      <c r="L298" s="5">
        <f t="shared" si="13"/>
        <v>-0.5579933733257465</v>
      </c>
    </row>
    <row r="299" spans="1:12" x14ac:dyDescent="0.3">
      <c r="A299" s="2">
        <v>45447</v>
      </c>
      <c r="B299">
        <v>439.89617919921881</v>
      </c>
      <c r="C299">
        <f t="shared" si="14"/>
        <v>5.6066529591901455E-2</v>
      </c>
      <c r="K299">
        <f t="shared" si="12"/>
        <v>1104.599975585938</v>
      </c>
      <c r="L299" s="5">
        <f t="shared" si="13"/>
        <v>-0.60175974205877136</v>
      </c>
    </row>
    <row r="300" spans="1:12" x14ac:dyDescent="0.3">
      <c r="A300" s="2">
        <v>45448</v>
      </c>
      <c r="B300">
        <v>464.55963134765619</v>
      </c>
      <c r="C300">
        <f t="shared" si="14"/>
        <v>3.6587160350765993E-2</v>
      </c>
      <c r="K300">
        <f t="shared" si="12"/>
        <v>1104.599975585938</v>
      </c>
      <c r="L300" s="5">
        <f t="shared" si="13"/>
        <v>-0.57943179285222302</v>
      </c>
    </row>
    <row r="301" spans="1:12" x14ac:dyDescent="0.3">
      <c r="A301" s="2">
        <v>45449</v>
      </c>
      <c r="B301">
        <v>481.55654907226563</v>
      </c>
      <c r="C301">
        <f t="shared" si="14"/>
        <v>9.3543929537072516E-3</v>
      </c>
      <c r="K301">
        <f t="shared" si="12"/>
        <v>1104.599975585938</v>
      </c>
      <c r="L301" s="5">
        <f t="shared" si="13"/>
        <v>-0.56404439641887305</v>
      </c>
    </row>
    <row r="302" spans="1:12" x14ac:dyDescent="0.3">
      <c r="A302" s="2">
        <v>45450</v>
      </c>
      <c r="B302">
        <v>486.06121826171881</v>
      </c>
      <c r="C302">
        <f t="shared" si="14"/>
        <v>8.4669334713942598E-3</v>
      </c>
      <c r="K302">
        <f t="shared" si="12"/>
        <v>1104.599975585938</v>
      </c>
      <c r="L302" s="5">
        <f t="shared" si="13"/>
        <v>-0.55996629639260465</v>
      </c>
    </row>
    <row r="303" spans="1:12" x14ac:dyDescent="0.3">
      <c r="A303" s="2">
        <v>45453</v>
      </c>
      <c r="B303">
        <v>490.17666625976563</v>
      </c>
      <c r="C303">
        <f t="shared" si="14"/>
        <v>5.5178308153680192E-3</v>
      </c>
      <c r="K303">
        <f t="shared" si="12"/>
        <v>1104.599975585938</v>
      </c>
      <c r="L303" s="5">
        <f t="shared" si="13"/>
        <v>-0.55624056029898949</v>
      </c>
    </row>
    <row r="304" spans="1:12" x14ac:dyDescent="0.3">
      <c r="A304" s="2">
        <v>45454</v>
      </c>
      <c r="B304">
        <v>492.88137817382813</v>
      </c>
      <c r="C304">
        <f t="shared" si="14"/>
        <v>1.3403041607327386E-2</v>
      </c>
      <c r="K304">
        <f t="shared" si="12"/>
        <v>1104.599975585938</v>
      </c>
      <c r="L304" s="5">
        <f t="shared" si="13"/>
        <v>-0.55379197078799691</v>
      </c>
    </row>
    <row r="305" spans="1:12" x14ac:dyDescent="0.3">
      <c r="A305" s="2">
        <v>45455</v>
      </c>
      <c r="B305">
        <v>499.48748779296881</v>
      </c>
      <c r="C305">
        <f t="shared" si="14"/>
        <v>4.5715682933299556E-2</v>
      </c>
      <c r="K305">
        <f t="shared" si="12"/>
        <v>1104.599975585938</v>
      </c>
      <c r="L305" s="5">
        <f t="shared" si="13"/>
        <v>-0.54781142600694488</v>
      </c>
    </row>
    <row r="306" spans="1:12" x14ac:dyDescent="0.3">
      <c r="A306" s="2">
        <v>45456</v>
      </c>
      <c r="B306">
        <v>522.3218994140625</v>
      </c>
      <c r="C306">
        <f t="shared" si="14"/>
        <v>1.7825888711972649E-2</v>
      </c>
      <c r="K306">
        <f t="shared" si="12"/>
        <v>1104.599975585938</v>
      </c>
      <c r="L306" s="5">
        <f t="shared" si="13"/>
        <v>-0.52713931653221746</v>
      </c>
    </row>
    <row r="307" spans="1:12" x14ac:dyDescent="0.3">
      <c r="A307" s="2">
        <v>45457</v>
      </c>
      <c r="B307">
        <v>531.63275146484375</v>
      </c>
      <c r="C307">
        <f t="shared" si="14"/>
        <v>3.5722769130834164E-2</v>
      </c>
      <c r="K307">
        <f t="shared" si="12"/>
        <v>1104.599975585938</v>
      </c>
      <c r="L307" s="5">
        <f t="shared" si="13"/>
        <v>-0.51871015461245351</v>
      </c>
    </row>
    <row r="308" spans="1:12" x14ac:dyDescent="0.3">
      <c r="A308" s="2">
        <v>45461</v>
      </c>
      <c r="B308">
        <v>550.6241455078125</v>
      </c>
      <c r="C308">
        <f t="shared" si="14"/>
        <v>-1.3605387884354425E-2</v>
      </c>
      <c r="K308">
        <f t="shared" si="12"/>
        <v>1104.599975585938</v>
      </c>
      <c r="L308" s="5">
        <f t="shared" si="13"/>
        <v>-0.50151714858065932</v>
      </c>
    </row>
    <row r="309" spans="1:12" x14ac:dyDescent="0.3">
      <c r="A309" s="2">
        <v>45462</v>
      </c>
      <c r="B309">
        <v>543.1326904296875</v>
      </c>
      <c r="C309">
        <f t="shared" si="14"/>
        <v>4.9975917792806713E-3</v>
      </c>
      <c r="K309">
        <f t="shared" si="12"/>
        <v>1104.599975585938</v>
      </c>
      <c r="L309" s="5">
        <f t="shared" si="13"/>
        <v>-0.50829920112791838</v>
      </c>
    </row>
    <row r="310" spans="1:12" x14ac:dyDescent="0.3">
      <c r="A310" s="2">
        <v>45463</v>
      </c>
      <c r="B310">
        <v>545.8470458984375</v>
      </c>
      <c r="C310">
        <f t="shared" si="14"/>
        <v>5.8642595825769825E-3</v>
      </c>
      <c r="K310">
        <f t="shared" si="12"/>
        <v>1104.599975585938</v>
      </c>
      <c r="L310" s="5">
        <f t="shared" si="13"/>
        <v>-0.50584188125760954</v>
      </c>
    </row>
    <row r="311" spans="1:12" x14ac:dyDescent="0.3">
      <c r="A311" s="2">
        <v>45464</v>
      </c>
      <c r="B311">
        <v>549.04803466796875</v>
      </c>
      <c r="C311">
        <f t="shared" si="14"/>
        <v>2.1476714790548225E-2</v>
      </c>
      <c r="K311">
        <f t="shared" si="12"/>
        <v>1104.599975585938</v>
      </c>
      <c r="L311" s="5">
        <f t="shared" si="13"/>
        <v>-0.50294400977446629</v>
      </c>
    </row>
    <row r="312" spans="1:12" x14ac:dyDescent="0.3">
      <c r="A312" s="2">
        <v>45467</v>
      </c>
      <c r="B312">
        <v>560.83978271484375</v>
      </c>
      <c r="C312">
        <f t="shared" si="14"/>
        <v>3.7331973416765349E-2</v>
      </c>
      <c r="K312">
        <f t="shared" si="12"/>
        <v>1104.599975585938</v>
      </c>
      <c r="L312" s="5">
        <f t="shared" si="13"/>
        <v>-0.49226888003745894</v>
      </c>
    </row>
    <row r="313" spans="1:12" x14ac:dyDescent="0.3">
      <c r="A313" s="2">
        <v>45468</v>
      </c>
      <c r="B313">
        <v>581.77703857421875</v>
      </c>
      <c r="C313">
        <f t="shared" si="14"/>
        <v>-2.6741965214462901E-4</v>
      </c>
      <c r="K313">
        <f t="shared" si="12"/>
        <v>1104.599975585938</v>
      </c>
      <c r="L313" s="5">
        <f t="shared" si="13"/>
        <v>-0.47331427536415294</v>
      </c>
    </row>
    <row r="314" spans="1:12" x14ac:dyDescent="0.3">
      <c r="A314" s="2">
        <v>45469</v>
      </c>
      <c r="B314">
        <v>581.6214599609375</v>
      </c>
      <c r="C314">
        <f t="shared" si="14"/>
        <v>-1.2713229511633926E-2</v>
      </c>
      <c r="K314">
        <f t="shared" si="12"/>
        <v>1104.599975585938</v>
      </c>
      <c r="L314" s="5">
        <f t="shared" si="13"/>
        <v>-0.47345512147742452</v>
      </c>
    </row>
    <row r="315" spans="1:12" x14ac:dyDescent="0.3">
      <c r="A315" s="2">
        <v>45470</v>
      </c>
      <c r="B315">
        <v>574.2271728515625</v>
      </c>
      <c r="C315">
        <f t="shared" si="14"/>
        <v>-1.3401908007726927E-2</v>
      </c>
      <c r="K315">
        <f t="shared" si="12"/>
        <v>1104.599975585938</v>
      </c>
      <c r="L315" s="5">
        <f t="shared" si="13"/>
        <v>-0.48014920736625744</v>
      </c>
    </row>
    <row r="316" spans="1:12" x14ac:dyDescent="0.3">
      <c r="A316" s="2">
        <v>45471</v>
      </c>
      <c r="B316">
        <v>566.53143310546875</v>
      </c>
      <c r="C316">
        <f t="shared" si="14"/>
        <v>4.3792045529592542E-3</v>
      </c>
      <c r="K316">
        <f t="shared" si="12"/>
        <v>1104.599975585938</v>
      </c>
      <c r="L316" s="5">
        <f t="shared" si="13"/>
        <v>-0.48711619986687882</v>
      </c>
    </row>
    <row r="317" spans="1:12" x14ac:dyDescent="0.3">
      <c r="A317" s="2">
        <v>45474</v>
      </c>
      <c r="B317">
        <v>569.01239013671875</v>
      </c>
      <c r="C317">
        <f t="shared" si="14"/>
        <v>-3.3974603277441437E-2</v>
      </c>
      <c r="K317">
        <f t="shared" si="12"/>
        <v>1104.599975585938</v>
      </c>
      <c r="L317" s="5">
        <f t="shared" si="13"/>
        <v>-0.48487017679419675</v>
      </c>
    </row>
    <row r="318" spans="1:12" x14ac:dyDescent="0.3">
      <c r="A318" s="2">
        <v>45475</v>
      </c>
      <c r="B318">
        <v>549.680419921875</v>
      </c>
      <c r="C318">
        <f t="shared" si="14"/>
        <v>9.0446730633167091E-3</v>
      </c>
      <c r="K318">
        <f t="shared" si="12"/>
        <v>1104.599975585938</v>
      </c>
      <c r="L318" s="5">
        <f t="shared" si="13"/>
        <v>-0.50237150817399256</v>
      </c>
    </row>
    <row r="319" spans="1:12" x14ac:dyDescent="0.3">
      <c r="A319" s="2">
        <v>45476</v>
      </c>
      <c r="B319">
        <v>554.652099609375</v>
      </c>
      <c r="C319">
        <f t="shared" si="14"/>
        <v>-5.8587585915474355E-3</v>
      </c>
      <c r="K319">
        <f t="shared" si="12"/>
        <v>1104.599975585938</v>
      </c>
      <c r="L319" s="5">
        <f t="shared" si="13"/>
        <v>-0.49787062115843495</v>
      </c>
    </row>
    <row r="320" spans="1:12" x14ac:dyDescent="0.3">
      <c r="A320" s="2">
        <v>45477</v>
      </c>
      <c r="B320">
        <v>551.40252685546875</v>
      </c>
      <c r="C320">
        <f t="shared" si="14"/>
        <v>1.1327758726055794E-2</v>
      </c>
      <c r="K320">
        <f t="shared" si="12"/>
        <v>1104.599975585938</v>
      </c>
      <c r="L320" s="5">
        <f t="shared" si="13"/>
        <v>-0.50081247597079126</v>
      </c>
    </row>
    <row r="321" spans="1:12" x14ac:dyDescent="0.3">
      <c r="A321" s="2">
        <v>45478</v>
      </c>
      <c r="B321">
        <v>557.648681640625</v>
      </c>
      <c r="C321">
        <f t="shared" si="14"/>
        <v>-2.0151116683865052E-2</v>
      </c>
      <c r="K321">
        <f t="shared" si="12"/>
        <v>1104.599975585938</v>
      </c>
      <c r="L321" s="5">
        <f t="shared" si="13"/>
        <v>-0.49515780013953126</v>
      </c>
    </row>
    <row r="322" spans="1:12" x14ac:dyDescent="0.3">
      <c r="A322" s="2">
        <v>45481</v>
      </c>
      <c r="B322">
        <v>546.41143798828125</v>
      </c>
      <c r="C322">
        <f t="shared" si="14"/>
        <v>-5.7333197057103649E-3</v>
      </c>
      <c r="K322">
        <f t="shared" ref="K322:K385" si="15">MAX(B322:B1061)</f>
        <v>1104.599975585938</v>
      </c>
      <c r="L322" s="5">
        <f t="shared" ref="L322:L385" si="16">B322/K322-1</f>
        <v>-0.50533093421585873</v>
      </c>
    </row>
    <row r="323" spans="1:12" x14ac:dyDescent="0.3">
      <c r="A323" s="2">
        <v>45482</v>
      </c>
      <c r="B323">
        <v>543.2786865234375</v>
      </c>
      <c r="C323">
        <f t="shared" ref="C323:C386" si="17">(B324-B323)/B323</f>
        <v>-1.0709264653112803E-2</v>
      </c>
      <c r="K323">
        <f t="shared" si="15"/>
        <v>1104.599975585938</v>
      </c>
      <c r="L323" s="5">
        <f t="shared" si="16"/>
        <v>-0.50816703011852415</v>
      </c>
    </row>
    <row r="324" spans="1:12" x14ac:dyDescent="0.3">
      <c r="A324" s="2">
        <v>45483</v>
      </c>
      <c r="B324">
        <v>537.4605712890625</v>
      </c>
      <c r="C324">
        <f t="shared" si="17"/>
        <v>-8.3632815543109654E-3</v>
      </c>
      <c r="K324">
        <f t="shared" si="15"/>
        <v>1104.599975585938</v>
      </c>
      <c r="L324" s="5">
        <f t="shared" si="16"/>
        <v>-0.51343419955811143</v>
      </c>
    </row>
    <row r="325" spans="1:12" x14ac:dyDescent="0.3">
      <c r="A325" s="2">
        <v>45484</v>
      </c>
      <c r="B325">
        <v>532.96563720703125</v>
      </c>
      <c r="C325">
        <f t="shared" si="17"/>
        <v>2.0226499692113327E-2</v>
      </c>
      <c r="K325">
        <f t="shared" si="15"/>
        <v>1104.599975585938</v>
      </c>
      <c r="L325" s="5">
        <f t="shared" si="16"/>
        <v>-0.51750348634190568</v>
      </c>
    </row>
    <row r="326" spans="1:12" x14ac:dyDescent="0.3">
      <c r="A326" s="2">
        <v>45485</v>
      </c>
      <c r="B326">
        <v>543.74566650390625</v>
      </c>
      <c r="C326">
        <f t="shared" si="17"/>
        <v>3.1455777810729231E-2</v>
      </c>
      <c r="K326">
        <f t="shared" si="15"/>
        <v>1104.599975585938</v>
      </c>
      <c r="L326" s="5">
        <f t="shared" si="16"/>
        <v>-0.50774427075695439</v>
      </c>
    </row>
    <row r="327" spans="1:12" x14ac:dyDescent="0.3">
      <c r="A327" s="2">
        <v>45488</v>
      </c>
      <c r="B327">
        <v>560.849609375</v>
      </c>
      <c r="C327">
        <f t="shared" si="17"/>
        <v>-2.3869839459525342E-2</v>
      </c>
      <c r="K327">
        <f t="shared" si="15"/>
        <v>1104.599975585938</v>
      </c>
      <c r="L327" s="5">
        <f t="shared" si="16"/>
        <v>-0.49225998391182668</v>
      </c>
    </row>
    <row r="328" spans="1:12" x14ac:dyDescent="0.3">
      <c r="A328" s="2">
        <v>45489</v>
      </c>
      <c r="B328">
        <v>547.46221923828125</v>
      </c>
      <c r="C328">
        <f t="shared" si="17"/>
        <v>1.9121989658202949E-2</v>
      </c>
      <c r="K328">
        <f t="shared" si="15"/>
        <v>1104.599975585938</v>
      </c>
      <c r="L328" s="5">
        <f t="shared" si="16"/>
        <v>-0.50437965658302819</v>
      </c>
    </row>
    <row r="329" spans="1:12" x14ac:dyDescent="0.3">
      <c r="A329" s="2">
        <v>45491</v>
      </c>
      <c r="B329">
        <v>557.9307861328125</v>
      </c>
      <c r="C329">
        <f t="shared" si="17"/>
        <v>-1.96875925076287E-2</v>
      </c>
      <c r="K329">
        <f t="shared" si="15"/>
        <v>1104.599975585938</v>
      </c>
      <c r="L329" s="5">
        <f t="shared" si="16"/>
        <v>-0.49490240950181386</v>
      </c>
    </row>
    <row r="330" spans="1:12" x14ac:dyDescent="0.3">
      <c r="A330" s="2">
        <v>45492</v>
      </c>
      <c r="B330">
        <v>546.94647216796875</v>
      </c>
      <c r="C330">
        <f t="shared" si="17"/>
        <v>5.8879581697525918E-3</v>
      </c>
      <c r="K330">
        <f t="shared" si="15"/>
        <v>1104.599975585938</v>
      </c>
      <c r="L330" s="5">
        <f t="shared" si="16"/>
        <v>-0.50484656504012726</v>
      </c>
    </row>
    <row r="331" spans="1:12" x14ac:dyDescent="0.3">
      <c r="A331" s="2">
        <v>45495</v>
      </c>
      <c r="B331">
        <v>550.1668701171875</v>
      </c>
      <c r="C331">
        <f t="shared" si="17"/>
        <v>-2.6027592391956719E-2</v>
      </c>
      <c r="K331">
        <f t="shared" si="15"/>
        <v>1104.599975585938</v>
      </c>
      <c r="L331" s="5">
        <f t="shared" si="16"/>
        <v>-0.50193112232747428</v>
      </c>
    </row>
    <row r="332" spans="1:12" x14ac:dyDescent="0.3">
      <c r="A332" s="2">
        <v>45496</v>
      </c>
      <c r="B332">
        <v>535.84735107421875</v>
      </c>
      <c r="C332">
        <f t="shared" si="17"/>
        <v>-5.4578240258388944E-3</v>
      </c>
      <c r="K332">
        <f t="shared" si="15"/>
        <v>1104.599975585938</v>
      </c>
      <c r="L332" s="5">
        <f t="shared" si="16"/>
        <v>-0.51489465605865403</v>
      </c>
    </row>
    <row r="333" spans="1:12" x14ac:dyDescent="0.3">
      <c r="A333" s="2">
        <v>45497</v>
      </c>
      <c r="B333">
        <v>532.92279052734375</v>
      </c>
      <c r="C333">
        <f t="shared" si="17"/>
        <v>-1.6609923234594377E-2</v>
      </c>
      <c r="K333">
        <f t="shared" si="15"/>
        <v>1104.599975585938</v>
      </c>
      <c r="L333" s="5">
        <f t="shared" si="16"/>
        <v>-0.51754227565987998</v>
      </c>
    </row>
    <row r="334" spans="1:12" x14ac:dyDescent="0.3">
      <c r="A334" s="2">
        <v>45498</v>
      </c>
      <c r="B334">
        <v>524.07098388671875</v>
      </c>
      <c r="C334">
        <f t="shared" si="17"/>
        <v>9.1825203616099402E-2</v>
      </c>
      <c r="K334">
        <f t="shared" si="15"/>
        <v>1104.599975585938</v>
      </c>
      <c r="L334" s="5">
        <f t="shared" si="16"/>
        <v>-0.52555586142510646</v>
      </c>
    </row>
    <row r="335" spans="1:12" x14ac:dyDescent="0.3">
      <c r="A335" s="2">
        <v>45499</v>
      </c>
      <c r="B335">
        <v>572.19390869140625</v>
      </c>
      <c r="C335">
        <f t="shared" si="17"/>
        <v>6.1537148693442279E-3</v>
      </c>
      <c r="K335">
        <f t="shared" si="15"/>
        <v>1104.599975585938</v>
      </c>
      <c r="L335" s="5">
        <f t="shared" si="16"/>
        <v>-0.48198993179600202</v>
      </c>
    </row>
    <row r="336" spans="1:12" x14ac:dyDescent="0.3">
      <c r="A336" s="2">
        <v>45502</v>
      </c>
      <c r="B336">
        <v>575.71502685546875</v>
      </c>
      <c r="C336">
        <f t="shared" si="17"/>
        <v>-1.0516495335549427E-2</v>
      </c>
      <c r="K336">
        <f t="shared" si="15"/>
        <v>1104.599975585938</v>
      </c>
      <c r="L336" s="5">
        <f t="shared" si="16"/>
        <v>-0.47880224553682504</v>
      </c>
    </row>
    <row r="337" spans="1:12" x14ac:dyDescent="0.3">
      <c r="A337" s="2">
        <v>45503</v>
      </c>
      <c r="B337">
        <v>569.6605224609375</v>
      </c>
      <c r="C337">
        <f t="shared" si="17"/>
        <v>6.8339040842709956E-3</v>
      </c>
      <c r="K337">
        <f t="shared" si="15"/>
        <v>1104.599975585938</v>
      </c>
      <c r="L337" s="5">
        <f t="shared" si="16"/>
        <v>-0.48428341929053587</v>
      </c>
    </row>
    <row r="338" spans="1:12" x14ac:dyDescent="0.3">
      <c r="A338" s="2">
        <v>45504</v>
      </c>
      <c r="B338">
        <v>573.55352783203125</v>
      </c>
      <c r="C338">
        <f t="shared" si="17"/>
        <v>1.95432612674909E-2</v>
      </c>
      <c r="K338">
        <f t="shared" si="15"/>
        <v>1104.599975585938</v>
      </c>
      <c r="L338" s="5">
        <f t="shared" si="16"/>
        <v>-0.48075906164329918</v>
      </c>
    </row>
    <row r="339" spans="1:12" x14ac:dyDescent="0.3">
      <c r="A339" s="2">
        <v>45505</v>
      </c>
      <c r="B339">
        <v>584.76263427734375</v>
      </c>
      <c r="C339">
        <f t="shared" si="17"/>
        <v>9.5336993937114112E-4</v>
      </c>
      <c r="K339">
        <f t="shared" si="15"/>
        <v>1104.599975585938</v>
      </c>
      <c r="L339" s="5">
        <f t="shared" si="16"/>
        <v>-0.470611400324217</v>
      </c>
    </row>
    <row r="340" spans="1:12" x14ac:dyDescent="0.3">
      <c r="A340" s="2">
        <v>45506</v>
      </c>
      <c r="B340">
        <v>585.32012939453125</v>
      </c>
      <c r="C340">
        <f t="shared" si="17"/>
        <v>-3.3638568137157016E-2</v>
      </c>
      <c r="K340">
        <f t="shared" si="15"/>
        <v>1104.599975585938</v>
      </c>
      <c r="L340" s="5">
        <f t="shared" si="16"/>
        <v>-0.47010669714704034</v>
      </c>
    </row>
    <row r="341" spans="1:12" x14ac:dyDescent="0.3">
      <c r="A341" s="2">
        <v>45509</v>
      </c>
      <c r="B341">
        <v>565.63079833984375</v>
      </c>
      <c r="C341">
        <f t="shared" si="17"/>
        <v>-1.8900445059750446E-2</v>
      </c>
      <c r="K341">
        <f t="shared" si="15"/>
        <v>1104.599975585938</v>
      </c>
      <c r="L341" s="5">
        <f t="shared" si="16"/>
        <v>-0.48793154912048287</v>
      </c>
    </row>
    <row r="342" spans="1:12" x14ac:dyDescent="0.3">
      <c r="A342" s="2">
        <v>45510</v>
      </c>
      <c r="B342">
        <v>554.94012451171875</v>
      </c>
      <c r="C342">
        <f t="shared" si="17"/>
        <v>3.1108961268629966E-2</v>
      </c>
      <c r="K342">
        <f t="shared" si="15"/>
        <v>1104.599975585938</v>
      </c>
      <c r="L342" s="5">
        <f t="shared" si="16"/>
        <v>-0.49760987074316265</v>
      </c>
    </row>
    <row r="343" spans="1:12" x14ac:dyDescent="0.3">
      <c r="A343" s="2">
        <v>45511</v>
      </c>
      <c r="B343">
        <v>572.2037353515625</v>
      </c>
      <c r="C343">
        <f t="shared" si="17"/>
        <v>-1.8068080314999936E-2</v>
      </c>
      <c r="K343">
        <f t="shared" si="15"/>
        <v>1104.599975585938</v>
      </c>
      <c r="L343" s="5">
        <f t="shared" si="16"/>
        <v>-0.48198103567036965</v>
      </c>
    </row>
    <row r="344" spans="1:12" x14ac:dyDescent="0.3">
      <c r="A344" s="2">
        <v>45512</v>
      </c>
      <c r="B344">
        <v>561.8651123046875</v>
      </c>
      <c r="C344">
        <f t="shared" si="17"/>
        <v>2.9907345508678525E-2</v>
      </c>
      <c r="K344">
        <f t="shared" si="15"/>
        <v>1104.599975585938</v>
      </c>
      <c r="L344" s="5">
        <f t="shared" si="16"/>
        <v>-0.4913406439225706</v>
      </c>
    </row>
    <row r="345" spans="1:12" x14ac:dyDescent="0.3">
      <c r="A345" s="2">
        <v>45513</v>
      </c>
      <c r="B345">
        <v>578.66900634765625</v>
      </c>
      <c r="C345">
        <f t="shared" si="17"/>
        <v>6.0849624925363201E-3</v>
      </c>
      <c r="K345">
        <f t="shared" si="15"/>
        <v>1104.599975585938</v>
      </c>
      <c r="L345" s="5">
        <f t="shared" si="16"/>
        <v>-0.47612799281414098</v>
      </c>
    </row>
    <row r="346" spans="1:12" x14ac:dyDescent="0.3">
      <c r="A346" s="2">
        <v>45516</v>
      </c>
      <c r="B346">
        <v>582.190185546875</v>
      </c>
      <c r="C346">
        <f t="shared" si="17"/>
        <v>-2.8476808556052856E-2</v>
      </c>
      <c r="K346">
        <f t="shared" si="15"/>
        <v>1104.599975585938</v>
      </c>
      <c r="L346" s="5">
        <f t="shared" si="16"/>
        <v>-0.47294025129952522</v>
      </c>
    </row>
    <row r="347" spans="1:12" x14ac:dyDescent="0.3">
      <c r="A347" s="2">
        <v>45517</v>
      </c>
      <c r="B347">
        <v>565.61126708984375</v>
      </c>
      <c r="C347">
        <f t="shared" si="17"/>
        <v>1.2969712338708154E-3</v>
      </c>
      <c r="K347">
        <f t="shared" si="15"/>
        <v>1104.599975585938</v>
      </c>
      <c r="L347" s="5">
        <f t="shared" si="16"/>
        <v>-0.48794923086087005</v>
      </c>
    </row>
    <row r="348" spans="1:12" x14ac:dyDescent="0.3">
      <c r="A348" s="2">
        <v>45518</v>
      </c>
      <c r="B348">
        <v>566.3448486328125</v>
      </c>
      <c r="C348">
        <f t="shared" si="17"/>
        <v>2.9843429147599406E-2</v>
      </c>
      <c r="K348">
        <f t="shared" si="15"/>
        <v>1104.599975585938</v>
      </c>
      <c r="L348" s="5">
        <f t="shared" si="16"/>
        <v>-0.48728511574301514</v>
      </c>
    </row>
    <row r="349" spans="1:12" x14ac:dyDescent="0.3">
      <c r="A349" s="2">
        <v>45520</v>
      </c>
      <c r="B349">
        <v>583.24652099609375</v>
      </c>
      <c r="C349">
        <f t="shared" si="17"/>
        <v>3.1561302737122605E-2</v>
      </c>
      <c r="K349">
        <f t="shared" si="15"/>
        <v>1104.599975585938</v>
      </c>
      <c r="L349" s="5">
        <f t="shared" si="16"/>
        <v>-0.47198394542177213</v>
      </c>
    </row>
    <row r="350" spans="1:12" x14ac:dyDescent="0.3">
      <c r="A350" s="2">
        <v>45523</v>
      </c>
      <c r="B350">
        <v>601.654541015625</v>
      </c>
      <c r="C350">
        <f t="shared" si="17"/>
        <v>2.7393028745196047E-2</v>
      </c>
      <c r="K350">
        <f t="shared" si="15"/>
        <v>1104.599975585938</v>
      </c>
      <c r="L350" s="5">
        <f t="shared" si="16"/>
        <v>-0.4553190708731677</v>
      </c>
    </row>
    <row r="351" spans="1:12" x14ac:dyDescent="0.3">
      <c r="A351" s="2">
        <v>45524</v>
      </c>
      <c r="B351">
        <v>618.13568115234375</v>
      </c>
      <c r="C351">
        <f t="shared" si="17"/>
        <v>-2.530724406284451E-4</v>
      </c>
      <c r="K351">
        <f t="shared" si="15"/>
        <v>1104.599975585938</v>
      </c>
      <c r="L351" s="5">
        <f t="shared" si="16"/>
        <v>-0.44039861052463625</v>
      </c>
    </row>
    <row r="352" spans="1:12" x14ac:dyDescent="0.3">
      <c r="A352" s="2">
        <v>45525</v>
      </c>
      <c r="B352">
        <v>617.979248046875</v>
      </c>
      <c r="C352">
        <f t="shared" si="17"/>
        <v>-4.8906801915106534E-3</v>
      </c>
      <c r="K352">
        <f t="shared" si="15"/>
        <v>1104.599975585938</v>
      </c>
      <c r="L352" s="5">
        <f t="shared" si="16"/>
        <v>-0.44054023021404987</v>
      </c>
    </row>
    <row r="353" spans="1:12" x14ac:dyDescent="0.3">
      <c r="A353" s="2">
        <v>45526</v>
      </c>
      <c r="B353">
        <v>614.9569091796875</v>
      </c>
      <c r="C353">
        <f t="shared" si="17"/>
        <v>-5.4238746958697841E-3</v>
      </c>
      <c r="K353">
        <f t="shared" si="15"/>
        <v>1104.599975585938</v>
      </c>
      <c r="L353" s="5">
        <f t="shared" si="16"/>
        <v>-0.44327636902808909</v>
      </c>
    </row>
    <row r="354" spans="1:12" x14ac:dyDescent="0.3">
      <c r="A354" s="2">
        <v>45527</v>
      </c>
      <c r="B354">
        <v>611.6214599609375</v>
      </c>
      <c r="C354">
        <f t="shared" si="17"/>
        <v>1.1386409436526364E-2</v>
      </c>
      <c r="K354">
        <f t="shared" si="15"/>
        <v>1104.599975585938</v>
      </c>
      <c r="L354" s="5">
        <f t="shared" si="16"/>
        <v>-0.44629596824271045</v>
      </c>
    </row>
    <row r="355" spans="1:12" x14ac:dyDescent="0.3">
      <c r="A355" s="2">
        <v>45530</v>
      </c>
      <c r="B355">
        <v>618.58563232421875</v>
      </c>
      <c r="C355">
        <f t="shared" si="17"/>
        <v>2.1282977732306769E-2</v>
      </c>
      <c r="K355">
        <f t="shared" si="15"/>
        <v>1104.599975585938</v>
      </c>
      <c r="L355" s="5">
        <f t="shared" si="16"/>
        <v>-0.43999126743046646</v>
      </c>
    </row>
    <row r="356" spans="1:12" x14ac:dyDescent="0.3">
      <c r="A356" s="2">
        <v>45531</v>
      </c>
      <c r="B356">
        <v>631.7509765625</v>
      </c>
      <c r="C356">
        <f t="shared" si="17"/>
        <v>-8.5463578564660171E-3</v>
      </c>
      <c r="K356">
        <f t="shared" si="15"/>
        <v>1104.599975585938</v>
      </c>
      <c r="L356" s="5">
        <f t="shared" si="16"/>
        <v>-0.42807261404529184</v>
      </c>
    </row>
    <row r="357" spans="1:12" x14ac:dyDescent="0.3">
      <c r="A357" s="2">
        <v>45532</v>
      </c>
      <c r="B357">
        <v>626.351806640625</v>
      </c>
      <c r="C357">
        <f t="shared" si="17"/>
        <v>-4.2154917274629054E-4</v>
      </c>
      <c r="K357">
        <f t="shared" si="15"/>
        <v>1104.599975585938</v>
      </c>
      <c r="L357" s="5">
        <f t="shared" si="16"/>
        <v>-0.43296051015357384</v>
      </c>
    </row>
    <row r="358" spans="1:12" x14ac:dyDescent="0.3">
      <c r="A358" s="2">
        <v>45533</v>
      </c>
      <c r="B358">
        <v>626.0877685546875</v>
      </c>
      <c r="C358">
        <f t="shared" si="17"/>
        <v>1.2497779743107259E-3</v>
      </c>
      <c r="K358">
        <f t="shared" si="15"/>
        <v>1104.599975585938</v>
      </c>
      <c r="L358" s="5">
        <f t="shared" si="16"/>
        <v>-0.43319954518143311</v>
      </c>
    </row>
    <row r="359" spans="1:12" x14ac:dyDescent="0.3">
      <c r="A359" s="2">
        <v>45534</v>
      </c>
      <c r="B359">
        <v>626.8702392578125</v>
      </c>
      <c r="C359">
        <f t="shared" si="17"/>
        <v>6.4752524720460515E-3</v>
      </c>
      <c r="K359">
        <f t="shared" si="15"/>
        <v>1104.599975585938</v>
      </c>
      <c r="L359" s="5">
        <f t="shared" si="16"/>
        <v>-0.43249117045717156</v>
      </c>
    </row>
    <row r="360" spans="1:12" x14ac:dyDescent="0.3">
      <c r="A360" s="2">
        <v>45537</v>
      </c>
      <c r="B360">
        <v>630.92938232421875</v>
      </c>
      <c r="C360">
        <f t="shared" si="17"/>
        <v>1.4370986501401209E-2</v>
      </c>
      <c r="K360">
        <f t="shared" si="15"/>
        <v>1104.599975585938</v>
      </c>
      <c r="L360" s="5">
        <f t="shared" si="16"/>
        <v>-0.42881640750576644</v>
      </c>
    </row>
    <row r="361" spans="1:12" x14ac:dyDescent="0.3">
      <c r="A361" s="2">
        <v>45538</v>
      </c>
      <c r="B361">
        <v>639.9964599609375</v>
      </c>
      <c r="C361">
        <f t="shared" si="17"/>
        <v>-8.4516039078737885E-3</v>
      </c>
      <c r="K361">
        <f t="shared" si="15"/>
        <v>1104.599975585938</v>
      </c>
      <c r="L361" s="5">
        <f t="shared" si="16"/>
        <v>-0.42060793580820999</v>
      </c>
    </row>
    <row r="362" spans="1:12" x14ac:dyDescent="0.3">
      <c r="A362" s="2">
        <v>45539</v>
      </c>
      <c r="B362">
        <v>634.58746337890625</v>
      </c>
      <c r="C362">
        <f t="shared" si="17"/>
        <v>4.7792260154556844E-4</v>
      </c>
      <c r="K362">
        <f t="shared" si="15"/>
        <v>1104.599975585938</v>
      </c>
      <c r="L362" s="5">
        <f t="shared" si="16"/>
        <v>-0.42550472804212436</v>
      </c>
    </row>
    <row r="363" spans="1:12" x14ac:dyDescent="0.3">
      <c r="A363" s="2">
        <v>45540</v>
      </c>
      <c r="B363">
        <v>634.8907470703125</v>
      </c>
      <c r="C363">
        <f t="shared" si="17"/>
        <v>-3.0349786820867042E-3</v>
      </c>
      <c r="K363">
        <f t="shared" si="15"/>
        <v>1104.599975585938</v>
      </c>
      <c r="L363" s="5">
        <f t="shared" si="16"/>
        <v>-0.4252301637671746</v>
      </c>
    </row>
    <row r="364" spans="1:12" x14ac:dyDescent="0.3">
      <c r="A364" s="2">
        <v>45541</v>
      </c>
      <c r="B364">
        <v>632.9638671875</v>
      </c>
      <c r="C364">
        <f t="shared" si="17"/>
        <v>2.4739934892116854E-2</v>
      </c>
      <c r="K364">
        <f t="shared" si="15"/>
        <v>1104.599975585938</v>
      </c>
      <c r="L364" s="5">
        <f t="shared" si="16"/>
        <v>-0.42697457796724769</v>
      </c>
    </row>
    <row r="365" spans="1:12" x14ac:dyDescent="0.3">
      <c r="A365" s="2">
        <v>45544</v>
      </c>
      <c r="B365">
        <v>648.62335205078125</v>
      </c>
      <c r="C365">
        <f t="shared" si="17"/>
        <v>-1.6783781380430778E-2</v>
      </c>
      <c r="K365">
        <f t="shared" si="15"/>
        <v>1104.599975585938</v>
      </c>
      <c r="L365" s="5">
        <f t="shared" si="16"/>
        <v>-0.41279796633462962</v>
      </c>
    </row>
    <row r="366" spans="1:12" x14ac:dyDescent="0.3">
      <c r="A366" s="2">
        <v>45545</v>
      </c>
      <c r="B366">
        <v>637.73699951171875</v>
      </c>
      <c r="C366">
        <f t="shared" si="17"/>
        <v>6.088805641821079E-3</v>
      </c>
      <c r="K366">
        <f t="shared" si="15"/>
        <v>1104.599975585938</v>
      </c>
      <c r="L366" s="5">
        <f t="shared" si="16"/>
        <v>-0.42265343689381352</v>
      </c>
    </row>
    <row r="367" spans="1:12" x14ac:dyDescent="0.3">
      <c r="A367" s="2">
        <v>45546</v>
      </c>
      <c r="B367">
        <v>641.62005615234375</v>
      </c>
      <c r="C367">
        <f t="shared" si="17"/>
        <v>3.684577965456285E-2</v>
      </c>
      <c r="K367">
        <f t="shared" si="15"/>
        <v>1104.599975585938</v>
      </c>
      <c r="L367" s="5">
        <f t="shared" si="16"/>
        <v>-0.41913808588308654</v>
      </c>
    </row>
    <row r="368" spans="1:12" x14ac:dyDescent="0.3">
      <c r="A368" s="2">
        <v>45547</v>
      </c>
      <c r="B368">
        <v>665.26104736328125</v>
      </c>
      <c r="C368">
        <f t="shared" si="17"/>
        <v>-9.5566485379283729E-3</v>
      </c>
      <c r="K368">
        <f t="shared" si="15"/>
        <v>1104.599975585938</v>
      </c>
      <c r="L368" s="5">
        <f t="shared" si="16"/>
        <v>-0.39773577578580721</v>
      </c>
    </row>
    <row r="369" spans="1:12" x14ac:dyDescent="0.3">
      <c r="A369" s="2">
        <v>45548</v>
      </c>
      <c r="B369">
        <v>658.90338134765625</v>
      </c>
      <c r="C369">
        <f t="shared" si="17"/>
        <v>1.5052142689810812E-2</v>
      </c>
      <c r="K369">
        <f t="shared" si="15"/>
        <v>1104.599975585938</v>
      </c>
      <c r="L369" s="5">
        <f t="shared" si="16"/>
        <v>-0.40349140330359035</v>
      </c>
    </row>
    <row r="370" spans="1:12" x14ac:dyDescent="0.3">
      <c r="A370" s="2">
        <v>45551</v>
      </c>
      <c r="B370">
        <v>668.8212890625</v>
      </c>
      <c r="C370">
        <f t="shared" si="17"/>
        <v>1.6525874140169052E-3</v>
      </c>
      <c r="K370">
        <f t="shared" si="15"/>
        <v>1104.599975585938</v>
      </c>
      <c r="L370" s="5">
        <f t="shared" si="16"/>
        <v>-0.39451267079041719</v>
      </c>
    </row>
    <row r="371" spans="1:12" x14ac:dyDescent="0.3">
      <c r="A371" s="2">
        <v>45552</v>
      </c>
      <c r="B371">
        <v>669.92657470703125</v>
      </c>
      <c r="C371">
        <f t="shared" si="17"/>
        <v>4.3829958554408827E-2</v>
      </c>
      <c r="K371">
        <f t="shared" si="15"/>
        <v>1104.599975585938</v>
      </c>
      <c r="L371" s="5">
        <f t="shared" si="16"/>
        <v>-0.39351205005081868</v>
      </c>
    </row>
    <row r="372" spans="1:12" x14ac:dyDescent="0.3">
      <c r="A372" s="2">
        <v>45553</v>
      </c>
      <c r="B372">
        <v>699.2894287109375</v>
      </c>
      <c r="C372">
        <f t="shared" si="17"/>
        <v>-1.3805256067866045E-2</v>
      </c>
      <c r="K372">
        <f t="shared" si="15"/>
        <v>1104.599975585938</v>
      </c>
      <c r="L372" s="5">
        <f t="shared" si="16"/>
        <v>-0.36692970834079763</v>
      </c>
    </row>
    <row r="373" spans="1:12" x14ac:dyDescent="0.3">
      <c r="A373" s="2">
        <v>45554</v>
      </c>
      <c r="B373">
        <v>689.63555908203125</v>
      </c>
      <c r="C373">
        <f t="shared" si="17"/>
        <v>1.9145960758081984E-3</v>
      </c>
      <c r="K373">
        <f t="shared" si="15"/>
        <v>1104.599975585938</v>
      </c>
      <c r="L373" s="5">
        <f t="shared" si="16"/>
        <v>-0.37566940582611164</v>
      </c>
    </row>
    <row r="374" spans="1:12" x14ac:dyDescent="0.3">
      <c r="A374" s="2">
        <v>45555</v>
      </c>
      <c r="B374">
        <v>690.9559326171875</v>
      </c>
      <c r="C374">
        <f t="shared" si="17"/>
        <v>1.0078951492241327E-2</v>
      </c>
      <c r="K374">
        <f t="shared" si="15"/>
        <v>1104.599975585938</v>
      </c>
      <c r="L374" s="5">
        <f t="shared" si="16"/>
        <v>-0.37447406492049928</v>
      </c>
    </row>
    <row r="375" spans="1:12" x14ac:dyDescent="0.3">
      <c r="A375" s="2">
        <v>45558</v>
      </c>
      <c r="B375">
        <v>697.9200439453125</v>
      </c>
      <c r="C375">
        <f t="shared" si="17"/>
        <v>-1.4406996514650728E-2</v>
      </c>
      <c r="K375">
        <f t="shared" si="15"/>
        <v>1104.599975585938</v>
      </c>
      <c r="L375" s="5">
        <f t="shared" si="16"/>
        <v>-0.36816941936369407</v>
      </c>
    </row>
    <row r="376" spans="1:12" x14ac:dyDescent="0.3">
      <c r="A376" s="2">
        <v>45559</v>
      </c>
      <c r="B376">
        <v>687.8651123046875</v>
      </c>
      <c r="C376">
        <f t="shared" si="17"/>
        <v>2.2040851529310339E-3</v>
      </c>
      <c r="K376">
        <f t="shared" si="15"/>
        <v>1104.599975585938</v>
      </c>
      <c r="L376" s="5">
        <f t="shared" si="16"/>
        <v>-0.37727220033677111</v>
      </c>
    </row>
    <row r="377" spans="1:12" x14ac:dyDescent="0.3">
      <c r="A377" s="2">
        <v>45560</v>
      </c>
      <c r="B377">
        <v>689.3812255859375</v>
      </c>
      <c r="C377">
        <f t="shared" si="17"/>
        <v>2.962499099144723E-2</v>
      </c>
      <c r="K377">
        <f t="shared" si="15"/>
        <v>1104.599975585938</v>
      </c>
      <c r="L377" s="5">
        <f t="shared" si="16"/>
        <v>-0.37589965523921598</v>
      </c>
    </row>
    <row r="378" spans="1:12" x14ac:dyDescent="0.3">
      <c r="A378" s="2">
        <v>45561</v>
      </c>
      <c r="B378">
        <v>709.80413818359375</v>
      </c>
      <c r="C378">
        <f t="shared" si="17"/>
        <v>-2.0393947046936345E-3</v>
      </c>
      <c r="K378">
        <f t="shared" si="15"/>
        <v>1104.599975585938</v>
      </c>
      <c r="L378" s="5">
        <f t="shared" si="16"/>
        <v>-0.35741068814791865</v>
      </c>
    </row>
    <row r="379" spans="1:12" x14ac:dyDescent="0.3">
      <c r="A379" s="2">
        <v>45562</v>
      </c>
      <c r="B379">
        <v>708.3565673828125</v>
      </c>
      <c r="C379">
        <f t="shared" si="17"/>
        <v>-1.2178828463289722E-2</v>
      </c>
      <c r="K379">
        <f t="shared" si="15"/>
        <v>1104.599975585938</v>
      </c>
      <c r="L379" s="5">
        <f t="shared" si="16"/>
        <v>-0.35872118138780251</v>
      </c>
    </row>
    <row r="380" spans="1:12" x14ac:dyDescent="0.3">
      <c r="A380" s="2">
        <v>45565</v>
      </c>
      <c r="B380">
        <v>699.7296142578125</v>
      </c>
      <c r="C380">
        <f t="shared" si="17"/>
        <v>-1.8312388731347646E-3</v>
      </c>
      <c r="K380">
        <f t="shared" si="15"/>
        <v>1104.599975585938</v>
      </c>
      <c r="L380" s="5">
        <f t="shared" si="16"/>
        <v>-0.36653120611682155</v>
      </c>
    </row>
    <row r="381" spans="1:12" x14ac:dyDescent="0.3">
      <c r="A381" s="2">
        <v>45566</v>
      </c>
      <c r="B381">
        <v>698.4482421875</v>
      </c>
      <c r="C381">
        <f t="shared" si="17"/>
        <v>-4.5064935382705243E-2</v>
      </c>
      <c r="K381">
        <f t="shared" si="15"/>
        <v>1104.599975585938</v>
      </c>
      <c r="L381" s="5">
        <f t="shared" si="16"/>
        <v>-0.3676912387970982</v>
      </c>
    </row>
    <row r="382" spans="1:12" x14ac:dyDescent="0.3">
      <c r="A382" s="2">
        <v>45568</v>
      </c>
      <c r="B382">
        <v>666.97271728515625</v>
      </c>
      <c r="C382">
        <f t="shared" si="17"/>
        <v>-2.1469422469415057E-2</v>
      </c>
      <c r="K382">
        <f t="shared" si="15"/>
        <v>1104.599975585938</v>
      </c>
      <c r="L382" s="5">
        <f t="shared" si="16"/>
        <v>-0.39618619226262541</v>
      </c>
    </row>
    <row r="383" spans="1:12" x14ac:dyDescent="0.3">
      <c r="A383" s="2">
        <v>45569</v>
      </c>
      <c r="B383">
        <v>652.6531982421875</v>
      </c>
      <c r="C383">
        <f t="shared" si="17"/>
        <v>-1.10752103932734E-2</v>
      </c>
      <c r="K383">
        <f t="shared" si="15"/>
        <v>1104.599975585938</v>
      </c>
      <c r="L383" s="5">
        <f t="shared" si="16"/>
        <v>-0.40914972599380528</v>
      </c>
    </row>
    <row r="384" spans="1:12" x14ac:dyDescent="0.3">
      <c r="A384" s="2">
        <v>45572</v>
      </c>
      <c r="B384">
        <v>645.4249267578125</v>
      </c>
      <c r="C384">
        <f t="shared" si="17"/>
        <v>9.07765955575612E-3</v>
      </c>
      <c r="K384">
        <f t="shared" si="15"/>
        <v>1104.599975585938</v>
      </c>
      <c r="L384" s="5">
        <f t="shared" si="16"/>
        <v>-0.4156935170893471</v>
      </c>
    </row>
    <row r="385" spans="1:12" x14ac:dyDescent="0.3">
      <c r="A385" s="2">
        <v>45573</v>
      </c>
      <c r="B385">
        <v>651.28387451171875</v>
      </c>
      <c r="C385">
        <f t="shared" si="17"/>
        <v>1.7616383654768437E-2</v>
      </c>
      <c r="K385">
        <f t="shared" si="15"/>
        <v>1104.599975585938</v>
      </c>
      <c r="L385" s="5">
        <f t="shared" si="16"/>
        <v>-0.41038938176126294</v>
      </c>
    </row>
    <row r="386" spans="1:12" x14ac:dyDescent="0.3">
      <c r="A386" s="2">
        <v>45574</v>
      </c>
      <c r="B386">
        <v>662.75714111328125</v>
      </c>
      <c r="C386">
        <f t="shared" si="17"/>
        <v>-1.4846831727035489E-2</v>
      </c>
      <c r="K386">
        <f t="shared" ref="K386:K449" si="18">MAX(B386:B1125)</f>
        <v>1104.599975585938</v>
      </c>
      <c r="L386" s="5">
        <f t="shared" ref="L386:L449" si="19">B386/K386-1</f>
        <v>-0.40000257490344415</v>
      </c>
    </row>
    <row r="387" spans="1:12" x14ac:dyDescent="0.3">
      <c r="A387" s="2">
        <v>45575</v>
      </c>
      <c r="B387">
        <v>652.91729736328125</v>
      </c>
      <c r="C387">
        <f t="shared" ref="C387:C450" si="20">(B388-B387)/B387</f>
        <v>1.0635297540139905E-3</v>
      </c>
      <c r="K387">
        <f t="shared" si="18"/>
        <v>1104.599975585938</v>
      </c>
      <c r="L387" s="5">
        <f t="shared" si="19"/>
        <v>-0.40891063571050723</v>
      </c>
    </row>
    <row r="388" spans="1:12" x14ac:dyDescent="0.3">
      <c r="A388" s="2">
        <v>45576</v>
      </c>
      <c r="B388">
        <v>653.6116943359375</v>
      </c>
      <c r="C388">
        <f t="shared" si="20"/>
        <v>1.6191862859371204E-2</v>
      </c>
      <c r="K388">
        <f t="shared" si="18"/>
        <v>1104.599975585938</v>
      </c>
      <c r="L388" s="5">
        <f t="shared" si="19"/>
        <v>-0.40828199458430414</v>
      </c>
    </row>
    <row r="389" spans="1:12" x14ac:dyDescent="0.3">
      <c r="A389" s="2">
        <v>45579</v>
      </c>
      <c r="B389">
        <v>664.19488525390625</v>
      </c>
      <c r="C389">
        <f t="shared" si="20"/>
        <v>1.7229102029200246E-3</v>
      </c>
      <c r="K389">
        <f t="shared" si="18"/>
        <v>1104.599975585938</v>
      </c>
      <c r="L389" s="5">
        <f t="shared" si="19"/>
        <v>-0.39870097778919256</v>
      </c>
    </row>
    <row r="390" spans="1:12" x14ac:dyDescent="0.3">
      <c r="A390" s="2">
        <v>45580</v>
      </c>
      <c r="B390">
        <v>665.3392333984375</v>
      </c>
      <c r="C390">
        <f t="shared" si="20"/>
        <v>-3.1606512405652439E-3</v>
      </c>
      <c r="K390">
        <f t="shared" si="18"/>
        <v>1104.599975585938</v>
      </c>
      <c r="L390" s="5">
        <f t="shared" si="19"/>
        <v>-0.39766499356881979</v>
      </c>
    </row>
    <row r="391" spans="1:12" x14ac:dyDescent="0.3">
      <c r="A391" s="2">
        <v>45581</v>
      </c>
      <c r="B391">
        <v>663.236328125</v>
      </c>
      <c r="C391">
        <f t="shared" si="20"/>
        <v>-3.8874559378285337E-2</v>
      </c>
      <c r="K391">
        <f t="shared" si="18"/>
        <v>1104.599975585938</v>
      </c>
      <c r="L391" s="5">
        <f t="shared" si="19"/>
        <v>-0.39956876445413236</v>
      </c>
    </row>
    <row r="392" spans="1:12" x14ac:dyDescent="0.3">
      <c r="A392" s="2">
        <v>45582</v>
      </c>
      <c r="B392">
        <v>637.45330810546875</v>
      </c>
      <c r="C392">
        <f t="shared" si="20"/>
        <v>2.6407130960399882E-2</v>
      </c>
      <c r="K392">
        <f t="shared" si="18"/>
        <v>1104.599975585938</v>
      </c>
      <c r="L392" s="5">
        <f t="shared" si="19"/>
        <v>-0.42291026417293742</v>
      </c>
    </row>
    <row r="393" spans="1:12" x14ac:dyDescent="0.3">
      <c r="A393" s="2">
        <v>45583</v>
      </c>
      <c r="B393">
        <v>654.28662109375</v>
      </c>
      <c r="C393">
        <f t="shared" si="20"/>
        <v>-9.3731879380199237E-3</v>
      </c>
      <c r="K393">
        <f t="shared" si="18"/>
        <v>1104.599975585938</v>
      </c>
      <c r="L393" s="5">
        <f t="shared" si="19"/>
        <v>-0.40767097994304957</v>
      </c>
    </row>
    <row r="394" spans="1:12" x14ac:dyDescent="0.3">
      <c r="A394" s="2">
        <v>45586</v>
      </c>
      <c r="B394">
        <v>648.15386962890625</v>
      </c>
      <c r="C394">
        <f t="shared" si="20"/>
        <v>-1.7746655563667578E-2</v>
      </c>
      <c r="K394">
        <f t="shared" si="18"/>
        <v>1104.599975585938</v>
      </c>
      <c r="L394" s="5">
        <f t="shared" si="19"/>
        <v>-0.41322299116918659</v>
      </c>
    </row>
    <row r="395" spans="1:12" x14ac:dyDescent="0.3">
      <c r="A395" s="2">
        <v>45587</v>
      </c>
      <c r="B395">
        <v>636.65130615234375</v>
      </c>
      <c r="C395">
        <f t="shared" si="20"/>
        <v>-1.7437429865797709E-2</v>
      </c>
      <c r="K395">
        <f t="shared" si="18"/>
        <v>1104.599975585938</v>
      </c>
      <c r="L395" s="5">
        <f t="shared" si="19"/>
        <v>-0.42363632063758616</v>
      </c>
    </row>
    <row r="396" spans="1:12" x14ac:dyDescent="0.3">
      <c r="A396" s="2">
        <v>45588</v>
      </c>
      <c r="B396">
        <v>625.54974365234375</v>
      </c>
      <c r="C396">
        <f t="shared" si="20"/>
        <v>1.4807385730149272E-2</v>
      </c>
      <c r="K396">
        <f t="shared" si="18"/>
        <v>1104.599975585938</v>
      </c>
      <c r="L396" s="5">
        <f t="shared" si="19"/>
        <v>-0.43368662187366136</v>
      </c>
    </row>
    <row r="397" spans="1:12" x14ac:dyDescent="0.3">
      <c r="A397" s="2">
        <v>45589</v>
      </c>
      <c r="B397">
        <v>634.8125</v>
      </c>
      <c r="C397">
        <f t="shared" si="20"/>
        <v>-4.6978550045535097E-2</v>
      </c>
      <c r="K397">
        <f t="shared" si="18"/>
        <v>1104.599975585938</v>
      </c>
      <c r="L397" s="5">
        <f t="shared" si="19"/>
        <v>-0.4253010012396008</v>
      </c>
    </row>
    <row r="398" spans="1:12" x14ac:dyDescent="0.3">
      <c r="A398" s="2">
        <v>45590</v>
      </c>
      <c r="B398">
        <v>604.98992919921875</v>
      </c>
      <c r="C398">
        <f t="shared" si="20"/>
        <v>5.3885759453922988E-2</v>
      </c>
      <c r="K398">
        <f t="shared" si="18"/>
        <v>1104.599975585938</v>
      </c>
      <c r="L398" s="5">
        <f t="shared" si="19"/>
        <v>-0.45229952691398512</v>
      </c>
    </row>
    <row r="399" spans="1:12" x14ac:dyDescent="0.3">
      <c r="A399" s="2">
        <v>45593</v>
      </c>
      <c r="B399">
        <v>637.59027099609375</v>
      </c>
      <c r="C399">
        <f t="shared" si="20"/>
        <v>1.9942986397357373E-3</v>
      </c>
      <c r="K399">
        <f t="shared" si="18"/>
        <v>1104.599975585938</v>
      </c>
      <c r="L399" s="5">
        <f t="shared" si="19"/>
        <v>-0.42278627096847221</v>
      </c>
    </row>
    <row r="400" spans="1:12" x14ac:dyDescent="0.3">
      <c r="A400" s="2">
        <v>45594</v>
      </c>
      <c r="B400">
        <v>638.86181640625</v>
      </c>
      <c r="C400">
        <f t="shared" si="20"/>
        <v>-2.4496346270107744E-2</v>
      </c>
      <c r="K400">
        <f t="shared" si="18"/>
        <v>1104.599975585938</v>
      </c>
      <c r="L400" s="5">
        <f t="shared" si="19"/>
        <v>-0.42163513441382794</v>
      </c>
    </row>
    <row r="401" spans="1:12" x14ac:dyDescent="0.3">
      <c r="A401" s="2">
        <v>45595</v>
      </c>
      <c r="B401">
        <v>623.2120361328125</v>
      </c>
      <c r="C401">
        <f t="shared" si="20"/>
        <v>-1.4721508973032815E-2</v>
      </c>
      <c r="K401">
        <f t="shared" si="18"/>
        <v>1104.599975585938</v>
      </c>
      <c r="L401" s="5">
        <f t="shared" si="19"/>
        <v>-0.43580296043169109</v>
      </c>
    </row>
    <row r="402" spans="1:12" x14ac:dyDescent="0.3">
      <c r="A402" s="2">
        <v>45596</v>
      </c>
      <c r="B402">
        <v>614.03741455078125</v>
      </c>
      <c r="C402">
        <f t="shared" si="20"/>
        <v>3.8390165628784333E-3</v>
      </c>
      <c r="K402">
        <f t="shared" si="18"/>
        <v>1104.599975585938</v>
      </c>
      <c r="L402" s="5">
        <f t="shared" si="19"/>
        <v>-0.44410879221225452</v>
      </c>
    </row>
    <row r="403" spans="1:12" x14ac:dyDescent="0.3">
      <c r="A403" s="2">
        <v>45597</v>
      </c>
      <c r="B403">
        <v>616.39471435546875</v>
      </c>
      <c r="C403">
        <f t="shared" si="20"/>
        <v>-9.6801558093163778E-4</v>
      </c>
      <c r="K403">
        <f t="shared" si="18"/>
        <v>1104.599975585938</v>
      </c>
      <c r="L403" s="5">
        <f t="shared" si="19"/>
        <v>-0.44197471665839883</v>
      </c>
    </row>
    <row r="404" spans="1:12" x14ac:dyDescent="0.3">
      <c r="A404" s="2">
        <v>45600</v>
      </c>
      <c r="B404">
        <v>615.79803466796875</v>
      </c>
      <c r="C404">
        <f t="shared" si="20"/>
        <v>4.5744796310126581E-3</v>
      </c>
      <c r="K404">
        <f t="shared" si="18"/>
        <v>1104.599975585938</v>
      </c>
      <c r="L404" s="5">
        <f t="shared" si="19"/>
        <v>-0.44251489382722731</v>
      </c>
    </row>
    <row r="405" spans="1:12" x14ac:dyDescent="0.3">
      <c r="A405" s="2">
        <v>45601</v>
      </c>
      <c r="B405">
        <v>618.614990234375</v>
      </c>
      <c r="C405">
        <f t="shared" si="20"/>
        <v>7.7159354925534175E-3</v>
      </c>
      <c r="K405">
        <f t="shared" si="18"/>
        <v>1104.599975585938</v>
      </c>
      <c r="L405" s="5">
        <f t="shared" si="19"/>
        <v>-0.43996468956444701</v>
      </c>
    </row>
    <row r="406" spans="1:12" x14ac:dyDescent="0.3">
      <c r="A406" s="2">
        <v>45602</v>
      </c>
      <c r="B406">
        <v>623.38818359375</v>
      </c>
      <c r="C406">
        <f t="shared" si="20"/>
        <v>-2.9876462658778614E-2</v>
      </c>
      <c r="K406">
        <f t="shared" si="18"/>
        <v>1104.599975585938</v>
      </c>
      <c r="L406" s="5">
        <f t="shared" si="19"/>
        <v>-0.43564349323557416</v>
      </c>
    </row>
    <row r="407" spans="1:12" x14ac:dyDescent="0.3">
      <c r="A407" s="2">
        <v>45603</v>
      </c>
      <c r="B407">
        <v>604.7635498046875</v>
      </c>
      <c r="C407">
        <f t="shared" si="20"/>
        <v>-2.0259483676855081E-2</v>
      </c>
      <c r="K407">
        <f t="shared" si="18"/>
        <v>1104.599975585938</v>
      </c>
      <c r="L407" s="5">
        <f t="shared" si="19"/>
        <v>-0.45250446933616029</v>
      </c>
    </row>
    <row r="408" spans="1:12" x14ac:dyDescent="0.3">
      <c r="A408" s="2">
        <v>45604</v>
      </c>
      <c r="B408">
        <v>592.5113525390625</v>
      </c>
      <c r="C408">
        <f t="shared" si="20"/>
        <v>-2.8258993422338912E-3</v>
      </c>
      <c r="K408">
        <f t="shared" si="18"/>
        <v>1104.599975585938</v>
      </c>
      <c r="L408" s="5">
        <f t="shared" si="19"/>
        <v>-0.46359644610279549</v>
      </c>
    </row>
    <row r="409" spans="1:12" x14ac:dyDescent="0.3">
      <c r="A409" s="2">
        <v>45607</v>
      </c>
      <c r="B409">
        <v>590.83697509765625</v>
      </c>
      <c r="C409">
        <f t="shared" si="20"/>
        <v>-2.2754213646660585E-2</v>
      </c>
      <c r="K409">
        <f t="shared" si="18"/>
        <v>1104.599975585938</v>
      </c>
      <c r="L409" s="5">
        <f t="shared" si="19"/>
        <v>-0.46511226855292553</v>
      </c>
    </row>
    <row r="410" spans="1:12" x14ac:dyDescent="0.3">
      <c r="A410" s="2">
        <v>45608</v>
      </c>
      <c r="B410">
        <v>577.3929443359375</v>
      </c>
      <c r="C410">
        <f t="shared" si="20"/>
        <v>-2.6388461064401018E-2</v>
      </c>
      <c r="K410">
        <f t="shared" si="18"/>
        <v>1104.599975585938</v>
      </c>
      <c r="L410" s="5">
        <f t="shared" si="19"/>
        <v>-0.47728321827124986</v>
      </c>
    </row>
    <row r="411" spans="1:12" x14ac:dyDescent="0.3">
      <c r="A411" s="2">
        <v>45609</v>
      </c>
      <c r="B411">
        <v>562.15643310546875</v>
      </c>
      <c r="C411">
        <f t="shared" si="20"/>
        <v>-1.095015607948909E-2</v>
      </c>
      <c r="K411">
        <f t="shared" si="18"/>
        <v>1104.599975585938</v>
      </c>
      <c r="L411" s="5">
        <f t="shared" si="19"/>
        <v>-0.49107690971360796</v>
      </c>
    </row>
    <row r="412" spans="1:12" x14ac:dyDescent="0.3">
      <c r="A412" s="2">
        <v>45610</v>
      </c>
      <c r="B412">
        <v>556.000732421875</v>
      </c>
      <c r="C412">
        <f t="shared" si="20"/>
        <v>9.0519628046100368E-3</v>
      </c>
      <c r="K412">
        <f t="shared" si="18"/>
        <v>1104.599975585938</v>
      </c>
      <c r="L412" s="5">
        <f t="shared" si="19"/>
        <v>-0.49664969698469985</v>
      </c>
    </row>
    <row r="413" spans="1:12" x14ac:dyDescent="0.3">
      <c r="A413" s="2">
        <v>45614</v>
      </c>
      <c r="B413">
        <v>561.03363037109375</v>
      </c>
      <c r="C413">
        <f t="shared" si="20"/>
        <v>-8.2158622058915529E-3</v>
      </c>
      <c r="K413">
        <f t="shared" si="18"/>
        <v>1104.599975585938</v>
      </c>
      <c r="L413" s="5">
        <f t="shared" si="19"/>
        <v>-0.49209338876411612</v>
      </c>
    </row>
    <row r="414" spans="1:12" x14ac:dyDescent="0.3">
      <c r="A414" s="2">
        <v>45615</v>
      </c>
      <c r="B414">
        <v>556.42425537109375</v>
      </c>
      <c r="C414">
        <f t="shared" si="20"/>
        <v>-7.9831469578909783E-3</v>
      </c>
      <c r="K414">
        <f t="shared" si="18"/>
        <v>1104.599975585938</v>
      </c>
      <c r="L414" s="5">
        <f t="shared" si="19"/>
        <v>-0.49626627949549151</v>
      </c>
    </row>
    <row r="415" spans="1:12" x14ac:dyDescent="0.3">
      <c r="A415" s="2">
        <v>45617</v>
      </c>
      <c r="B415">
        <v>551.98223876953125</v>
      </c>
      <c r="C415">
        <f t="shared" si="20"/>
        <v>1.7076018968833141E-2</v>
      </c>
      <c r="K415">
        <f t="shared" si="18"/>
        <v>1104.599975585938</v>
      </c>
      <c r="L415" s="5">
        <f t="shared" si="19"/>
        <v>-0.5002876598139242</v>
      </c>
    </row>
    <row r="416" spans="1:12" x14ac:dyDescent="0.3">
      <c r="A416" s="2">
        <v>45618</v>
      </c>
      <c r="B416">
        <v>561.40789794921875</v>
      </c>
      <c r="C416">
        <f t="shared" si="20"/>
        <v>3.4297491864358612E-2</v>
      </c>
      <c r="K416">
        <f t="shared" si="18"/>
        <v>1104.599975585938</v>
      </c>
      <c r="L416" s="5">
        <f t="shared" si="19"/>
        <v>-0.49175456241394677</v>
      </c>
    </row>
    <row r="417" spans="1:12" x14ac:dyDescent="0.3">
      <c r="A417" s="2">
        <v>45621</v>
      </c>
      <c r="B417">
        <v>580.66278076171875</v>
      </c>
      <c r="C417">
        <f t="shared" si="20"/>
        <v>3.3431897711681376E-2</v>
      </c>
      <c r="K417">
        <f t="shared" si="18"/>
        <v>1104.599975585938</v>
      </c>
      <c r="L417" s="5">
        <f t="shared" si="19"/>
        <v>-0.47432301865324178</v>
      </c>
    </row>
    <row r="418" spans="1:12" x14ac:dyDescent="0.3">
      <c r="A418" s="2">
        <v>45622</v>
      </c>
      <c r="B418">
        <v>600.075439453125</v>
      </c>
      <c r="C418">
        <f t="shared" si="20"/>
        <v>-8.9779564662483442E-3</v>
      </c>
      <c r="K418">
        <f t="shared" si="18"/>
        <v>1104.599975585938</v>
      </c>
      <c r="L418" s="5">
        <f t="shared" si="19"/>
        <v>-0.45674863958347145</v>
      </c>
    </row>
    <row r="419" spans="1:12" x14ac:dyDescent="0.3">
      <c r="A419" s="2">
        <v>45623</v>
      </c>
      <c r="B419">
        <v>594.68798828125</v>
      </c>
      <c r="C419">
        <f t="shared" si="20"/>
        <v>8.1814625086520393E-3</v>
      </c>
      <c r="K419">
        <f t="shared" si="18"/>
        <v>1104.599975585938</v>
      </c>
      <c r="L419" s="5">
        <f t="shared" si="19"/>
        <v>-0.46162592664752122</v>
      </c>
    </row>
    <row r="420" spans="1:12" x14ac:dyDescent="0.3">
      <c r="A420" s="2">
        <v>45624</v>
      </c>
      <c r="B420">
        <v>599.55340576171875</v>
      </c>
      <c r="C420">
        <f t="shared" si="20"/>
        <v>-7.901592605905906E-3</v>
      </c>
      <c r="K420">
        <f t="shared" si="18"/>
        <v>1104.599975585938</v>
      </c>
      <c r="L420" s="5">
        <f t="shared" si="19"/>
        <v>-0.45722123935075765</v>
      </c>
    </row>
    <row r="421" spans="1:12" x14ac:dyDescent="0.3">
      <c r="A421" s="2">
        <v>45625</v>
      </c>
      <c r="B421">
        <v>594.81597900390625</v>
      </c>
      <c r="C421">
        <f t="shared" si="20"/>
        <v>2.4688303739226401E-2</v>
      </c>
      <c r="K421">
        <f t="shared" si="18"/>
        <v>1104.599975585938</v>
      </c>
      <c r="L421" s="5">
        <f t="shared" si="19"/>
        <v>-0.46151005599254646</v>
      </c>
    </row>
    <row r="422" spans="1:12" x14ac:dyDescent="0.3">
      <c r="A422" s="2">
        <v>45628</v>
      </c>
      <c r="B422">
        <v>609.5009765625</v>
      </c>
      <c r="C422">
        <f t="shared" si="20"/>
        <v>1.9827431508550316E-2</v>
      </c>
      <c r="K422">
        <f t="shared" si="18"/>
        <v>1104.599975585938</v>
      </c>
      <c r="L422" s="5">
        <f t="shared" si="19"/>
        <v>-0.44821565269437147</v>
      </c>
    </row>
    <row r="423" spans="1:12" x14ac:dyDescent="0.3">
      <c r="A423" s="2">
        <v>45629</v>
      </c>
      <c r="B423">
        <v>621.5858154296875</v>
      </c>
      <c r="C423">
        <f t="shared" si="20"/>
        <v>-7.3679834235101868E-3</v>
      </c>
      <c r="K423">
        <f t="shared" si="18"/>
        <v>1104.599975585938</v>
      </c>
      <c r="L423" s="5">
        <f t="shared" si="19"/>
        <v>-0.43727518634067897</v>
      </c>
    </row>
    <row r="424" spans="1:12" x14ac:dyDescent="0.3">
      <c r="A424" s="2">
        <v>45630</v>
      </c>
      <c r="B424">
        <v>617.0059814453125</v>
      </c>
      <c r="C424">
        <f t="shared" si="20"/>
        <v>-1.9155158963880398E-3</v>
      </c>
      <c r="K424">
        <f t="shared" si="18"/>
        <v>1104.599975585938</v>
      </c>
      <c r="L424" s="5">
        <f t="shared" si="19"/>
        <v>-0.44142133343971868</v>
      </c>
    </row>
    <row r="425" spans="1:12" x14ac:dyDescent="0.3">
      <c r="A425" s="2">
        <v>45631</v>
      </c>
      <c r="B425">
        <v>615.8240966796875</v>
      </c>
      <c r="C425">
        <f t="shared" si="20"/>
        <v>1.5956927001122536E-5</v>
      </c>
      <c r="K425">
        <f t="shared" si="18"/>
        <v>1104.599975585938</v>
      </c>
      <c r="L425" s="5">
        <f t="shared" si="19"/>
        <v>-0.4424912997548982</v>
      </c>
    </row>
    <row r="426" spans="1:12" x14ac:dyDescent="0.3">
      <c r="A426" s="2">
        <v>45632</v>
      </c>
      <c r="B426">
        <v>615.83392333984375</v>
      </c>
      <c r="C426">
        <f t="shared" si="20"/>
        <v>-6.2213182530555791E-3</v>
      </c>
      <c r="K426">
        <f t="shared" si="18"/>
        <v>1104.599975585938</v>
      </c>
      <c r="L426" s="5">
        <f t="shared" si="19"/>
        <v>-0.44248240362926583</v>
      </c>
    </row>
    <row r="427" spans="1:12" x14ac:dyDescent="0.3">
      <c r="A427" s="2">
        <v>45635</v>
      </c>
      <c r="B427">
        <v>612.00262451171875</v>
      </c>
      <c r="C427">
        <f t="shared" si="20"/>
        <v>2.5620394271456282E-2</v>
      </c>
      <c r="K427">
        <f t="shared" si="18"/>
        <v>1104.599975585938</v>
      </c>
      <c r="L427" s="5">
        <f t="shared" si="19"/>
        <v>-0.44595089802796672</v>
      </c>
    </row>
    <row r="428" spans="1:12" x14ac:dyDescent="0.3">
      <c r="A428" s="2">
        <v>45636</v>
      </c>
      <c r="B428">
        <v>627.682373046875</v>
      </c>
      <c r="C428">
        <f t="shared" si="20"/>
        <v>1.9378647188803368E-2</v>
      </c>
      <c r="K428">
        <f t="shared" si="18"/>
        <v>1104.599975585938</v>
      </c>
      <c r="L428" s="5">
        <f t="shared" si="19"/>
        <v>-0.43175594158969699</v>
      </c>
    </row>
    <row r="429" spans="1:12" x14ac:dyDescent="0.3">
      <c r="A429" s="2">
        <v>45637</v>
      </c>
      <c r="B429">
        <v>639.84600830078125</v>
      </c>
      <c r="C429">
        <f t="shared" si="20"/>
        <v>-4.6168945717815978E-5</v>
      </c>
      <c r="K429">
        <f t="shared" si="18"/>
        <v>1104.599975585938</v>
      </c>
      <c r="L429" s="5">
        <f t="shared" si="19"/>
        <v>-0.42074414046462993</v>
      </c>
    </row>
    <row r="430" spans="1:12" x14ac:dyDescent="0.3">
      <c r="A430" s="2">
        <v>45638</v>
      </c>
      <c r="B430">
        <v>639.81646728515625</v>
      </c>
      <c r="C430">
        <f t="shared" si="20"/>
        <v>-2.6338500964393611E-2</v>
      </c>
      <c r="K430">
        <f t="shared" si="18"/>
        <v>1104.599975585938</v>
      </c>
      <c r="L430" s="5">
        <f t="shared" si="19"/>
        <v>-0.42077088409696561</v>
      </c>
    </row>
    <row r="431" spans="1:12" x14ac:dyDescent="0.3">
      <c r="A431" s="2">
        <v>45639</v>
      </c>
      <c r="B431">
        <v>622.96466064453125</v>
      </c>
      <c r="C431">
        <f t="shared" si="20"/>
        <v>-7.9365880274366134E-3</v>
      </c>
      <c r="K431">
        <f t="shared" si="18"/>
        <v>1104.599975585938</v>
      </c>
      <c r="L431" s="5">
        <f t="shared" si="19"/>
        <v>-0.4360269107247825</v>
      </c>
    </row>
    <row r="432" spans="1:12" x14ac:dyDescent="0.3">
      <c r="A432" s="2">
        <v>45642</v>
      </c>
      <c r="B432">
        <v>618.02044677734375</v>
      </c>
      <c r="C432">
        <f t="shared" si="20"/>
        <v>-5.1172236203770483E-2</v>
      </c>
      <c r="K432">
        <f t="shared" si="18"/>
        <v>1104.599975585938</v>
      </c>
      <c r="L432" s="5">
        <f t="shared" si="19"/>
        <v>-0.44050293279292063</v>
      </c>
    </row>
    <row r="433" spans="1:12" x14ac:dyDescent="0.3">
      <c r="A433" s="2">
        <v>45643</v>
      </c>
      <c r="B433">
        <v>586.39495849609375</v>
      </c>
      <c r="C433">
        <f t="shared" si="20"/>
        <v>-1.5284213002452772E-2</v>
      </c>
      <c r="K433">
        <f t="shared" si="18"/>
        <v>1104.599975585938</v>
      </c>
      <c r="L433" s="5">
        <f t="shared" si="19"/>
        <v>-0.46913364887135811</v>
      </c>
    </row>
    <row r="434" spans="1:12" x14ac:dyDescent="0.3">
      <c r="A434" s="2">
        <v>45644</v>
      </c>
      <c r="B434">
        <v>577.432373046875</v>
      </c>
      <c r="C434">
        <f t="shared" si="20"/>
        <v>4.7929043368258343E-3</v>
      </c>
      <c r="K434">
        <f t="shared" si="18"/>
        <v>1104.599975585938</v>
      </c>
      <c r="L434" s="5">
        <f t="shared" si="19"/>
        <v>-0.47724752325784325</v>
      </c>
    </row>
    <row r="435" spans="1:12" x14ac:dyDescent="0.3">
      <c r="A435" s="2">
        <v>45645</v>
      </c>
      <c r="B435">
        <v>580.199951171875</v>
      </c>
      <c r="C435">
        <f t="shared" si="20"/>
        <v>-2.3154333328143626E-2</v>
      </c>
      <c r="K435">
        <f t="shared" si="18"/>
        <v>1104.599975585938</v>
      </c>
      <c r="L435" s="5">
        <f t="shared" si="19"/>
        <v>-0.47474202064497928</v>
      </c>
    </row>
    <row r="436" spans="1:12" x14ac:dyDescent="0.3">
      <c r="A436" s="2">
        <v>45646</v>
      </c>
      <c r="B436">
        <v>566.76580810546875</v>
      </c>
      <c r="C436">
        <f t="shared" si="20"/>
        <v>1.9636241691831187E-3</v>
      </c>
      <c r="K436">
        <f t="shared" si="18"/>
        <v>1104.599975585938</v>
      </c>
      <c r="L436" s="5">
        <f t="shared" si="19"/>
        <v>-0.48690401898223257</v>
      </c>
    </row>
    <row r="437" spans="1:12" x14ac:dyDescent="0.3">
      <c r="A437" s="2">
        <v>45649</v>
      </c>
      <c r="B437">
        <v>567.87872314453125</v>
      </c>
      <c r="C437">
        <f t="shared" si="20"/>
        <v>1.7304152727956684E-5</v>
      </c>
      <c r="K437">
        <f t="shared" si="18"/>
        <v>1104.599975585938</v>
      </c>
      <c r="L437" s="5">
        <f t="shared" si="19"/>
        <v>-0.48589649131279544</v>
      </c>
    </row>
    <row r="438" spans="1:12" x14ac:dyDescent="0.3">
      <c r="A438" s="2">
        <v>45650</v>
      </c>
      <c r="B438">
        <v>567.8885498046875</v>
      </c>
      <c r="C438">
        <f t="shared" si="20"/>
        <v>1.5244802234153164E-2</v>
      </c>
      <c r="K438">
        <f t="shared" si="18"/>
        <v>1104.599975585938</v>
      </c>
      <c r="L438" s="5">
        <f t="shared" si="19"/>
        <v>-0.48588759518716307</v>
      </c>
    </row>
    <row r="439" spans="1:12" x14ac:dyDescent="0.3">
      <c r="A439" s="2">
        <v>45652</v>
      </c>
      <c r="B439">
        <v>576.5458984375</v>
      </c>
      <c r="C439">
        <f t="shared" si="20"/>
        <v>-9.5664594000843522E-3</v>
      </c>
      <c r="K439">
        <f t="shared" si="18"/>
        <v>1104.599975585938</v>
      </c>
      <c r="L439" s="5">
        <f t="shared" si="19"/>
        <v>-0.47805005324966654</v>
      </c>
    </row>
    <row r="440" spans="1:12" x14ac:dyDescent="0.3">
      <c r="A440" s="2">
        <v>45653</v>
      </c>
      <c r="B440">
        <v>571.0303955078125</v>
      </c>
      <c r="C440">
        <f t="shared" si="20"/>
        <v>6.9336949785597365E-3</v>
      </c>
      <c r="K440">
        <f t="shared" si="18"/>
        <v>1104.599975585938</v>
      </c>
      <c r="L440" s="5">
        <f t="shared" si="19"/>
        <v>-0.48304326622412974</v>
      </c>
    </row>
    <row r="441" spans="1:12" x14ac:dyDescent="0.3">
      <c r="A441" s="2">
        <v>45656</v>
      </c>
      <c r="B441">
        <v>574.98974609375</v>
      </c>
      <c r="C441">
        <f t="shared" si="20"/>
        <v>-1.0226065512377513E-2</v>
      </c>
      <c r="K441">
        <f t="shared" si="18"/>
        <v>1104.599975585938</v>
      </c>
      <c r="L441" s="5">
        <f t="shared" si="19"/>
        <v>-0.47945884591501531</v>
      </c>
    </row>
    <row r="442" spans="1:12" x14ac:dyDescent="0.3">
      <c r="A442" s="2">
        <v>45657</v>
      </c>
      <c r="B442">
        <v>569.10986328125</v>
      </c>
      <c r="C442">
        <f t="shared" si="20"/>
        <v>1.0210529567057931E-2</v>
      </c>
      <c r="K442">
        <f t="shared" si="18"/>
        <v>1104.599975585938</v>
      </c>
      <c r="L442" s="5">
        <f t="shared" si="19"/>
        <v>-0.48478193385857704</v>
      </c>
    </row>
    <row r="443" spans="1:12" x14ac:dyDescent="0.3">
      <c r="A443" s="2">
        <v>45658</v>
      </c>
      <c r="B443">
        <v>574.9207763671875</v>
      </c>
      <c r="C443">
        <f t="shared" si="20"/>
        <v>4.8447147205871392E-2</v>
      </c>
      <c r="K443">
        <f t="shared" si="18"/>
        <v>1104.599975585938</v>
      </c>
      <c r="L443" s="5">
        <f t="shared" si="19"/>
        <v>-0.4795212845607576</v>
      </c>
    </row>
    <row r="444" spans="1:12" x14ac:dyDescent="0.3">
      <c r="A444" s="2">
        <v>45659</v>
      </c>
      <c r="B444">
        <v>602.7740478515625</v>
      </c>
      <c r="C444">
        <f t="shared" si="20"/>
        <v>-3.8234683596854954E-3</v>
      </c>
      <c r="K444">
        <f t="shared" si="18"/>
        <v>1104.599975585938</v>
      </c>
      <c r="L444" s="5">
        <f t="shared" si="19"/>
        <v>-0.45430557561634977</v>
      </c>
    </row>
    <row r="445" spans="1:12" x14ac:dyDescent="0.3">
      <c r="A445" s="2">
        <v>45660</v>
      </c>
      <c r="B445">
        <v>600.4693603515625</v>
      </c>
      <c r="C445">
        <f t="shared" si="20"/>
        <v>-2.5850241256178789E-2</v>
      </c>
      <c r="K445">
        <f t="shared" si="18"/>
        <v>1104.599975585938</v>
      </c>
      <c r="L445" s="5">
        <f t="shared" si="19"/>
        <v>-0.45639202098203746</v>
      </c>
    </row>
    <row r="446" spans="1:12" x14ac:dyDescent="0.3">
      <c r="A446" s="2">
        <v>45663</v>
      </c>
      <c r="B446">
        <v>584.94708251953125</v>
      </c>
      <c r="C446">
        <f t="shared" si="20"/>
        <v>-3.7545755726893781E-3</v>
      </c>
      <c r="K446">
        <f t="shared" si="18"/>
        <v>1104.599975585938</v>
      </c>
      <c r="L446" s="5">
        <f t="shared" si="19"/>
        <v>-0.47044441838843554</v>
      </c>
    </row>
    <row r="447" spans="1:12" x14ac:dyDescent="0.3">
      <c r="A447" s="2">
        <v>45664</v>
      </c>
      <c r="B447">
        <v>582.7508544921875</v>
      </c>
      <c r="C447">
        <f t="shared" si="20"/>
        <v>-2.0162990597824209E-2</v>
      </c>
      <c r="K447">
        <f t="shared" si="18"/>
        <v>1104.599975585938</v>
      </c>
      <c r="L447" s="5">
        <f t="shared" si="19"/>
        <v>-0.47243267483953566</v>
      </c>
    </row>
    <row r="448" spans="1:12" x14ac:dyDescent="0.3">
      <c r="A448" s="2">
        <v>45665</v>
      </c>
      <c r="B448">
        <v>571.0008544921875</v>
      </c>
      <c r="C448">
        <f t="shared" si="20"/>
        <v>-3.0668356408008399E-2</v>
      </c>
      <c r="K448">
        <f t="shared" si="18"/>
        <v>1104.599975585938</v>
      </c>
      <c r="L448" s="5">
        <f t="shared" si="19"/>
        <v>-0.48307000985646542</v>
      </c>
    </row>
    <row r="449" spans="1:12" x14ac:dyDescent="0.3">
      <c r="A449" s="2">
        <v>45666</v>
      </c>
      <c r="B449">
        <v>553.48919677734375</v>
      </c>
      <c r="C449">
        <f t="shared" si="20"/>
        <v>-5.3330329484900643E-2</v>
      </c>
      <c r="K449">
        <f t="shared" si="18"/>
        <v>1104.599975585938</v>
      </c>
      <c r="L449" s="5">
        <f t="shared" si="19"/>
        <v>-0.49892340303217553</v>
      </c>
    </row>
    <row r="450" spans="1:12" x14ac:dyDescent="0.3">
      <c r="A450" s="2">
        <v>45667</v>
      </c>
      <c r="B450">
        <v>523.971435546875</v>
      </c>
      <c r="C450">
        <f t="shared" si="20"/>
        <v>-2.048866198518582E-2</v>
      </c>
      <c r="K450">
        <f t="shared" ref="K450:K513" si="21">MAX(B450:B1189)</f>
        <v>1104.599975585938</v>
      </c>
      <c r="L450" s="5">
        <f t="shared" ref="L450:L513" si="22">B450/K450-1</f>
        <v>-0.52564598304564236</v>
      </c>
    </row>
    <row r="451" spans="1:12" x14ac:dyDescent="0.3">
      <c r="A451" s="2">
        <v>45670</v>
      </c>
      <c r="B451">
        <v>513.2359619140625</v>
      </c>
      <c r="C451">
        <f t="shared" ref="C451:C514" si="23">(B452-B451)/B451</f>
        <v>4.4137265726213952E-2</v>
      </c>
      <c r="K451">
        <f t="shared" si="21"/>
        <v>1104.599975585938</v>
      </c>
      <c r="L451" s="5">
        <f t="shared" si="22"/>
        <v>-0.5353648621603353</v>
      </c>
    </row>
    <row r="452" spans="1:12" x14ac:dyDescent="0.3">
      <c r="A452" s="2">
        <v>45671</v>
      </c>
      <c r="B452">
        <v>535.8887939453125</v>
      </c>
      <c r="C452">
        <f t="shared" si="23"/>
        <v>-2.0032911154234362E-2</v>
      </c>
      <c r="K452">
        <f t="shared" si="21"/>
        <v>1104.599975585938</v>
      </c>
      <c r="L452" s="5">
        <f t="shared" si="22"/>
        <v>-0.51485713761577001</v>
      </c>
    </row>
    <row r="453" spans="1:12" x14ac:dyDescent="0.3">
      <c r="A453" s="2">
        <v>45672</v>
      </c>
      <c r="B453">
        <v>525.15338134765625</v>
      </c>
      <c r="C453">
        <f t="shared" si="23"/>
        <v>2.5506406064169544E-2</v>
      </c>
      <c r="K453">
        <f t="shared" si="21"/>
        <v>1104.599975585938</v>
      </c>
      <c r="L453" s="5">
        <f t="shared" si="22"/>
        <v>-0.52457596147502428</v>
      </c>
    </row>
    <row r="454" spans="1:12" x14ac:dyDescent="0.3">
      <c r="A454" s="2">
        <v>45673</v>
      </c>
      <c r="B454">
        <v>538.54815673828125</v>
      </c>
      <c r="C454">
        <f t="shared" si="23"/>
        <v>-3.7125096602022789E-2</v>
      </c>
      <c r="K454">
        <f t="shared" si="21"/>
        <v>1104.599975585938</v>
      </c>
      <c r="L454" s="5">
        <f t="shared" si="22"/>
        <v>-0.51244960289573882</v>
      </c>
    </row>
    <row r="455" spans="1:12" x14ac:dyDescent="0.3">
      <c r="A455" s="2">
        <v>45674</v>
      </c>
      <c r="B455">
        <v>518.55450439453125</v>
      </c>
      <c r="C455">
        <f t="shared" si="23"/>
        <v>-1.861358943511868E-2</v>
      </c>
      <c r="K455">
        <f t="shared" si="21"/>
        <v>1104.599975585938</v>
      </c>
      <c r="L455" s="5">
        <f t="shared" si="22"/>
        <v>-0.53054995848658915</v>
      </c>
    </row>
    <row r="456" spans="1:12" x14ac:dyDescent="0.3">
      <c r="A456" s="2">
        <v>45677</v>
      </c>
      <c r="B456">
        <v>508.90234375</v>
      </c>
      <c r="C456">
        <f t="shared" si="23"/>
        <v>6.9672587293424116E-3</v>
      </c>
      <c r="K456">
        <f t="shared" si="21"/>
        <v>1104.599975585938</v>
      </c>
      <c r="L456" s="5">
        <f t="shared" si="22"/>
        <v>-0.53928810881961908</v>
      </c>
    </row>
    <row r="457" spans="1:12" x14ac:dyDescent="0.3">
      <c r="A457" s="2">
        <v>45678</v>
      </c>
      <c r="B457">
        <v>512.447998046875</v>
      </c>
      <c r="C457">
        <f t="shared" si="23"/>
        <v>-3.1711130178509921E-3</v>
      </c>
      <c r="K457">
        <f t="shared" si="21"/>
        <v>1104.599975585938</v>
      </c>
      <c r="L457" s="5">
        <f t="shared" si="22"/>
        <v>-0.53607820987408084</v>
      </c>
    </row>
    <row r="458" spans="1:12" x14ac:dyDescent="0.3">
      <c r="A458" s="2">
        <v>45679</v>
      </c>
      <c r="B458">
        <v>510.82296752929688</v>
      </c>
      <c r="C458">
        <f t="shared" si="23"/>
        <v>2.1498093603383835E-2</v>
      </c>
      <c r="K458">
        <f t="shared" si="21"/>
        <v>1104.599975585938</v>
      </c>
      <c r="L458" s="5">
        <f t="shared" si="22"/>
        <v>-0.53754935830201389</v>
      </c>
    </row>
    <row r="459" spans="1:12" x14ac:dyDescent="0.3">
      <c r="A459" s="2">
        <v>45680</v>
      </c>
      <c r="B459">
        <v>521.8046875</v>
      </c>
      <c r="C459">
        <f t="shared" si="23"/>
        <v>-4.435711772544205E-3</v>
      </c>
      <c r="K459">
        <f t="shared" si="21"/>
        <v>1104.599975585938</v>
      </c>
      <c r="L459" s="5">
        <f t="shared" si="22"/>
        <v>-0.52760755111984559</v>
      </c>
    </row>
    <row r="460" spans="1:12" x14ac:dyDescent="0.3">
      <c r="A460" s="2">
        <v>45681</v>
      </c>
      <c r="B460">
        <v>519.4901123046875</v>
      </c>
      <c r="C460">
        <f t="shared" si="23"/>
        <v>-2.9955438200816184E-2</v>
      </c>
      <c r="K460">
        <f t="shared" si="21"/>
        <v>1104.599975585938</v>
      </c>
      <c r="L460" s="5">
        <f t="shared" si="22"/>
        <v>-0.52970294786660421</v>
      </c>
    </row>
    <row r="461" spans="1:12" x14ac:dyDescent="0.3">
      <c r="A461" s="2">
        <v>45684</v>
      </c>
      <c r="B461">
        <v>503.92855834960938</v>
      </c>
      <c r="C461">
        <f t="shared" si="23"/>
        <v>3.6059874045062563E-2</v>
      </c>
      <c r="K461">
        <f t="shared" si="21"/>
        <v>1104.599975585938</v>
      </c>
      <c r="L461" s="5">
        <f t="shared" si="22"/>
        <v>-0.54379090214781223</v>
      </c>
    </row>
    <row r="462" spans="1:12" x14ac:dyDescent="0.3">
      <c r="A462" s="2">
        <v>45685</v>
      </c>
      <c r="B462">
        <v>522.10015869140625</v>
      </c>
      <c r="C462">
        <f t="shared" si="23"/>
        <v>4.4142631670070299E-2</v>
      </c>
      <c r="K462">
        <f t="shared" si="21"/>
        <v>1104.599975585938</v>
      </c>
      <c r="L462" s="5">
        <f t="shared" si="22"/>
        <v>-0.52734005954105068</v>
      </c>
    </row>
    <row r="463" spans="1:12" x14ac:dyDescent="0.3">
      <c r="A463" s="2">
        <v>45686</v>
      </c>
      <c r="B463">
        <v>545.14703369140625</v>
      </c>
      <c r="C463">
        <f t="shared" si="23"/>
        <v>-2.7461659267356935E-2</v>
      </c>
      <c r="K463">
        <f t="shared" si="21"/>
        <v>1104.599975585938</v>
      </c>
      <c r="L463" s="5">
        <f t="shared" si="22"/>
        <v>-0.50647560588417395</v>
      </c>
    </row>
    <row r="464" spans="1:12" x14ac:dyDescent="0.3">
      <c r="A464" s="2">
        <v>45687</v>
      </c>
      <c r="B464">
        <v>530.1763916015625</v>
      </c>
      <c r="C464">
        <f t="shared" si="23"/>
        <v>1.483766020715117E-2</v>
      </c>
      <c r="K464">
        <f t="shared" si="21"/>
        <v>1104.599975585938</v>
      </c>
      <c r="L464" s="5">
        <f t="shared" si="22"/>
        <v>-0.52002860463551159</v>
      </c>
    </row>
    <row r="465" spans="1:12" x14ac:dyDescent="0.3">
      <c r="A465" s="2">
        <v>45688</v>
      </c>
      <c r="B465">
        <v>538.04296875</v>
      </c>
      <c r="C465">
        <f t="shared" si="23"/>
        <v>-2.1977027203624246E-2</v>
      </c>
      <c r="K465">
        <f t="shared" si="21"/>
        <v>1104.599975585938</v>
      </c>
      <c r="L465" s="5">
        <f t="shared" si="22"/>
        <v>-0.51290695216194115</v>
      </c>
    </row>
    <row r="466" spans="1:12" x14ac:dyDescent="0.3">
      <c r="A466" s="2">
        <v>45689</v>
      </c>
      <c r="B466">
        <v>526.2183837890625</v>
      </c>
      <c r="C466">
        <f t="shared" si="23"/>
        <v>2.6983857449496971E-2</v>
      </c>
      <c r="K466">
        <f t="shared" si="21"/>
        <v>1104.599975585938</v>
      </c>
      <c r="L466" s="5">
        <f t="shared" si="22"/>
        <v>-0.52361180932497442</v>
      </c>
    </row>
    <row r="467" spans="1:12" x14ac:dyDescent="0.3">
      <c r="A467" s="2">
        <v>45691</v>
      </c>
      <c r="B467">
        <v>540.41778564453125</v>
      </c>
      <c r="C467">
        <f t="shared" si="23"/>
        <v>5.6028632723095974E-2</v>
      </c>
      <c r="K467">
        <f t="shared" si="21"/>
        <v>1104.599975585938</v>
      </c>
      <c r="L467" s="5">
        <f t="shared" si="22"/>
        <v>-0.51075701829717568</v>
      </c>
    </row>
    <row r="468" spans="1:12" x14ac:dyDescent="0.3">
      <c r="A468" s="2">
        <v>45692</v>
      </c>
      <c r="B468">
        <v>570.6966552734375</v>
      </c>
      <c r="C468">
        <f t="shared" si="23"/>
        <v>-9.4496493907036509E-3</v>
      </c>
      <c r="K468">
        <f t="shared" si="21"/>
        <v>1104.599975585938</v>
      </c>
      <c r="L468" s="5">
        <f t="shared" si="22"/>
        <v>-0.48334540296299577</v>
      </c>
    </row>
    <row r="469" spans="1:12" x14ac:dyDescent="0.3">
      <c r="A469" s="2">
        <v>45693</v>
      </c>
      <c r="B469">
        <v>565.30377197265625</v>
      </c>
      <c r="C469">
        <f t="shared" si="23"/>
        <v>-8.6643862941412787E-3</v>
      </c>
      <c r="K469">
        <f t="shared" si="21"/>
        <v>1104.599975585938</v>
      </c>
      <c r="L469" s="5">
        <f t="shared" si="22"/>
        <v>-0.48822760776109075</v>
      </c>
    </row>
    <row r="470" spans="1:12" x14ac:dyDescent="0.3">
      <c r="A470" s="2">
        <v>45694</v>
      </c>
      <c r="B470">
        <v>560.40576171875</v>
      </c>
      <c r="C470">
        <f t="shared" si="23"/>
        <v>-1.2006724689403517E-2</v>
      </c>
      <c r="K470">
        <f t="shared" si="21"/>
        <v>1104.599975585938</v>
      </c>
      <c r="L470" s="5">
        <f t="shared" si="22"/>
        <v>-0.49266180146212546</v>
      </c>
    </row>
    <row r="471" spans="1:12" x14ac:dyDescent="0.3">
      <c r="A471" s="2">
        <v>45695</v>
      </c>
      <c r="B471">
        <v>553.6771240234375</v>
      </c>
      <c r="C471">
        <f t="shared" si="23"/>
        <v>2.2339327159087976E-3</v>
      </c>
      <c r="K471">
        <f t="shared" si="21"/>
        <v>1104.599975585938</v>
      </c>
      <c r="L471" s="5">
        <f t="shared" si="22"/>
        <v>-0.4987532715363876</v>
      </c>
    </row>
    <row r="472" spans="1:12" x14ac:dyDescent="0.3">
      <c r="A472" s="2">
        <v>45698</v>
      </c>
      <c r="B472">
        <v>554.91400146484375</v>
      </c>
      <c r="C472">
        <f t="shared" si="23"/>
        <v>-3.9675480225889272E-2</v>
      </c>
      <c r="K472">
        <f t="shared" si="21"/>
        <v>1104.599975585938</v>
      </c>
      <c r="L472" s="5">
        <f t="shared" si="22"/>
        <v>-0.49763352007093054</v>
      </c>
    </row>
    <row r="473" spans="1:12" x14ac:dyDescent="0.3">
      <c r="A473" s="2">
        <v>45699</v>
      </c>
      <c r="B473">
        <v>532.89752197265625</v>
      </c>
      <c r="C473">
        <f t="shared" si="23"/>
        <v>1.5968973975812373E-2</v>
      </c>
      <c r="K473">
        <f t="shared" si="21"/>
        <v>1104.599975585938</v>
      </c>
      <c r="L473" s="5">
        <f t="shared" si="22"/>
        <v>-0.51756515141150583</v>
      </c>
    </row>
    <row r="474" spans="1:12" x14ac:dyDescent="0.3">
      <c r="A474" s="2">
        <v>45700</v>
      </c>
      <c r="B474">
        <v>541.4073486328125</v>
      </c>
      <c r="C474">
        <f t="shared" si="23"/>
        <v>2.7413589754169418E-3</v>
      </c>
      <c r="K474">
        <f t="shared" si="21"/>
        <v>1104.599975585938</v>
      </c>
      <c r="L474" s="5">
        <f t="shared" si="22"/>
        <v>-0.50986116186937125</v>
      </c>
    </row>
    <row r="475" spans="1:12" x14ac:dyDescent="0.3">
      <c r="A475" s="2">
        <v>45701</v>
      </c>
      <c r="B475">
        <v>542.89154052734375</v>
      </c>
      <c r="C475">
        <f t="shared" si="23"/>
        <v>-1.731518701793814E-2</v>
      </c>
      <c r="K475">
        <f t="shared" si="21"/>
        <v>1104.599975585938</v>
      </c>
      <c r="L475" s="5">
        <f t="shared" si="22"/>
        <v>-0.50851751536626144</v>
      </c>
    </row>
    <row r="476" spans="1:12" x14ac:dyDescent="0.3">
      <c r="A476" s="2">
        <v>45702</v>
      </c>
      <c r="B476">
        <v>533.49127197265625</v>
      </c>
      <c r="C476">
        <f t="shared" si="23"/>
        <v>2.0773343526237709E-2</v>
      </c>
      <c r="K476">
        <f t="shared" si="21"/>
        <v>1104.599975585938</v>
      </c>
      <c r="L476" s="5">
        <f t="shared" si="22"/>
        <v>-0.51702762650373546</v>
      </c>
    </row>
    <row r="477" spans="1:12" x14ac:dyDescent="0.3">
      <c r="A477" s="2">
        <v>45705</v>
      </c>
      <c r="B477">
        <v>544.57366943359375</v>
      </c>
      <c r="C477">
        <f t="shared" si="23"/>
        <v>5.4511759586518939E-3</v>
      </c>
      <c r="K477">
        <f t="shared" si="21"/>
        <v>1104.599975585938</v>
      </c>
      <c r="L477" s="5">
        <f t="shared" si="22"/>
        <v>-0.50699467547541521</v>
      </c>
    </row>
    <row r="478" spans="1:12" x14ac:dyDescent="0.3">
      <c r="A478" s="2">
        <v>45706</v>
      </c>
      <c r="B478">
        <v>547.542236328125</v>
      </c>
      <c r="C478">
        <f t="shared" si="23"/>
        <v>8.0418623170925834E-3</v>
      </c>
      <c r="K478">
        <f t="shared" si="21"/>
        <v>1104.599975585938</v>
      </c>
      <c r="L478" s="5">
        <f t="shared" si="22"/>
        <v>-0.50430721670287948</v>
      </c>
    </row>
    <row r="479" spans="1:12" x14ac:dyDescent="0.3">
      <c r="A479" s="2">
        <v>45707</v>
      </c>
      <c r="B479">
        <v>551.94549560546875</v>
      </c>
      <c r="C479">
        <f t="shared" si="23"/>
        <v>4.1323111883955405E-2</v>
      </c>
      <c r="K479">
        <f t="shared" si="21"/>
        <v>1104.599975585938</v>
      </c>
      <c r="L479" s="5">
        <f t="shared" si="22"/>
        <v>-0.5003209235880276</v>
      </c>
    </row>
    <row r="480" spans="1:12" x14ac:dyDescent="0.3">
      <c r="A480" s="2">
        <v>45708</v>
      </c>
      <c r="B480">
        <v>574.75360107421875</v>
      </c>
      <c r="C480">
        <f t="shared" si="23"/>
        <v>7.3168455020053069E-3</v>
      </c>
      <c r="K480">
        <f t="shared" si="21"/>
        <v>1104.599975585938</v>
      </c>
      <c r="L480" s="5">
        <f t="shared" si="22"/>
        <v>-0.47967262920738418</v>
      </c>
    </row>
    <row r="481" spans="1:12" x14ac:dyDescent="0.3">
      <c r="A481" s="2">
        <v>45709</v>
      </c>
      <c r="B481">
        <v>578.958984375</v>
      </c>
      <c r="C481">
        <f t="shared" si="23"/>
        <v>-1.3501954106744662E-2</v>
      </c>
      <c r="K481">
        <f t="shared" si="21"/>
        <v>1104.599975585938</v>
      </c>
      <c r="L481" s="5">
        <f t="shared" si="22"/>
        <v>-0.47586547422482994</v>
      </c>
    </row>
    <row r="482" spans="1:12" x14ac:dyDescent="0.3">
      <c r="A482" s="2">
        <v>45712</v>
      </c>
      <c r="B482">
        <v>571.14190673828125</v>
      </c>
      <c r="C482">
        <f t="shared" si="23"/>
        <v>-5.1108250212741763E-3</v>
      </c>
      <c r="K482">
        <f t="shared" si="21"/>
        <v>1104.599975585938</v>
      </c>
      <c r="L482" s="5">
        <f t="shared" si="22"/>
        <v>-0.48294231453760672</v>
      </c>
    </row>
    <row r="483" spans="1:12" x14ac:dyDescent="0.3">
      <c r="A483" s="2">
        <v>45713</v>
      </c>
      <c r="B483">
        <v>568.222900390625</v>
      </c>
      <c r="C483">
        <f t="shared" si="23"/>
        <v>5.6682532446579739E-2</v>
      </c>
      <c r="K483">
        <f t="shared" si="21"/>
        <v>1104.599975585938</v>
      </c>
      <c r="L483" s="5">
        <f t="shared" si="22"/>
        <v>-0.48558490589391001</v>
      </c>
    </row>
    <row r="484" spans="1:12" x14ac:dyDescent="0.3">
      <c r="A484" s="2">
        <v>45715</v>
      </c>
      <c r="B484">
        <v>600.43121337890625</v>
      </c>
      <c r="C484">
        <f t="shared" si="23"/>
        <v>1.7303949747216382E-2</v>
      </c>
      <c r="K484">
        <f t="shared" si="21"/>
        <v>1104.599975585938</v>
      </c>
      <c r="L484" s="5">
        <f t="shared" si="22"/>
        <v>-0.45642655563123113</v>
      </c>
    </row>
    <row r="485" spans="1:12" x14ac:dyDescent="0.3">
      <c r="A485" s="2">
        <v>45716</v>
      </c>
      <c r="B485">
        <v>610.821044921875</v>
      </c>
      <c r="C485">
        <f t="shared" si="23"/>
        <v>6.4798157257437575E-3</v>
      </c>
      <c r="K485">
        <f t="shared" si="21"/>
        <v>1104.599975585938</v>
      </c>
      <c r="L485" s="5">
        <f t="shared" si="22"/>
        <v>-0.44702058806595268</v>
      </c>
    </row>
    <row r="486" spans="1:12" x14ac:dyDescent="0.3">
      <c r="A486" s="2">
        <v>45719</v>
      </c>
      <c r="B486">
        <v>614.779052734375</v>
      </c>
      <c r="C486">
        <f t="shared" si="23"/>
        <v>1.8670563730697521E-2</v>
      </c>
      <c r="K486">
        <f t="shared" si="21"/>
        <v>1104.599975585938</v>
      </c>
      <c r="L486" s="5">
        <f t="shared" si="22"/>
        <v>-0.44343738337648986</v>
      </c>
    </row>
    <row r="487" spans="1:12" x14ac:dyDescent="0.3">
      <c r="A487" s="2">
        <v>45720</v>
      </c>
      <c r="B487">
        <v>626.25732421875</v>
      </c>
      <c r="C487">
        <f t="shared" si="23"/>
        <v>-2.528117264097616E-3</v>
      </c>
      <c r="K487">
        <f t="shared" si="21"/>
        <v>1104.599975585938</v>
      </c>
      <c r="L487" s="5">
        <f t="shared" si="22"/>
        <v>-0.43304604557269688</v>
      </c>
    </row>
    <row r="488" spans="1:12" x14ac:dyDescent="0.3">
      <c r="A488" s="2">
        <v>45721</v>
      </c>
      <c r="B488">
        <v>624.674072265625</v>
      </c>
      <c r="C488">
        <f t="shared" si="23"/>
        <v>2.0671619770466238E-2</v>
      </c>
      <c r="K488">
        <f t="shared" si="21"/>
        <v>1104.599975585938</v>
      </c>
      <c r="L488" s="5">
        <f t="shared" si="22"/>
        <v>-0.43447937165283301</v>
      </c>
    </row>
    <row r="489" spans="1:12" x14ac:dyDescent="0.3">
      <c r="A489" s="2">
        <v>45722</v>
      </c>
      <c r="B489">
        <v>637.58709716796875</v>
      </c>
      <c r="C489">
        <f t="shared" si="23"/>
        <v>-2.0951392306523684E-2</v>
      </c>
      <c r="K489">
        <f t="shared" si="21"/>
        <v>1104.599975585938</v>
      </c>
      <c r="L489" s="5">
        <f t="shared" si="22"/>
        <v>-0.42278914425128522</v>
      </c>
    </row>
    <row r="490" spans="1:12" x14ac:dyDescent="0.3">
      <c r="A490" s="2">
        <v>45723</v>
      </c>
      <c r="B490">
        <v>624.228759765625</v>
      </c>
      <c r="C490">
        <f t="shared" si="23"/>
        <v>-8.3220857300082413E-3</v>
      </c>
      <c r="K490">
        <f t="shared" si="21"/>
        <v>1104.599975585938</v>
      </c>
      <c r="L490" s="5">
        <f t="shared" si="22"/>
        <v>-0.43488251533366074</v>
      </c>
    </row>
    <row r="491" spans="1:12" x14ac:dyDescent="0.3">
      <c r="A491" s="2">
        <v>45726</v>
      </c>
      <c r="B491">
        <v>619.03387451171875</v>
      </c>
      <c r="C491">
        <f t="shared" si="23"/>
        <v>2.0220659102205222E-2</v>
      </c>
      <c r="K491">
        <f t="shared" si="21"/>
        <v>1104.599975585938</v>
      </c>
      <c r="L491" s="5">
        <f t="shared" si="22"/>
        <v>-0.43958547148858063</v>
      </c>
    </row>
    <row r="492" spans="1:12" x14ac:dyDescent="0.3">
      <c r="A492" s="2">
        <v>45727</v>
      </c>
      <c r="B492">
        <v>631.5511474609375</v>
      </c>
      <c r="C492">
        <f t="shared" si="23"/>
        <v>-2.0367565210517029E-3</v>
      </c>
      <c r="K492">
        <f t="shared" si="21"/>
        <v>1104.599975585938</v>
      </c>
      <c r="L492" s="5">
        <f t="shared" si="22"/>
        <v>-0.42825352035162811</v>
      </c>
    </row>
    <row r="493" spans="1:12" x14ac:dyDescent="0.3">
      <c r="A493" s="2">
        <v>45728</v>
      </c>
      <c r="B493">
        <v>630.26483154296875</v>
      </c>
      <c r="C493">
        <f t="shared" si="23"/>
        <v>-2.7317831171966536E-2</v>
      </c>
      <c r="K493">
        <f t="shared" si="21"/>
        <v>1104.599975585938</v>
      </c>
      <c r="L493" s="5">
        <f t="shared" si="22"/>
        <v>-0.42941802872244039</v>
      </c>
    </row>
    <row r="494" spans="1:12" x14ac:dyDescent="0.3">
      <c r="A494" s="2">
        <v>45729</v>
      </c>
      <c r="B494">
        <v>613.04736328125</v>
      </c>
      <c r="C494">
        <f t="shared" si="23"/>
        <v>5.972122330092448E-3</v>
      </c>
      <c r="K494">
        <f t="shared" si="21"/>
        <v>1104.599975585938</v>
      </c>
      <c r="L494" s="5">
        <f t="shared" si="22"/>
        <v>-0.44500509068356853</v>
      </c>
    </row>
    <row r="495" spans="1:12" x14ac:dyDescent="0.3">
      <c r="A495" s="2">
        <v>45733</v>
      </c>
      <c r="B495">
        <v>616.70855712890625</v>
      </c>
      <c r="C495">
        <f t="shared" si="23"/>
        <v>0</v>
      </c>
      <c r="K495">
        <f t="shared" si="21"/>
        <v>1104.599975585938</v>
      </c>
      <c r="L495" s="5">
        <f t="shared" si="22"/>
        <v>-0.44169059319255233</v>
      </c>
    </row>
    <row r="496" spans="1:12" x14ac:dyDescent="0.3">
      <c r="A496" s="2">
        <v>45734</v>
      </c>
      <c r="B496">
        <v>616.70855712890625</v>
      </c>
      <c r="C496">
        <f t="shared" si="23"/>
        <v>7.1720806286286437E-2</v>
      </c>
      <c r="K496">
        <f t="shared" si="21"/>
        <v>1104.599975585938</v>
      </c>
      <c r="L496" s="5">
        <f t="shared" si="22"/>
        <v>-0.44169059319255233</v>
      </c>
    </row>
    <row r="497" spans="1:12" x14ac:dyDescent="0.3">
      <c r="A497" s="2">
        <v>45735</v>
      </c>
      <c r="B497">
        <v>660.93939208984375</v>
      </c>
      <c r="C497">
        <f t="shared" si="23"/>
        <v>-7.4800317781300679E-5</v>
      </c>
      <c r="K497">
        <f t="shared" si="21"/>
        <v>1104.599975585938</v>
      </c>
      <c r="L497" s="5">
        <f t="shared" si="22"/>
        <v>-0.40164819237910387</v>
      </c>
    </row>
    <row r="498" spans="1:12" x14ac:dyDescent="0.3">
      <c r="A498" s="2">
        <v>45736</v>
      </c>
      <c r="B498">
        <v>660.88995361328125</v>
      </c>
      <c r="C498">
        <f t="shared" si="23"/>
        <v>1.3325334333947081E-2</v>
      </c>
      <c r="K498">
        <f t="shared" si="21"/>
        <v>1104.599975585938</v>
      </c>
      <c r="L498" s="5">
        <f t="shared" si="22"/>
        <v>-0.40169294928445887</v>
      </c>
    </row>
    <row r="499" spans="1:12" x14ac:dyDescent="0.3">
      <c r="A499" s="2">
        <v>45737</v>
      </c>
      <c r="B499">
        <v>669.696533203125</v>
      </c>
      <c r="C499">
        <f t="shared" si="23"/>
        <v>7.6831601883578186E-3</v>
      </c>
      <c r="K499">
        <f t="shared" si="21"/>
        <v>1104.599975585938</v>
      </c>
      <c r="L499" s="5">
        <f t="shared" si="22"/>
        <v>-0.39372030779931644</v>
      </c>
    </row>
    <row r="500" spans="1:12" x14ac:dyDescent="0.3">
      <c r="A500" s="2">
        <v>45740</v>
      </c>
      <c r="B500">
        <v>674.8419189453125</v>
      </c>
      <c r="C500">
        <f t="shared" si="23"/>
        <v>-5.3519116618927498E-3</v>
      </c>
      <c r="K500">
        <f t="shared" si="21"/>
        <v>1104.599975585938</v>
      </c>
      <c r="L500" s="5">
        <f t="shared" si="22"/>
        <v>-0.38906216380519032</v>
      </c>
    </row>
    <row r="501" spans="1:12" x14ac:dyDescent="0.3">
      <c r="A501" s="2">
        <v>45741</v>
      </c>
      <c r="B501">
        <v>671.230224609375</v>
      </c>
      <c r="C501">
        <f t="shared" si="23"/>
        <v>-9.360909215566246E-3</v>
      </c>
      <c r="K501">
        <f t="shared" si="21"/>
        <v>1104.599975585938</v>
      </c>
      <c r="L501" s="5">
        <f t="shared" si="22"/>
        <v>-0.39233184913541286</v>
      </c>
    </row>
    <row r="502" spans="1:12" x14ac:dyDescent="0.3">
      <c r="A502" s="2">
        <v>45742</v>
      </c>
      <c r="B502">
        <v>664.9468994140625</v>
      </c>
      <c r="C502">
        <f t="shared" si="23"/>
        <v>9.6725959636476781E-3</v>
      </c>
      <c r="K502">
        <f t="shared" si="21"/>
        <v>1104.599975585938</v>
      </c>
      <c r="L502" s="5">
        <f t="shared" si="22"/>
        <v>-0.39802017552884728</v>
      </c>
    </row>
    <row r="503" spans="1:12" x14ac:dyDescent="0.3">
      <c r="A503" s="2">
        <v>45743</v>
      </c>
      <c r="B503">
        <v>671.378662109375</v>
      </c>
      <c r="C503">
        <f t="shared" si="23"/>
        <v>-3.3161397936775243E-2</v>
      </c>
      <c r="K503">
        <f t="shared" si="21"/>
        <v>1104.599975585938</v>
      </c>
      <c r="L503" s="5">
        <f t="shared" si="22"/>
        <v>-0.39219746790847032</v>
      </c>
    </row>
    <row r="504" spans="1:12" x14ac:dyDescent="0.3">
      <c r="A504" s="2">
        <v>45744</v>
      </c>
      <c r="B504">
        <v>649.11480712890625</v>
      </c>
      <c r="C504">
        <f t="shared" si="23"/>
        <v>-2.827741016372488E-2</v>
      </c>
      <c r="K504">
        <f t="shared" si="21"/>
        <v>1104.599975585938</v>
      </c>
      <c r="L504" s="5">
        <f t="shared" si="22"/>
        <v>-0.41235304954213714</v>
      </c>
    </row>
    <row r="505" spans="1:12" x14ac:dyDescent="0.3">
      <c r="A505" s="2">
        <v>45748</v>
      </c>
      <c r="B505">
        <v>630.759521484375</v>
      </c>
      <c r="C505">
        <f t="shared" si="23"/>
        <v>3.059210997406323E-3</v>
      </c>
      <c r="K505">
        <f t="shared" si="21"/>
        <v>1104.599975585938</v>
      </c>
      <c r="L505" s="5">
        <f t="shared" si="22"/>
        <v>-0.42897018339169624</v>
      </c>
    </row>
    <row r="506" spans="1:12" x14ac:dyDescent="0.3">
      <c r="A506" s="2">
        <v>45749</v>
      </c>
      <c r="B506">
        <v>632.68914794921875</v>
      </c>
      <c r="C506">
        <f t="shared" si="23"/>
        <v>2.3068443414751276E-2</v>
      </c>
      <c r="K506">
        <f t="shared" si="21"/>
        <v>1104.599975585938</v>
      </c>
      <c r="L506" s="5">
        <f t="shared" si="22"/>
        <v>-0.42722328269688115</v>
      </c>
    </row>
    <row r="507" spans="1:12" x14ac:dyDescent="0.3">
      <c r="A507" s="2">
        <v>45750</v>
      </c>
      <c r="B507">
        <v>647.2843017578125</v>
      </c>
      <c r="C507">
        <f t="shared" si="23"/>
        <v>-8.4091568721708198E-4</v>
      </c>
      <c r="K507">
        <f t="shared" si="21"/>
        <v>1104.599975585938</v>
      </c>
      <c r="L507" s="5">
        <f t="shared" si="22"/>
        <v>-0.41401021540448724</v>
      </c>
    </row>
    <row r="508" spans="1:12" x14ac:dyDescent="0.3">
      <c r="A508" s="2">
        <v>45751</v>
      </c>
      <c r="B508">
        <v>646.739990234375</v>
      </c>
      <c r="C508">
        <f t="shared" si="23"/>
        <v>-6.0587448995808681E-2</v>
      </c>
      <c r="K508">
        <f t="shared" si="21"/>
        <v>1104.599975585938</v>
      </c>
      <c r="L508" s="5">
        <f t="shared" si="22"/>
        <v>-0.4145029834069025</v>
      </c>
    </row>
    <row r="509" spans="1:12" x14ac:dyDescent="0.3">
      <c r="A509" s="2">
        <v>45754</v>
      </c>
      <c r="B509">
        <v>607.5556640625</v>
      </c>
      <c r="C509">
        <f t="shared" si="23"/>
        <v>4.4706792876810092E-2</v>
      </c>
      <c r="K509">
        <f t="shared" si="21"/>
        <v>1104.599975585938</v>
      </c>
      <c r="L509" s="5">
        <f t="shared" si="22"/>
        <v>-0.44997675403693493</v>
      </c>
    </row>
    <row r="510" spans="1:12" x14ac:dyDescent="0.3">
      <c r="A510" s="2">
        <v>45755</v>
      </c>
      <c r="B510">
        <v>634.717529296875</v>
      </c>
      <c r="C510">
        <f t="shared" si="23"/>
        <v>-2.6346515485981051E-2</v>
      </c>
      <c r="K510">
        <f t="shared" si="21"/>
        <v>1104.599975585938</v>
      </c>
      <c r="L510" s="5">
        <f t="shared" si="22"/>
        <v>-0.42538697870223341</v>
      </c>
    </row>
    <row r="511" spans="1:12" x14ac:dyDescent="0.3">
      <c r="A511" s="2">
        <v>45756</v>
      </c>
      <c r="B511">
        <v>617.99493408203125</v>
      </c>
      <c r="C511">
        <f t="shared" si="23"/>
        <v>2.281637284450554E-2</v>
      </c>
      <c r="K511">
        <f t="shared" si="21"/>
        <v>1104.599975585938</v>
      </c>
      <c r="L511" s="5">
        <f t="shared" si="22"/>
        <v>-0.44052602956630138</v>
      </c>
    </row>
    <row r="512" spans="1:12" x14ac:dyDescent="0.3">
      <c r="A512" s="2">
        <v>45758</v>
      </c>
      <c r="B512">
        <v>632.0953369140625</v>
      </c>
      <c r="C512">
        <f t="shared" si="23"/>
        <v>5.1972480386240194E-2</v>
      </c>
      <c r="K512">
        <f t="shared" si="21"/>
        <v>1104.599975585938</v>
      </c>
      <c r="L512" s="5">
        <f t="shared" si="22"/>
        <v>-0.4277608628600903</v>
      </c>
    </row>
    <row r="513" spans="1:12" x14ac:dyDescent="0.3">
      <c r="A513" s="2">
        <v>45762</v>
      </c>
      <c r="B513">
        <v>664.9468994140625</v>
      </c>
      <c r="C513">
        <f t="shared" si="23"/>
        <v>6.0268080470035771E-3</v>
      </c>
      <c r="K513">
        <f t="shared" si="21"/>
        <v>1104.599975585938</v>
      </c>
      <c r="L513" s="5">
        <f t="shared" si="22"/>
        <v>-0.39802017552884728</v>
      </c>
    </row>
    <row r="514" spans="1:12" x14ac:dyDescent="0.3">
      <c r="A514" s="2">
        <v>45763</v>
      </c>
      <c r="B514">
        <v>668.95440673828125</v>
      </c>
      <c r="C514">
        <f t="shared" si="23"/>
        <v>2.3223133189156461E-2</v>
      </c>
      <c r="K514">
        <f t="shared" ref="K514:K577" si="24">MAX(B514:B1253)</f>
        <v>1104.599975585938</v>
      </c>
      <c r="L514" s="5">
        <f t="shared" ref="L514:L577" si="25">B514/K514-1</f>
        <v>-0.39439215867859079</v>
      </c>
    </row>
    <row r="515" spans="1:12" x14ac:dyDescent="0.3">
      <c r="A515" s="2">
        <v>45764</v>
      </c>
      <c r="B515">
        <v>684.4896240234375</v>
      </c>
      <c r="C515">
        <f t="shared" ref="C515:C578" si="26">(B516-B515)/B515</f>
        <v>1.6263061676848857E-2</v>
      </c>
      <c r="K515">
        <f t="shared" si="24"/>
        <v>1104.599975585938</v>
      </c>
      <c r="L515" s="5">
        <f t="shared" si="25"/>
        <v>-0.38032804711918611</v>
      </c>
    </row>
    <row r="516" spans="1:12" x14ac:dyDescent="0.3">
      <c r="A516" s="2">
        <v>45768</v>
      </c>
      <c r="B516">
        <v>695.62152099609375</v>
      </c>
      <c r="C516">
        <f t="shared" si="26"/>
        <v>7.1132361030205762E-4</v>
      </c>
      <c r="K516">
        <f t="shared" si="24"/>
        <v>1104.599975585938</v>
      </c>
      <c r="L516" s="5">
        <f t="shared" si="25"/>
        <v>-0.37025028393007209</v>
      </c>
    </row>
    <row r="517" spans="1:12" x14ac:dyDescent="0.3">
      <c r="A517" s="2">
        <v>45769</v>
      </c>
      <c r="B517">
        <v>696.1163330078125</v>
      </c>
      <c r="C517">
        <f t="shared" si="26"/>
        <v>5.6860178322637889E-4</v>
      </c>
      <c r="K517">
        <f t="shared" si="24"/>
        <v>1104.599975585938</v>
      </c>
      <c r="L517" s="5">
        <f t="shared" si="25"/>
        <v>-0.36980232808845048</v>
      </c>
    </row>
    <row r="518" spans="1:12" x14ac:dyDescent="0.3">
      <c r="A518" s="2">
        <v>45770</v>
      </c>
      <c r="B518">
        <v>696.51214599609375</v>
      </c>
      <c r="C518">
        <f t="shared" si="26"/>
        <v>-1.0299820665801762E-2</v>
      </c>
      <c r="K518">
        <f t="shared" si="24"/>
        <v>1104.599975585938</v>
      </c>
      <c r="L518" s="5">
        <f t="shared" si="25"/>
        <v>-0.36944399656841653</v>
      </c>
    </row>
    <row r="519" spans="1:12" x14ac:dyDescent="0.3">
      <c r="A519" s="2">
        <v>45771</v>
      </c>
      <c r="B519">
        <v>689.33819580078125</v>
      </c>
      <c r="C519">
        <f t="shared" si="26"/>
        <v>-5.949902945046523E-2</v>
      </c>
      <c r="K519">
        <f t="shared" si="24"/>
        <v>1104.599975585938</v>
      </c>
      <c r="L519" s="5">
        <f t="shared" si="25"/>
        <v>-0.37593861032350651</v>
      </c>
    </row>
    <row r="520" spans="1:12" x14ac:dyDescent="0.3">
      <c r="A520" s="2">
        <v>45772</v>
      </c>
      <c r="B520">
        <v>648.3232421875</v>
      </c>
      <c r="C520">
        <f t="shared" si="26"/>
        <v>-5.0671579178861337E-2</v>
      </c>
      <c r="K520">
        <f t="shared" si="24"/>
        <v>1104.599975585938</v>
      </c>
      <c r="L520" s="5">
        <f t="shared" si="25"/>
        <v>-0.41306965732676648</v>
      </c>
    </row>
    <row r="521" spans="1:12" x14ac:dyDescent="0.3">
      <c r="A521" s="2">
        <v>45775</v>
      </c>
      <c r="B521">
        <v>615.4716796875</v>
      </c>
      <c r="C521">
        <f t="shared" si="26"/>
        <v>-1.1736246971406267E-2</v>
      </c>
      <c r="K521">
        <f t="shared" si="24"/>
        <v>1104.599975585938</v>
      </c>
      <c r="L521" s="5">
        <f t="shared" si="25"/>
        <v>-0.44281034465800939</v>
      </c>
    </row>
    <row r="522" spans="1:12" x14ac:dyDescent="0.3">
      <c r="A522" s="2">
        <v>45776</v>
      </c>
      <c r="B522">
        <v>608.24835205078125</v>
      </c>
      <c r="C522">
        <f t="shared" si="26"/>
        <v>-4.8805177762050247E-3</v>
      </c>
      <c r="K522">
        <f t="shared" si="24"/>
        <v>1104.599975585938</v>
      </c>
      <c r="L522" s="5">
        <f t="shared" si="25"/>
        <v>-0.44934966006301569</v>
      </c>
    </row>
    <row r="523" spans="1:12" x14ac:dyDescent="0.3">
      <c r="A523" s="2">
        <v>45777</v>
      </c>
      <c r="B523">
        <v>605.27978515625</v>
      </c>
      <c r="C523">
        <f t="shared" si="26"/>
        <v>-1.3241834346687232E-2</v>
      </c>
      <c r="K523">
        <f t="shared" si="24"/>
        <v>1104.599975585938</v>
      </c>
      <c r="L523" s="5">
        <f t="shared" si="25"/>
        <v>-0.45203711883555153</v>
      </c>
    </row>
    <row r="524" spans="1:12" x14ac:dyDescent="0.3">
      <c r="A524" s="2">
        <v>45779</v>
      </c>
      <c r="B524">
        <v>597.2647705078125</v>
      </c>
      <c r="C524">
        <f t="shared" si="26"/>
        <v>4.1832344021093884E-2</v>
      </c>
      <c r="K524">
        <f t="shared" si="24"/>
        <v>1104.599975585938</v>
      </c>
      <c r="L524" s="5">
        <f t="shared" si="25"/>
        <v>-0.45929315253606462</v>
      </c>
    </row>
    <row r="525" spans="1:12" x14ac:dyDescent="0.3">
      <c r="A525" s="2">
        <v>45782</v>
      </c>
      <c r="B525">
        <v>622.249755859375</v>
      </c>
      <c r="C525">
        <f t="shared" si="26"/>
        <v>-8.58700492597308E-3</v>
      </c>
      <c r="K525">
        <f t="shared" si="24"/>
        <v>1104.599975585938</v>
      </c>
      <c r="L525" s="5">
        <f t="shared" si="25"/>
        <v>-0.43667411767839215</v>
      </c>
    </row>
    <row r="526" spans="1:12" x14ac:dyDescent="0.3">
      <c r="A526" s="2">
        <v>45783</v>
      </c>
      <c r="B526">
        <v>616.906494140625</v>
      </c>
      <c r="C526">
        <f t="shared" si="26"/>
        <v>2.1172515650915429E-2</v>
      </c>
      <c r="K526">
        <f t="shared" si="24"/>
        <v>1104.599975585938</v>
      </c>
      <c r="L526" s="5">
        <f t="shared" si="25"/>
        <v>-0.44151139980481591</v>
      </c>
    </row>
    <row r="527" spans="1:12" x14ac:dyDescent="0.3">
      <c r="A527" s="2">
        <v>45784</v>
      </c>
      <c r="B527">
        <v>629.96795654296875</v>
      </c>
      <c r="C527">
        <f t="shared" si="26"/>
        <v>-3.2749642853509627E-2</v>
      </c>
      <c r="K527">
        <f t="shared" si="24"/>
        <v>1104.599975585938</v>
      </c>
      <c r="L527" s="5">
        <f t="shared" si="25"/>
        <v>-0.42968679117632558</v>
      </c>
    </row>
    <row r="528" spans="1:12" x14ac:dyDescent="0.3">
      <c r="A528" s="2">
        <v>45785</v>
      </c>
      <c r="B528">
        <v>609.33673095703125</v>
      </c>
      <c r="C528">
        <f t="shared" si="26"/>
        <v>-2.3303045974541872E-2</v>
      </c>
      <c r="K528">
        <f t="shared" si="24"/>
        <v>1104.599975585938</v>
      </c>
      <c r="L528" s="5">
        <f t="shared" si="25"/>
        <v>-0.44836434507993994</v>
      </c>
    </row>
    <row r="529" spans="1:12" x14ac:dyDescent="0.3">
      <c r="A529" s="2">
        <v>45786</v>
      </c>
      <c r="B529">
        <v>595.1373291015625</v>
      </c>
      <c r="C529">
        <f t="shared" si="26"/>
        <v>7.3987998847265798E-2</v>
      </c>
      <c r="K529">
        <f t="shared" si="24"/>
        <v>1104.599975585938</v>
      </c>
      <c r="L529" s="5">
        <f t="shared" si="25"/>
        <v>-0.46121913610773857</v>
      </c>
    </row>
    <row r="530" spans="1:12" x14ac:dyDescent="0.3">
      <c r="A530" s="2">
        <v>45789</v>
      </c>
      <c r="B530">
        <v>639.17034912109375</v>
      </c>
      <c r="C530">
        <f t="shared" si="26"/>
        <v>-1.9119252013456239E-2</v>
      </c>
      <c r="K530">
        <f t="shared" si="24"/>
        <v>1104.599975585938</v>
      </c>
      <c r="L530" s="5">
        <f t="shared" si="25"/>
        <v>-0.42135581817114909</v>
      </c>
    </row>
    <row r="531" spans="1:12" x14ac:dyDescent="0.3">
      <c r="A531" s="2">
        <v>45790</v>
      </c>
      <c r="B531">
        <v>626.94989013671875</v>
      </c>
      <c r="C531">
        <f t="shared" si="26"/>
        <v>2.8961598030052139E-2</v>
      </c>
      <c r="K531">
        <f t="shared" si="24"/>
        <v>1104.599975585938</v>
      </c>
      <c r="L531" s="5">
        <f t="shared" si="25"/>
        <v>-0.43241906210965508</v>
      </c>
    </row>
    <row r="532" spans="1:12" x14ac:dyDescent="0.3">
      <c r="A532" s="2">
        <v>45791</v>
      </c>
      <c r="B532">
        <v>645.10736083984375</v>
      </c>
      <c r="C532">
        <f t="shared" si="26"/>
        <v>3.504869085293931E-2</v>
      </c>
      <c r="K532">
        <f t="shared" si="24"/>
        <v>1104.599975585938</v>
      </c>
      <c r="L532" s="5">
        <f t="shared" si="25"/>
        <v>-0.41598101113695496</v>
      </c>
    </row>
    <row r="533" spans="1:12" x14ac:dyDescent="0.3">
      <c r="A533" s="2">
        <v>45792</v>
      </c>
      <c r="B533">
        <v>667.717529296875</v>
      </c>
      <c r="C533">
        <f t="shared" si="26"/>
        <v>-1.3781864597467396E-2</v>
      </c>
      <c r="K533">
        <f t="shared" si="24"/>
        <v>1104.599975585938</v>
      </c>
      <c r="L533" s="5">
        <f t="shared" si="25"/>
        <v>-0.39551191014404785</v>
      </c>
    </row>
    <row r="534" spans="1:12" x14ac:dyDescent="0.3">
      <c r="A534" s="2">
        <v>45793</v>
      </c>
      <c r="B534">
        <v>658.51513671875</v>
      </c>
      <c r="C534">
        <f t="shared" si="26"/>
        <v>1.8482336637157905E-2</v>
      </c>
      <c r="K534">
        <f t="shared" si="24"/>
        <v>1104.599975585938</v>
      </c>
      <c r="L534" s="5">
        <f t="shared" si="25"/>
        <v>-0.40384288314922434</v>
      </c>
    </row>
    <row r="535" spans="1:12" x14ac:dyDescent="0.3">
      <c r="A535" s="2">
        <v>45796</v>
      </c>
      <c r="B535">
        <v>670.68603515625</v>
      </c>
      <c r="C535">
        <f t="shared" si="26"/>
        <v>-2.8695857130896608E-2</v>
      </c>
      <c r="K535">
        <f t="shared" si="24"/>
        <v>1104.599975585938</v>
      </c>
      <c r="L535" s="5">
        <f t="shared" si="25"/>
        <v>-0.39282450662695079</v>
      </c>
    </row>
    <row r="536" spans="1:12" x14ac:dyDescent="0.3">
      <c r="A536" s="2">
        <v>45797</v>
      </c>
      <c r="B536">
        <v>651.44012451171875</v>
      </c>
      <c r="C536">
        <f t="shared" si="26"/>
        <v>-5.3151844410225804E-4</v>
      </c>
      <c r="K536">
        <f t="shared" si="24"/>
        <v>1104.599975585938</v>
      </c>
      <c r="L536" s="5">
        <f t="shared" si="25"/>
        <v>-0.41024792783816544</v>
      </c>
    </row>
    <row r="537" spans="1:12" x14ac:dyDescent="0.3">
      <c r="A537" s="2">
        <v>45798</v>
      </c>
      <c r="B537">
        <v>651.0938720703125</v>
      </c>
      <c r="C537">
        <f t="shared" si="26"/>
        <v>-1.2538057104545929E-2</v>
      </c>
      <c r="K537">
        <f t="shared" si="24"/>
        <v>1104.599975585938</v>
      </c>
      <c r="L537" s="5">
        <f t="shared" si="25"/>
        <v>-0.41056139194196706</v>
      </c>
    </row>
    <row r="538" spans="1:12" x14ac:dyDescent="0.3">
      <c r="A538" s="2">
        <v>45799</v>
      </c>
      <c r="B538">
        <v>642.930419921875</v>
      </c>
      <c r="C538">
        <f t="shared" si="26"/>
        <v>1.5544384290831433E-2</v>
      </c>
      <c r="K538">
        <f t="shared" si="24"/>
        <v>1104.599975585938</v>
      </c>
      <c r="L538" s="5">
        <f t="shared" si="25"/>
        <v>-0.41795180686942268</v>
      </c>
    </row>
    <row r="539" spans="1:12" x14ac:dyDescent="0.3">
      <c r="A539" s="2">
        <v>45800</v>
      </c>
      <c r="B539">
        <v>652.92437744140625</v>
      </c>
      <c r="C539">
        <f t="shared" si="26"/>
        <v>7.047151987569447E-3</v>
      </c>
      <c r="K539">
        <f t="shared" si="24"/>
        <v>1104.599975585938</v>
      </c>
      <c r="L539" s="5">
        <f t="shared" si="25"/>
        <v>-0.40890422607961696</v>
      </c>
    </row>
    <row r="540" spans="1:12" x14ac:dyDescent="0.3">
      <c r="A540" s="2">
        <v>45803</v>
      </c>
      <c r="B540">
        <v>657.525634765625</v>
      </c>
      <c r="C540">
        <f t="shared" si="26"/>
        <v>-3.9126883197653367E-3</v>
      </c>
      <c r="K540">
        <f t="shared" si="24"/>
        <v>1104.599975585938</v>
      </c>
      <c r="L540" s="5">
        <f t="shared" si="25"/>
        <v>-0.40473868432158999</v>
      </c>
    </row>
    <row r="541" spans="1:12" x14ac:dyDescent="0.3">
      <c r="A541" s="2">
        <v>45804</v>
      </c>
      <c r="B541">
        <v>654.95294189453125</v>
      </c>
      <c r="C541">
        <f t="shared" si="26"/>
        <v>-9.3670069069735958E-3</v>
      </c>
      <c r="K541">
        <f t="shared" si="24"/>
        <v>1104.599975585938</v>
      </c>
      <c r="L541" s="5">
        <f t="shared" si="25"/>
        <v>-0.40706775631865311</v>
      </c>
    </row>
    <row r="542" spans="1:12" x14ac:dyDescent="0.3">
      <c r="A542" s="2">
        <v>45805</v>
      </c>
      <c r="B542">
        <v>648.8179931640625</v>
      </c>
      <c r="C542">
        <f t="shared" si="26"/>
        <v>-5.2615963110501617E-3</v>
      </c>
      <c r="K542">
        <f t="shared" si="24"/>
        <v>1104.599975585938</v>
      </c>
      <c r="L542" s="5">
        <f t="shared" si="25"/>
        <v>-0.41262175674058355</v>
      </c>
    </row>
    <row r="543" spans="1:12" x14ac:dyDescent="0.3">
      <c r="A543" s="2">
        <v>45806</v>
      </c>
      <c r="B543">
        <v>645.4041748046875</v>
      </c>
      <c r="C543">
        <f t="shared" si="26"/>
        <v>-1.9777664757446873E-2</v>
      </c>
      <c r="K543">
        <f t="shared" si="24"/>
        <v>1104.599975585938</v>
      </c>
      <c r="L543" s="5">
        <f t="shared" si="25"/>
        <v>-0.41571230393850844</v>
      </c>
    </row>
    <row r="544" spans="1:12" x14ac:dyDescent="0.3">
      <c r="A544" s="2">
        <v>45807</v>
      </c>
      <c r="B544">
        <v>632.63958740234375</v>
      </c>
      <c r="C544">
        <f t="shared" si="26"/>
        <v>5.0050327216146157E-3</v>
      </c>
      <c r="K544">
        <f t="shared" si="24"/>
        <v>1104.599975585938</v>
      </c>
      <c r="L544" s="5">
        <f t="shared" si="25"/>
        <v>-0.4272681501131137</v>
      </c>
    </row>
    <row r="545" spans="1:12" x14ac:dyDescent="0.3">
      <c r="A545" s="2">
        <v>45810</v>
      </c>
      <c r="B545">
        <v>635.80596923828125</v>
      </c>
      <c r="C545">
        <f t="shared" si="26"/>
        <v>8.870941807393555E-3</v>
      </c>
      <c r="K545">
        <f t="shared" si="24"/>
        <v>1104.599975585938</v>
      </c>
      <c r="L545" s="5">
        <f t="shared" si="25"/>
        <v>-0.42440160846371888</v>
      </c>
    </row>
    <row r="546" spans="1:12" x14ac:dyDescent="0.3">
      <c r="A546" s="2">
        <v>45811</v>
      </c>
      <c r="B546">
        <v>641.4461669921875</v>
      </c>
      <c r="C546">
        <f t="shared" si="26"/>
        <v>-1.087535089834353E-2</v>
      </c>
      <c r="K546">
        <f t="shared" si="24"/>
        <v>1104.599975585938</v>
      </c>
      <c r="L546" s="5">
        <f t="shared" si="25"/>
        <v>-0.41929550862797127</v>
      </c>
    </row>
    <row r="547" spans="1:12" x14ac:dyDescent="0.3">
      <c r="A547" s="2">
        <v>45812</v>
      </c>
      <c r="B547">
        <v>634.47021484375</v>
      </c>
      <c r="C547">
        <f t="shared" si="26"/>
        <v>1.5985612535064395E-2</v>
      </c>
      <c r="K547">
        <f t="shared" si="24"/>
        <v>1104.599975585938</v>
      </c>
      <c r="L547" s="5">
        <f t="shared" si="25"/>
        <v>-0.42561087373988615</v>
      </c>
    </row>
    <row r="548" spans="1:12" x14ac:dyDescent="0.3">
      <c r="A548" s="2">
        <v>45813</v>
      </c>
      <c r="B548">
        <v>644.61260986328125</v>
      </c>
      <c r="C548">
        <f t="shared" si="26"/>
        <v>5.6489365499601235E-2</v>
      </c>
      <c r="K548">
        <f t="shared" si="24"/>
        <v>1104.599975585938</v>
      </c>
      <c r="L548" s="5">
        <f t="shared" si="25"/>
        <v>-0.41642891172313778</v>
      </c>
    </row>
    <row r="549" spans="1:12" x14ac:dyDescent="0.3">
      <c r="A549" s="2">
        <v>45814</v>
      </c>
      <c r="B549">
        <v>681.0263671875</v>
      </c>
      <c r="C549">
        <f t="shared" si="26"/>
        <v>1.4166329686780782E-2</v>
      </c>
      <c r="K549">
        <f t="shared" si="24"/>
        <v>1104.599975585938</v>
      </c>
      <c r="L549" s="5">
        <f t="shared" si="25"/>
        <v>-0.38346335122246611</v>
      </c>
    </row>
    <row r="550" spans="1:12" x14ac:dyDescent="0.3">
      <c r="A550" s="2">
        <v>45817</v>
      </c>
      <c r="B550">
        <v>690.67401123046875</v>
      </c>
      <c r="C550">
        <f t="shared" si="26"/>
        <v>3.4384048855412995E-3</v>
      </c>
      <c r="K550">
        <f t="shared" si="24"/>
        <v>1104.599975585938</v>
      </c>
      <c r="L550" s="5">
        <f t="shared" si="25"/>
        <v>-0.37472928979190057</v>
      </c>
    </row>
    <row r="551" spans="1:12" x14ac:dyDescent="0.3">
      <c r="A551" s="2">
        <v>45818</v>
      </c>
      <c r="B551">
        <v>693.048828125</v>
      </c>
      <c r="C551">
        <f t="shared" si="26"/>
        <v>-2.0488313779974694E-2</v>
      </c>
      <c r="K551">
        <f t="shared" si="24"/>
        <v>1104.599975585938</v>
      </c>
      <c r="L551" s="5">
        <f t="shared" si="25"/>
        <v>-0.37257935592713509</v>
      </c>
    </row>
    <row r="552" spans="1:12" x14ac:dyDescent="0.3">
      <c r="A552" s="2">
        <v>45819</v>
      </c>
      <c r="B552">
        <v>678.84942626953125</v>
      </c>
      <c r="C552">
        <f t="shared" si="26"/>
        <v>-2.6237182359103165E-2</v>
      </c>
      <c r="K552">
        <f t="shared" si="24"/>
        <v>1104.599975585938</v>
      </c>
      <c r="L552" s="5">
        <f t="shared" si="25"/>
        <v>-0.38543414695493383</v>
      </c>
    </row>
    <row r="553" spans="1:12" x14ac:dyDescent="0.3">
      <c r="A553" s="2">
        <v>45820</v>
      </c>
      <c r="B553">
        <v>661.038330078125</v>
      </c>
      <c r="C553">
        <f t="shared" si="26"/>
        <v>-1.3471275252408671E-3</v>
      </c>
      <c r="K553">
        <f t="shared" si="24"/>
        <v>1104.599975585938</v>
      </c>
      <c r="L553" s="5">
        <f t="shared" si="25"/>
        <v>-0.401558623312955</v>
      </c>
    </row>
    <row r="554" spans="1:12" x14ac:dyDescent="0.3">
      <c r="A554" s="2">
        <v>45821</v>
      </c>
      <c r="B554">
        <v>660.1478271484375</v>
      </c>
      <c r="C554">
        <f t="shared" si="26"/>
        <v>1.3490279369318877E-2</v>
      </c>
      <c r="K554">
        <f t="shared" si="24"/>
        <v>1104.599975585938</v>
      </c>
      <c r="L554" s="5">
        <f t="shared" si="25"/>
        <v>-0.40236480016373322</v>
      </c>
    </row>
    <row r="555" spans="1:12" x14ac:dyDescent="0.3">
      <c r="A555" s="2">
        <v>45824</v>
      </c>
      <c r="B555">
        <v>669.05340576171875</v>
      </c>
      <c r="C555">
        <f t="shared" si="26"/>
        <v>-1.6490492275381415E-2</v>
      </c>
      <c r="K555">
        <f t="shared" si="24"/>
        <v>1104.599975585938</v>
      </c>
      <c r="L555" s="5">
        <f t="shared" si="25"/>
        <v>-0.39430253435700324</v>
      </c>
    </row>
    <row r="556" spans="1:12" x14ac:dyDescent="0.3">
      <c r="A556" s="2">
        <v>45825</v>
      </c>
      <c r="B556">
        <v>658.0203857421875</v>
      </c>
      <c r="C556">
        <f t="shared" si="26"/>
        <v>-4.3609102898189648E-3</v>
      </c>
      <c r="K556">
        <f t="shared" si="24"/>
        <v>1104.599975585938</v>
      </c>
      <c r="L556" s="5">
        <f t="shared" si="25"/>
        <v>-0.40429078373540717</v>
      </c>
    </row>
    <row r="557" spans="1:12" x14ac:dyDescent="0.3">
      <c r="A557" s="2">
        <v>45826</v>
      </c>
      <c r="B557">
        <v>655.15081787109375</v>
      </c>
      <c r="C557">
        <f t="shared" si="26"/>
        <v>-1.4952406798179727E-2</v>
      </c>
      <c r="K557">
        <f t="shared" si="24"/>
        <v>1104.599975585938</v>
      </c>
      <c r="L557" s="5">
        <f t="shared" si="25"/>
        <v>-0.40688861818635536</v>
      </c>
    </row>
    <row r="558" spans="1:12" x14ac:dyDescent="0.3">
      <c r="A558" s="2">
        <v>45827</v>
      </c>
      <c r="B558">
        <v>645.354736328125</v>
      </c>
      <c r="C558">
        <f t="shared" si="26"/>
        <v>2.1695765221177641E-2</v>
      </c>
      <c r="K558">
        <f t="shared" si="24"/>
        <v>1104.599975585938</v>
      </c>
      <c r="L558" s="5">
        <f t="shared" si="25"/>
        <v>-0.41575706084386355</v>
      </c>
    </row>
    <row r="559" spans="1:12" x14ac:dyDescent="0.3">
      <c r="A559" s="2">
        <v>45828</v>
      </c>
      <c r="B559">
        <v>659.356201171875</v>
      </c>
      <c r="C559">
        <f t="shared" si="26"/>
        <v>-7.0532964691306732E-3</v>
      </c>
      <c r="K559">
        <f t="shared" si="24"/>
        <v>1104.599975585938</v>
      </c>
      <c r="L559" s="5">
        <f t="shared" si="25"/>
        <v>-0.40308146320380123</v>
      </c>
    </row>
    <row r="560" spans="1:12" x14ac:dyDescent="0.3">
      <c r="A560" s="2">
        <v>45831</v>
      </c>
      <c r="B560">
        <v>654.70556640625</v>
      </c>
      <c r="C560">
        <f t="shared" si="26"/>
        <v>2.1763737874178592E-2</v>
      </c>
      <c r="K560">
        <f t="shared" si="24"/>
        <v>1104.599975585938</v>
      </c>
      <c r="L560" s="5">
        <f t="shared" si="25"/>
        <v>-0.40729170661174452</v>
      </c>
    </row>
    <row r="561" spans="1:12" x14ac:dyDescent="0.3">
      <c r="A561" s="2">
        <v>45832</v>
      </c>
      <c r="B561">
        <v>668.95440673828125</v>
      </c>
      <c r="C561">
        <f t="shared" si="26"/>
        <v>-1.4052728662721646E-3</v>
      </c>
      <c r="K561">
        <f t="shared" si="24"/>
        <v>1104.599975585938</v>
      </c>
      <c r="L561" s="5">
        <f t="shared" si="25"/>
        <v>-0.39439215867859079</v>
      </c>
    </row>
    <row r="562" spans="1:12" x14ac:dyDescent="0.3">
      <c r="A562" s="2">
        <v>45833</v>
      </c>
      <c r="B562">
        <v>668.01434326171875</v>
      </c>
      <c r="C562">
        <f t="shared" si="26"/>
        <v>4.1623529534305363E-2</v>
      </c>
      <c r="K562">
        <f t="shared" si="24"/>
        <v>1104.599975585938</v>
      </c>
      <c r="L562" s="5">
        <f t="shared" si="25"/>
        <v>-0.39524320294560134</v>
      </c>
    </row>
    <row r="563" spans="1:12" x14ac:dyDescent="0.3">
      <c r="A563" s="2">
        <v>45834</v>
      </c>
      <c r="B563">
        <v>695.8194580078125</v>
      </c>
      <c r="C563">
        <f t="shared" si="26"/>
        <v>-4.6217180486208004E-3</v>
      </c>
      <c r="K563">
        <f t="shared" si="24"/>
        <v>1104.599975585938</v>
      </c>
      <c r="L563" s="5">
        <f t="shared" si="25"/>
        <v>-0.37007109054233567</v>
      </c>
    </row>
    <row r="564" spans="1:12" x14ac:dyDescent="0.3">
      <c r="A564" s="2">
        <v>45835</v>
      </c>
      <c r="B564">
        <v>692.60357666015625</v>
      </c>
      <c r="C564">
        <f t="shared" si="26"/>
        <v>9.8577525131487952E-3</v>
      </c>
      <c r="K564">
        <f t="shared" si="24"/>
        <v>1104.599975585938</v>
      </c>
      <c r="L564" s="5">
        <f t="shared" si="25"/>
        <v>-0.37298244435252426</v>
      </c>
    </row>
    <row r="565" spans="1:12" x14ac:dyDescent="0.3">
      <c r="A565" s="2">
        <v>45838</v>
      </c>
      <c r="B565">
        <v>699.43109130859375</v>
      </c>
      <c r="C565">
        <f t="shared" si="26"/>
        <v>-1.4713147081119482E-2</v>
      </c>
      <c r="K565">
        <f t="shared" si="24"/>
        <v>1104.599975585938</v>
      </c>
      <c r="L565" s="5">
        <f t="shared" si="25"/>
        <v>-0.36680146046755191</v>
      </c>
    </row>
    <row r="566" spans="1:12" x14ac:dyDescent="0.3">
      <c r="A566" s="2">
        <v>45839</v>
      </c>
      <c r="B566">
        <v>689.1402587890625</v>
      </c>
      <c r="C566">
        <f t="shared" si="26"/>
        <v>-2.8070900445793655E-2</v>
      </c>
      <c r="K566">
        <f t="shared" si="24"/>
        <v>1104.599975585938</v>
      </c>
      <c r="L566" s="5">
        <f t="shared" si="25"/>
        <v>-0.37611780371124282</v>
      </c>
    </row>
    <row r="567" spans="1:12" x14ac:dyDescent="0.3">
      <c r="A567" s="2">
        <v>45840</v>
      </c>
      <c r="B567">
        <v>669.79547119140625</v>
      </c>
      <c r="C567">
        <f t="shared" si="26"/>
        <v>-2.2159793452281311E-3</v>
      </c>
      <c r="K567">
        <f t="shared" si="24"/>
        <v>1104.599975585938</v>
      </c>
      <c r="L567" s="5">
        <f t="shared" si="25"/>
        <v>-0.39363073873316767</v>
      </c>
    </row>
    <row r="568" spans="1:12" x14ac:dyDescent="0.3">
      <c r="A568" s="2">
        <v>45841</v>
      </c>
      <c r="B568">
        <v>668.31121826171875</v>
      </c>
      <c r="C568">
        <f t="shared" si="26"/>
        <v>1.110541735226941E-3</v>
      </c>
      <c r="K568">
        <f t="shared" si="24"/>
        <v>1104.599975585938</v>
      </c>
      <c r="L568" s="5">
        <f t="shared" si="25"/>
        <v>-0.39497444049171615</v>
      </c>
    </row>
    <row r="569" spans="1:12" x14ac:dyDescent="0.3">
      <c r="A569" s="2">
        <v>45842</v>
      </c>
      <c r="B569">
        <v>669.05340576171875</v>
      </c>
      <c r="C569">
        <f t="shared" si="26"/>
        <v>-7.1730197611316639E-3</v>
      </c>
      <c r="K569">
        <f t="shared" si="24"/>
        <v>1104.599975585938</v>
      </c>
      <c r="L569" s="5">
        <f t="shared" si="25"/>
        <v>-0.39430253435700324</v>
      </c>
    </row>
    <row r="570" spans="1:12" x14ac:dyDescent="0.3">
      <c r="A570" s="2">
        <v>45845</v>
      </c>
      <c r="B570">
        <v>664.2542724609375</v>
      </c>
      <c r="C570">
        <f t="shared" si="26"/>
        <v>-3.5007353574914302E-3</v>
      </c>
      <c r="K570">
        <f t="shared" si="24"/>
        <v>1104.599975585938</v>
      </c>
      <c r="L570" s="5">
        <f t="shared" si="25"/>
        <v>-0.39864721424732774</v>
      </c>
    </row>
    <row r="571" spans="1:12" x14ac:dyDescent="0.3">
      <c r="A571" s="2">
        <v>45846</v>
      </c>
      <c r="B571">
        <v>661.92889404296875</v>
      </c>
      <c r="C571">
        <f t="shared" si="26"/>
        <v>1.8087987295209433E-2</v>
      </c>
      <c r="K571">
        <f t="shared" si="24"/>
        <v>1104.599975585938</v>
      </c>
      <c r="L571" s="5">
        <f t="shared" si="25"/>
        <v>-0.40075239120673811</v>
      </c>
    </row>
    <row r="572" spans="1:12" x14ac:dyDescent="0.3">
      <c r="A572" s="2">
        <v>45847</v>
      </c>
      <c r="B572">
        <v>673.90185546875</v>
      </c>
      <c r="C572">
        <f t="shared" si="26"/>
        <v>-1.3655299311452153E-2</v>
      </c>
      <c r="K572">
        <f t="shared" si="24"/>
        <v>1104.599975585938</v>
      </c>
      <c r="L572" s="5">
        <f t="shared" si="25"/>
        <v>-0.38991320807220098</v>
      </c>
    </row>
    <row r="573" spans="1:12" x14ac:dyDescent="0.3">
      <c r="A573" s="2">
        <v>45848</v>
      </c>
      <c r="B573">
        <v>664.69952392578125</v>
      </c>
      <c r="C573">
        <f t="shared" si="26"/>
        <v>-7.4762840095397452E-4</v>
      </c>
      <c r="K573">
        <f t="shared" si="24"/>
        <v>1104.599975585938</v>
      </c>
      <c r="L573" s="5">
        <f t="shared" si="25"/>
        <v>-0.39824412582193869</v>
      </c>
    </row>
    <row r="574" spans="1:12" x14ac:dyDescent="0.3">
      <c r="A574" s="2">
        <v>45849</v>
      </c>
      <c r="B574">
        <v>664.20257568359375</v>
      </c>
      <c r="C574">
        <f t="shared" si="26"/>
        <v>2.2446551945154952E-3</v>
      </c>
      <c r="K574">
        <f t="shared" si="24"/>
        <v>1104.599975585938</v>
      </c>
      <c r="L574" s="5">
        <f t="shared" si="25"/>
        <v>-0.39869401560391515</v>
      </c>
    </row>
    <row r="575" spans="1:12" x14ac:dyDescent="0.3">
      <c r="A575" s="2">
        <v>45852</v>
      </c>
      <c r="B575">
        <v>665.6934814453125</v>
      </c>
      <c r="C575">
        <f t="shared" si="26"/>
        <v>2.194848277970228E-2</v>
      </c>
      <c r="K575">
        <f t="shared" si="24"/>
        <v>1104.599975585938</v>
      </c>
      <c r="L575" s="5">
        <f t="shared" si="25"/>
        <v>-0.3973442910025472</v>
      </c>
    </row>
    <row r="576" spans="1:12" x14ac:dyDescent="0.3">
      <c r="A576" s="2">
        <v>45853</v>
      </c>
      <c r="B576">
        <v>680.304443359375</v>
      </c>
      <c r="C576">
        <f t="shared" si="26"/>
        <v>-2.3522560520676816E-2</v>
      </c>
      <c r="K576">
        <f t="shared" si="24"/>
        <v>1104.599975585938</v>
      </c>
      <c r="L576" s="5">
        <f t="shared" si="25"/>
        <v>-0.38411691255152736</v>
      </c>
    </row>
    <row r="577" spans="1:12" x14ac:dyDescent="0.3">
      <c r="A577" s="2">
        <v>45854</v>
      </c>
      <c r="B577">
        <v>664.30194091796875</v>
      </c>
      <c r="C577">
        <f t="shared" si="26"/>
        <v>-4.3390604656060134E-3</v>
      </c>
      <c r="K577">
        <f t="shared" si="24"/>
        <v>1104.599975585938</v>
      </c>
      <c r="L577" s="5">
        <f t="shared" si="25"/>
        <v>-0.39860405974969537</v>
      </c>
    </row>
    <row r="578" spans="1:12" x14ac:dyDescent="0.3">
      <c r="A578" s="2">
        <v>45855</v>
      </c>
      <c r="B578">
        <v>661.41949462890625</v>
      </c>
      <c r="C578">
        <f t="shared" si="26"/>
        <v>-2.9979706916231023E-2</v>
      </c>
      <c r="K578">
        <f t="shared" ref="K578:K641" si="27">MAX(B578:B1317)</f>
        <v>1104.599975585938</v>
      </c>
      <c r="L578" s="5">
        <f t="shared" ref="L578:L641" si="28">B578/K578-1</f>
        <v>-0.40121355309821138</v>
      </c>
    </row>
    <row r="579" spans="1:12" x14ac:dyDescent="0.3">
      <c r="A579" s="2">
        <v>45856</v>
      </c>
      <c r="B579">
        <v>641.59033203125</v>
      </c>
      <c r="C579">
        <f t="shared" ref="C579:C642" si="29">(B580-B579)/B579</f>
        <v>1.5724304915535052E-2</v>
      </c>
      <c r="K579">
        <f t="shared" si="27"/>
        <v>1104.599975585938</v>
      </c>
      <c r="L579" s="5">
        <f t="shared" si="28"/>
        <v>-0.41916499528173834</v>
      </c>
    </row>
    <row r="580" spans="1:12" x14ac:dyDescent="0.3">
      <c r="A580" s="2">
        <v>45859</v>
      </c>
      <c r="B580">
        <v>651.67889404296875</v>
      </c>
      <c r="C580">
        <f t="shared" si="29"/>
        <v>-2.3640673452087722E-2</v>
      </c>
      <c r="K580">
        <f t="shared" si="27"/>
        <v>1104.599975585938</v>
      </c>
      <c r="L580" s="5">
        <f t="shared" si="28"/>
        <v>-0.41003176856193213</v>
      </c>
    </row>
    <row r="581" spans="1:12" x14ac:dyDescent="0.3">
      <c r="A581" s="2">
        <v>45860</v>
      </c>
      <c r="B581">
        <v>636.27276611328125</v>
      </c>
      <c r="C581">
        <f t="shared" si="29"/>
        <v>2.1713637034682941E-2</v>
      </c>
      <c r="K581">
        <f t="shared" si="27"/>
        <v>1104.599975585938</v>
      </c>
      <c r="L581" s="5">
        <f t="shared" si="28"/>
        <v>-0.42397901486846523</v>
      </c>
    </row>
    <row r="582" spans="1:12" x14ac:dyDescent="0.3">
      <c r="A582" s="2">
        <v>45861</v>
      </c>
      <c r="B582">
        <v>650.08856201171875</v>
      </c>
      <c r="C582">
        <f t="shared" si="29"/>
        <v>-3.1343197962341932E-2</v>
      </c>
      <c r="K582">
        <f t="shared" si="27"/>
        <v>1104.599975585938</v>
      </c>
      <c r="L582" s="5">
        <f t="shared" si="28"/>
        <v>-0.41147150427295853</v>
      </c>
    </row>
    <row r="583" spans="1:12" x14ac:dyDescent="0.3">
      <c r="A583" s="2">
        <v>45862</v>
      </c>
      <c r="B583">
        <v>629.71270751953125</v>
      </c>
      <c r="C583">
        <f t="shared" si="29"/>
        <v>-2.7937777382322143E-2</v>
      </c>
      <c r="K583">
        <f t="shared" si="27"/>
        <v>1104.599975585938</v>
      </c>
      <c r="L583" s="5">
        <f t="shared" si="28"/>
        <v>-0.42991786942101051</v>
      </c>
    </row>
    <row r="584" spans="1:12" x14ac:dyDescent="0.3">
      <c r="A584" s="2">
        <v>45863</v>
      </c>
      <c r="B584">
        <v>612.11993408203125</v>
      </c>
      <c r="C584">
        <f t="shared" si="29"/>
        <v>2.8578399802252932E-2</v>
      </c>
      <c r="K584">
        <f t="shared" si="27"/>
        <v>1104.599975585938</v>
      </c>
      <c r="L584" s="5">
        <f t="shared" si="28"/>
        <v>-0.44584469707476626</v>
      </c>
    </row>
    <row r="585" spans="1:12" x14ac:dyDescent="0.3">
      <c r="A585" s="2">
        <v>45866</v>
      </c>
      <c r="B585">
        <v>629.61334228515625</v>
      </c>
      <c r="C585">
        <f t="shared" si="29"/>
        <v>7.7353829181767203E-3</v>
      </c>
      <c r="K585">
        <f t="shared" si="27"/>
        <v>1104.599975585938</v>
      </c>
      <c r="L585" s="5">
        <f t="shared" si="28"/>
        <v>-0.43000782527523029</v>
      </c>
    </row>
    <row r="586" spans="1:12" x14ac:dyDescent="0.3">
      <c r="A586" s="2">
        <v>45867</v>
      </c>
      <c r="B586">
        <v>634.483642578125</v>
      </c>
      <c r="C586">
        <f t="shared" si="29"/>
        <v>-8.6943430639380183E-3</v>
      </c>
      <c r="K586">
        <f t="shared" si="27"/>
        <v>1104.599975585938</v>
      </c>
      <c r="L586" s="5">
        <f t="shared" si="28"/>
        <v>-0.42559871754336998</v>
      </c>
    </row>
    <row r="587" spans="1:12" x14ac:dyDescent="0.3">
      <c r="A587" s="2">
        <v>45868</v>
      </c>
      <c r="B587">
        <v>628.96722412109375</v>
      </c>
      <c r="C587">
        <f t="shared" si="29"/>
        <v>-3.0815141272696875E-3</v>
      </c>
      <c r="K587">
        <f t="shared" si="27"/>
        <v>1104.599975585938</v>
      </c>
      <c r="L587" s="5">
        <f t="shared" si="28"/>
        <v>-0.43059275934941388</v>
      </c>
    </row>
    <row r="588" spans="1:12" x14ac:dyDescent="0.3">
      <c r="A588" s="2">
        <v>45869</v>
      </c>
      <c r="B588">
        <v>627.029052734375</v>
      </c>
      <c r="C588">
        <f t="shared" si="29"/>
        <v>-2.6392929049480377E-2</v>
      </c>
      <c r="K588">
        <f t="shared" si="27"/>
        <v>1104.599975585938</v>
      </c>
      <c r="L588" s="5">
        <f t="shared" si="28"/>
        <v>-0.43234739580564829</v>
      </c>
    </row>
    <row r="589" spans="1:12" x14ac:dyDescent="0.3">
      <c r="A589" s="2">
        <v>45870</v>
      </c>
      <c r="B589">
        <v>610.47991943359375</v>
      </c>
      <c r="C589">
        <f t="shared" si="29"/>
        <v>1.7421036356054322E-2</v>
      </c>
      <c r="K589">
        <f t="shared" si="27"/>
        <v>1104.599975585938</v>
      </c>
      <c r="L589" s="5">
        <f t="shared" si="28"/>
        <v>-0.44732941071290255</v>
      </c>
    </row>
    <row r="590" spans="1:12" x14ac:dyDescent="0.3">
      <c r="A590" s="2">
        <v>45873</v>
      </c>
      <c r="B590">
        <v>621.1151123046875</v>
      </c>
      <c r="C590">
        <f t="shared" si="29"/>
        <v>8.3212546738270603E-3</v>
      </c>
      <c r="K590">
        <f t="shared" si="27"/>
        <v>1104.599975585938</v>
      </c>
      <c r="L590" s="5">
        <f t="shared" si="28"/>
        <v>-0.4377013162840101</v>
      </c>
    </row>
    <row r="591" spans="1:12" x14ac:dyDescent="0.3">
      <c r="A591" s="2">
        <v>45874</v>
      </c>
      <c r="B591">
        <v>626.2835693359375</v>
      </c>
      <c r="C591">
        <f t="shared" si="29"/>
        <v>7.9358504945409964E-4</v>
      </c>
      <c r="K591">
        <f t="shared" si="27"/>
        <v>1104.599975585938</v>
      </c>
      <c r="L591" s="5">
        <f t="shared" si="28"/>
        <v>-0.43302228573405166</v>
      </c>
    </row>
    <row r="592" spans="1:12" x14ac:dyDescent="0.3">
      <c r="A592" s="2">
        <v>45875</v>
      </c>
      <c r="B592">
        <v>626.78057861328125</v>
      </c>
      <c r="C592">
        <f t="shared" si="29"/>
        <v>-5.1538716895703288E-3</v>
      </c>
      <c r="K592">
        <f t="shared" si="27"/>
        <v>1104.599975585938</v>
      </c>
      <c r="L592" s="5">
        <f t="shared" si="28"/>
        <v>-0.43257234069663653</v>
      </c>
    </row>
    <row r="593" spans="1:12" x14ac:dyDescent="0.3">
      <c r="A593" s="2">
        <v>45876</v>
      </c>
      <c r="B593">
        <v>623.55023193359375</v>
      </c>
      <c r="C593">
        <f t="shared" si="29"/>
        <v>-2.8213785355816083E-2</v>
      </c>
      <c r="K593">
        <f t="shared" si="27"/>
        <v>1104.599975585938</v>
      </c>
      <c r="L593" s="5">
        <f t="shared" si="28"/>
        <v>-0.43549679004579922</v>
      </c>
    </row>
    <row r="594" spans="1:12" x14ac:dyDescent="0.3">
      <c r="A594" s="2">
        <v>45877</v>
      </c>
      <c r="B594">
        <v>605.95751953125</v>
      </c>
      <c r="C594">
        <f t="shared" si="29"/>
        <v>1.3040178855617361E-2</v>
      </c>
      <c r="K594">
        <f t="shared" si="27"/>
        <v>1104.599975585938</v>
      </c>
      <c r="L594" s="5">
        <f t="shared" si="28"/>
        <v>-0.4514235624441163</v>
      </c>
    </row>
    <row r="595" spans="1:12" x14ac:dyDescent="0.3">
      <c r="A595" s="2">
        <v>45880</v>
      </c>
      <c r="B595">
        <v>613.85931396484375</v>
      </c>
      <c r="C595">
        <f t="shared" si="29"/>
        <v>-9.2292585283119382E-3</v>
      </c>
      <c r="K595">
        <f t="shared" si="27"/>
        <v>1104.599975585938</v>
      </c>
      <c r="L595" s="5">
        <f t="shared" si="28"/>
        <v>-0.44427002758241008</v>
      </c>
    </row>
    <row r="596" spans="1:12" x14ac:dyDescent="0.3">
      <c r="A596" s="2">
        <v>45881</v>
      </c>
      <c r="B596">
        <v>608.19384765625</v>
      </c>
      <c r="C596">
        <f t="shared" si="29"/>
        <v>1.2011763988050556E-2</v>
      </c>
      <c r="K596">
        <f t="shared" si="27"/>
        <v>1104.599975585938</v>
      </c>
      <c r="L596" s="5">
        <f t="shared" si="28"/>
        <v>-0.44939900316978376</v>
      </c>
    </row>
    <row r="597" spans="1:12" x14ac:dyDescent="0.3">
      <c r="A597" s="2">
        <v>45882</v>
      </c>
      <c r="B597">
        <v>615.49932861328125</v>
      </c>
      <c r="C597">
        <f t="shared" si="29"/>
        <v>-4.5215646714049035E-3</v>
      </c>
      <c r="K597">
        <f t="shared" si="27"/>
        <v>1104.599975585938</v>
      </c>
      <c r="L597" s="5">
        <f t="shared" si="28"/>
        <v>-0.44278531394427378</v>
      </c>
    </row>
    <row r="598" spans="1:12" x14ac:dyDescent="0.3">
      <c r="A598" s="2">
        <v>45883</v>
      </c>
      <c r="B598">
        <v>612.71630859375</v>
      </c>
      <c r="C598">
        <f t="shared" si="29"/>
        <v>1.6789650179345146E-2</v>
      </c>
      <c r="K598">
        <f t="shared" si="27"/>
        <v>1104.599975585938</v>
      </c>
      <c r="L598" s="5">
        <f t="shared" si="28"/>
        <v>-0.44530479618313135</v>
      </c>
    </row>
    <row r="599" spans="1:12" x14ac:dyDescent="0.3">
      <c r="A599" s="2">
        <v>45887</v>
      </c>
      <c r="B599">
        <v>623.00360107421875</v>
      </c>
      <c r="C599">
        <f t="shared" si="29"/>
        <v>-7.179182018030053E-4</v>
      </c>
      <c r="K599">
        <f t="shared" si="27"/>
        <v>1104.599975585938</v>
      </c>
      <c r="L599" s="5">
        <f t="shared" si="28"/>
        <v>-0.43599165775488558</v>
      </c>
    </row>
    <row r="600" spans="1:12" x14ac:dyDescent="0.3">
      <c r="A600" s="2">
        <v>45888</v>
      </c>
      <c r="B600">
        <v>622.55633544921875</v>
      </c>
      <c r="C600">
        <f t="shared" si="29"/>
        <v>-1.6045352321376067E-2</v>
      </c>
      <c r="K600">
        <f t="shared" si="27"/>
        <v>1104.599975585938</v>
      </c>
      <c r="L600" s="5">
        <f t="shared" si="28"/>
        <v>-0.43639656960975204</v>
      </c>
    </row>
    <row r="601" spans="1:12" x14ac:dyDescent="0.3">
      <c r="A601" s="2">
        <v>45889</v>
      </c>
      <c r="B601">
        <v>612.56719970703125</v>
      </c>
      <c r="C601">
        <f t="shared" si="29"/>
        <v>5.6790843558797207E-3</v>
      </c>
      <c r="K601">
        <f t="shared" si="27"/>
        <v>1104.599975585938</v>
      </c>
      <c r="L601" s="5">
        <f t="shared" si="28"/>
        <v>-0.4454397852198998</v>
      </c>
    </row>
    <row r="602" spans="1:12" x14ac:dyDescent="0.3">
      <c r="A602" s="2">
        <v>45890</v>
      </c>
      <c r="B602">
        <v>616.0460205078125</v>
      </c>
      <c r="C602">
        <f t="shared" si="29"/>
        <v>-6.3730408039077016E-3</v>
      </c>
      <c r="K602">
        <f t="shared" si="27"/>
        <v>1104.599975585938</v>
      </c>
      <c r="L602" s="5">
        <f t="shared" si="28"/>
        <v>-0.44229039097974876</v>
      </c>
    </row>
    <row r="603" spans="1:12" x14ac:dyDescent="0.3">
      <c r="A603" s="2">
        <v>45891</v>
      </c>
      <c r="B603">
        <v>612.11993408203125</v>
      </c>
      <c r="C603">
        <f t="shared" si="29"/>
        <v>8.1187774660476195E-3</v>
      </c>
      <c r="K603">
        <f t="shared" si="27"/>
        <v>1104.599975585938</v>
      </c>
      <c r="L603" s="5">
        <f t="shared" si="28"/>
        <v>-0.44584469707476626</v>
      </c>
    </row>
    <row r="604" spans="1:12" x14ac:dyDescent="0.3">
      <c r="A604" s="2">
        <v>45894</v>
      </c>
      <c r="B604">
        <v>617.089599609375</v>
      </c>
      <c r="C604">
        <f t="shared" si="29"/>
        <v>-4.2119616284070377E-2</v>
      </c>
      <c r="K604">
        <f t="shared" si="27"/>
        <v>1104.599975585938</v>
      </c>
      <c r="L604" s="5">
        <f t="shared" si="28"/>
        <v>-0.44134563348868605</v>
      </c>
    </row>
    <row r="605" spans="1:12" x14ac:dyDescent="0.3">
      <c r="A605" s="2">
        <v>45895</v>
      </c>
      <c r="B605">
        <v>591.0980224609375</v>
      </c>
      <c r="C605">
        <f t="shared" si="29"/>
        <v>-3.875895111285501E-2</v>
      </c>
      <c r="K605">
        <f t="shared" si="27"/>
        <v>1104.599975585938</v>
      </c>
      <c r="L605" s="5">
        <f t="shared" si="28"/>
        <v>-0.46487594104156305</v>
      </c>
    </row>
    <row r="606" spans="1:12" x14ac:dyDescent="0.3">
      <c r="A606" s="2">
        <v>45897</v>
      </c>
      <c r="B606">
        <v>568.18768310546875</v>
      </c>
      <c r="C606">
        <f t="shared" si="29"/>
        <v>1.5044063461180875E-2</v>
      </c>
      <c r="K606">
        <f t="shared" si="27"/>
        <v>1104.599975585938</v>
      </c>
      <c r="L606" s="5">
        <f t="shared" si="28"/>
        <v>-0.48561678828204569</v>
      </c>
    </row>
    <row r="607" spans="1:12" x14ac:dyDescent="0.3">
      <c r="A607" s="2">
        <v>45898</v>
      </c>
      <c r="B607">
        <v>576.73553466796875</v>
      </c>
      <c r="C607">
        <f t="shared" si="29"/>
        <v>1.4390371284024579E-2</v>
      </c>
      <c r="K607">
        <f t="shared" si="27"/>
        <v>1104.599975585938</v>
      </c>
      <c r="L607" s="5">
        <f t="shared" si="28"/>
        <v>-0.47787837460159466</v>
      </c>
    </row>
    <row r="608" spans="1:12" x14ac:dyDescent="0.3">
      <c r="A608" s="2">
        <v>45901</v>
      </c>
      <c r="B608">
        <v>585.03497314453125</v>
      </c>
      <c r="C608">
        <f t="shared" si="29"/>
        <v>-6.795780125073903E-3</v>
      </c>
      <c r="K608">
        <f t="shared" si="27"/>
        <v>1104.599975585938</v>
      </c>
      <c r="L608" s="5">
        <f t="shared" si="28"/>
        <v>-0.47036485055669319</v>
      </c>
    </row>
    <row r="609" spans="1:12" x14ac:dyDescent="0.3">
      <c r="A609" s="2">
        <v>45902</v>
      </c>
      <c r="B609">
        <v>581.0592041015625</v>
      </c>
      <c r="C609">
        <f t="shared" si="29"/>
        <v>2.9079605893819731E-3</v>
      </c>
      <c r="K609">
        <f t="shared" si="27"/>
        <v>1104.599975585938</v>
      </c>
      <c r="L609" s="5">
        <f t="shared" si="28"/>
        <v>-0.47396413457882058</v>
      </c>
    </row>
    <row r="610" spans="1:12" x14ac:dyDescent="0.3">
      <c r="A610" s="2">
        <v>45903</v>
      </c>
      <c r="B610">
        <v>582.7489013671875</v>
      </c>
      <c r="C610">
        <f t="shared" si="29"/>
        <v>-8.5276564403915557E-4</v>
      </c>
      <c r="K610">
        <f t="shared" si="27"/>
        <v>1104.599975585938</v>
      </c>
      <c r="L610" s="5">
        <f t="shared" si="28"/>
        <v>-0.4724344430135744</v>
      </c>
    </row>
    <row r="611" spans="1:12" x14ac:dyDescent="0.3">
      <c r="A611" s="2">
        <v>45904</v>
      </c>
      <c r="B611">
        <v>582.251953125</v>
      </c>
      <c r="C611">
        <f t="shared" si="29"/>
        <v>1.1437357646261652E-2</v>
      </c>
      <c r="K611">
        <f t="shared" si="27"/>
        <v>1104.599975585938</v>
      </c>
      <c r="L611" s="5">
        <f t="shared" si="28"/>
        <v>-0.47288433279555075</v>
      </c>
    </row>
    <row r="612" spans="1:12" x14ac:dyDescent="0.3">
      <c r="A612" s="2">
        <v>45905</v>
      </c>
      <c r="B612">
        <v>588.911376953125</v>
      </c>
      <c r="C612">
        <f t="shared" si="29"/>
        <v>7.1729691926103387E-3</v>
      </c>
      <c r="K612">
        <f t="shared" si="27"/>
        <v>1104.599975585938</v>
      </c>
      <c r="L612" s="5">
        <f t="shared" si="28"/>
        <v>-0.46685552238878569</v>
      </c>
    </row>
    <row r="613" spans="1:12" x14ac:dyDescent="0.3">
      <c r="A613" s="2">
        <v>45908</v>
      </c>
      <c r="B613">
        <v>593.1356201171875</v>
      </c>
      <c r="C613">
        <f t="shared" si="29"/>
        <v>-2.9325163146817009E-3</v>
      </c>
      <c r="K613">
        <f t="shared" si="27"/>
        <v>1104.599975585938</v>
      </c>
      <c r="L613" s="5">
        <f t="shared" si="28"/>
        <v>-0.46303129347567007</v>
      </c>
    </row>
    <row r="614" spans="1:12" x14ac:dyDescent="0.3">
      <c r="A614" s="2">
        <v>45909</v>
      </c>
      <c r="B614">
        <v>591.396240234375</v>
      </c>
      <c r="C614">
        <f t="shared" si="29"/>
        <v>1.6470514898906396E-2</v>
      </c>
      <c r="K614">
        <f t="shared" si="27"/>
        <v>1104.599975585938</v>
      </c>
      <c r="L614" s="5">
        <f t="shared" si="28"/>
        <v>-0.46460596296802625</v>
      </c>
    </row>
    <row r="615" spans="1:12" x14ac:dyDescent="0.3">
      <c r="A615" s="2">
        <v>45910</v>
      </c>
      <c r="B615">
        <v>601.1368408203125</v>
      </c>
      <c r="C615">
        <f t="shared" si="29"/>
        <v>2.5214980648847918E-2</v>
      </c>
      <c r="K615">
        <f t="shared" si="27"/>
        <v>1104.599975585938</v>
      </c>
      <c r="L615" s="5">
        <f t="shared" si="28"/>
        <v>-0.4557877475043054</v>
      </c>
    </row>
    <row r="616" spans="1:12" x14ac:dyDescent="0.3">
      <c r="A616" s="2">
        <v>45911</v>
      </c>
      <c r="B616">
        <v>616.29449462890625</v>
      </c>
      <c r="C616">
        <f t="shared" si="29"/>
        <v>2.0643496340482358E-2</v>
      </c>
      <c r="K616">
        <f t="shared" si="27"/>
        <v>1104.599975585938</v>
      </c>
      <c r="L616" s="5">
        <f t="shared" si="28"/>
        <v>-0.44206544608876053</v>
      </c>
    </row>
    <row r="617" spans="1:12" x14ac:dyDescent="0.3">
      <c r="A617" s="2">
        <v>45912</v>
      </c>
      <c r="B617">
        <v>629.0169677734375</v>
      </c>
      <c r="C617">
        <f t="shared" si="29"/>
        <v>-1.4537425185434164E-2</v>
      </c>
      <c r="K617">
        <f t="shared" si="27"/>
        <v>1104.599975585938</v>
      </c>
      <c r="L617" s="5">
        <f t="shared" si="28"/>
        <v>-0.43054772616686521</v>
      </c>
    </row>
    <row r="618" spans="1:12" x14ac:dyDescent="0.3">
      <c r="A618" s="2">
        <v>45915</v>
      </c>
      <c r="B618">
        <v>619.8726806640625</v>
      </c>
      <c r="C618">
        <f t="shared" si="29"/>
        <v>-8.8992766242280176E-3</v>
      </c>
      <c r="K618">
        <f t="shared" si="27"/>
        <v>1104.599975585938</v>
      </c>
      <c r="L618" s="5">
        <f t="shared" si="28"/>
        <v>-0.43882609599438982</v>
      </c>
    </row>
    <row r="619" spans="1:12" x14ac:dyDescent="0.3">
      <c r="A619" s="2">
        <v>45916</v>
      </c>
      <c r="B619">
        <v>614.35626220703125</v>
      </c>
      <c r="C619">
        <f t="shared" si="29"/>
        <v>8.3320310447063672E-3</v>
      </c>
      <c r="K619">
        <f t="shared" si="27"/>
        <v>1104.599975585938</v>
      </c>
      <c r="L619" s="5">
        <f t="shared" si="28"/>
        <v>-0.44382013780043372</v>
      </c>
    </row>
    <row r="620" spans="1:12" x14ac:dyDescent="0.3">
      <c r="A620" s="2">
        <v>45917</v>
      </c>
      <c r="B620">
        <v>619.47509765625</v>
      </c>
      <c r="C620">
        <f t="shared" si="29"/>
        <v>5.8564576707378115E-3</v>
      </c>
      <c r="K620">
        <f t="shared" si="27"/>
        <v>1104.599975585938</v>
      </c>
      <c r="L620" s="5">
        <f t="shared" si="28"/>
        <v>-0.43918602992214639</v>
      </c>
    </row>
    <row r="621" spans="1:12" x14ac:dyDescent="0.3">
      <c r="A621" s="2">
        <v>45918</v>
      </c>
      <c r="B621">
        <v>623.10302734375</v>
      </c>
      <c r="C621">
        <f t="shared" si="29"/>
        <v>1.0049446954232181E-2</v>
      </c>
      <c r="K621">
        <f t="shared" si="27"/>
        <v>1104.599975585938</v>
      </c>
      <c r="L621" s="5">
        <f t="shared" si="28"/>
        <v>-0.43590164664522701</v>
      </c>
    </row>
    <row r="622" spans="1:12" x14ac:dyDescent="0.3">
      <c r="A622" s="2">
        <v>45919</v>
      </c>
      <c r="B622">
        <v>629.3648681640625</v>
      </c>
      <c r="C622">
        <f t="shared" si="29"/>
        <v>-8.4491957243136174E-3</v>
      </c>
      <c r="K622">
        <f t="shared" si="27"/>
        <v>1104.599975585938</v>
      </c>
      <c r="L622" s="5">
        <f t="shared" si="28"/>
        <v>-0.43023277016621853</v>
      </c>
    </row>
    <row r="623" spans="1:12" x14ac:dyDescent="0.3">
      <c r="A623" s="2">
        <v>45922</v>
      </c>
      <c r="B623">
        <v>624.0472412109375</v>
      </c>
      <c r="C623">
        <f t="shared" si="29"/>
        <v>1.5130487002158563E-3</v>
      </c>
      <c r="K623">
        <f t="shared" si="27"/>
        <v>1104.599975585938</v>
      </c>
      <c r="L623" s="5">
        <f t="shared" si="28"/>
        <v>-0.43504684500838409</v>
      </c>
    </row>
    <row r="624" spans="1:12" x14ac:dyDescent="0.3">
      <c r="A624" s="2">
        <v>45923</v>
      </c>
      <c r="B624">
        <v>624.991455078125</v>
      </c>
      <c r="C624">
        <f t="shared" si="29"/>
        <v>-5.8045715468766175E-3</v>
      </c>
      <c r="K624">
        <f t="shared" si="27"/>
        <v>1104.599975585938</v>
      </c>
      <c r="L624" s="5">
        <f t="shared" si="28"/>
        <v>-0.43419204337154127</v>
      </c>
    </row>
    <row r="625" spans="1:12" x14ac:dyDescent="0.3">
      <c r="A625" s="2">
        <v>45924</v>
      </c>
      <c r="B625">
        <v>621.3636474609375</v>
      </c>
      <c r="C625">
        <f t="shared" si="29"/>
        <v>-1.9915284454809438E-2</v>
      </c>
      <c r="K625">
        <f t="shared" si="27"/>
        <v>1104.599975585938</v>
      </c>
      <c r="L625" s="5">
        <f t="shared" si="28"/>
        <v>-0.4374763161375832</v>
      </c>
    </row>
    <row r="626" spans="1:12" x14ac:dyDescent="0.3">
      <c r="A626" s="2">
        <v>45925</v>
      </c>
      <c r="B626">
        <v>608.989013671875</v>
      </c>
      <c r="C626">
        <f t="shared" si="29"/>
        <v>-1.0853629642814619E-2</v>
      </c>
      <c r="K626">
        <f t="shared" si="27"/>
        <v>1104.599975585938</v>
      </c>
      <c r="L626" s="5">
        <f t="shared" si="28"/>
        <v>-0.44867913531427051</v>
      </c>
    </row>
    <row r="627" spans="1:12" x14ac:dyDescent="0.3">
      <c r="A627" s="2">
        <v>45926</v>
      </c>
      <c r="B627">
        <v>602.3792724609375</v>
      </c>
      <c r="C627">
        <f t="shared" si="29"/>
        <v>9.4876254663159246E-3</v>
      </c>
      <c r="K627">
        <f t="shared" si="27"/>
        <v>1104.599975585938</v>
      </c>
      <c r="L627" s="5">
        <f t="shared" si="28"/>
        <v>-0.45466296779392568</v>
      </c>
    </row>
    <row r="628" spans="1:12" x14ac:dyDescent="0.3">
      <c r="A628" s="2">
        <v>45929</v>
      </c>
      <c r="B628">
        <v>608.09442138671875</v>
      </c>
      <c r="C628">
        <f t="shared" si="29"/>
        <v>7.0284920665111645E-3</v>
      </c>
      <c r="K628">
        <f t="shared" si="27"/>
        <v>1104.599975585938</v>
      </c>
      <c r="L628" s="5">
        <f t="shared" si="28"/>
        <v>-0.44948901427944221</v>
      </c>
    </row>
    <row r="629" spans="1:12" x14ac:dyDescent="0.3">
      <c r="A629" s="2">
        <v>45930</v>
      </c>
      <c r="B629">
        <v>612.368408203125</v>
      </c>
      <c r="C629">
        <f t="shared" si="29"/>
        <v>5.2913552457260232E-2</v>
      </c>
      <c r="K629">
        <f t="shared" si="27"/>
        <v>1104.599975585938</v>
      </c>
      <c r="L629" s="5">
        <f t="shared" si="28"/>
        <v>-0.44561975218377803</v>
      </c>
    </row>
    <row r="630" spans="1:12" x14ac:dyDescent="0.3">
      <c r="A630" s="2">
        <v>45931</v>
      </c>
      <c r="B630">
        <v>644.77099609375</v>
      </c>
      <c r="C630">
        <f t="shared" si="29"/>
        <v>-4.470590863549998E-3</v>
      </c>
      <c r="K630">
        <f t="shared" si="27"/>
        <v>1104.599975585938</v>
      </c>
      <c r="L630" s="5">
        <f t="shared" si="28"/>
        <v>-0.41628552385968542</v>
      </c>
    </row>
    <row r="631" spans="1:12" x14ac:dyDescent="0.3">
      <c r="A631" s="2">
        <v>45933</v>
      </c>
      <c r="B631">
        <v>641.88848876953125</v>
      </c>
      <c r="C631">
        <f t="shared" si="29"/>
        <v>3.9718253851659377E-2</v>
      </c>
      <c r="K631">
        <f t="shared" si="27"/>
        <v>1104.599975585938</v>
      </c>
      <c r="L631" s="5">
        <f t="shared" si="28"/>
        <v>-0.41889507246364022</v>
      </c>
    </row>
    <row r="632" spans="1:12" x14ac:dyDescent="0.3">
      <c r="A632" s="2">
        <v>45936</v>
      </c>
      <c r="B632">
        <v>667.3831787109375</v>
      </c>
      <c r="C632">
        <f t="shared" si="29"/>
        <v>-6.9252961706378928E-3</v>
      </c>
      <c r="K632">
        <f t="shared" si="27"/>
        <v>1104.599975585938</v>
      </c>
      <c r="L632" s="5">
        <f t="shared" si="28"/>
        <v>-0.39581459943730102</v>
      </c>
    </row>
    <row r="633" spans="1:12" x14ac:dyDescent="0.3">
      <c r="A633" s="2">
        <v>45937</v>
      </c>
      <c r="B633">
        <v>662.7613525390625</v>
      </c>
      <c r="C633">
        <f t="shared" si="29"/>
        <v>1.5001820662949701E-4</v>
      </c>
      <c r="K633">
        <f t="shared" si="27"/>
        <v>1104.599975585938</v>
      </c>
      <c r="L633" s="5">
        <f t="shared" si="28"/>
        <v>-0.3999987622781731</v>
      </c>
    </row>
    <row r="634" spans="1:12" x14ac:dyDescent="0.3">
      <c r="A634" s="2">
        <v>45938</v>
      </c>
      <c r="B634">
        <v>662.86077880859375</v>
      </c>
      <c r="C634">
        <f t="shared" si="29"/>
        <v>3.2237566677418353E-3</v>
      </c>
      <c r="K634">
        <f t="shared" si="27"/>
        <v>1104.599975585938</v>
      </c>
      <c r="L634" s="5">
        <f t="shared" si="28"/>
        <v>-0.39990875116851465</v>
      </c>
    </row>
    <row r="635" spans="1:12" x14ac:dyDescent="0.3">
      <c r="A635" s="2">
        <v>45939</v>
      </c>
      <c r="B635">
        <v>664.9976806640625</v>
      </c>
      <c r="C635">
        <f t="shared" si="29"/>
        <v>-5.9786209163896209E-3</v>
      </c>
      <c r="K635">
        <f t="shared" si="27"/>
        <v>1104.599975585938</v>
      </c>
      <c r="L635" s="5">
        <f t="shared" si="28"/>
        <v>-0.39797420300384057</v>
      </c>
    </row>
    <row r="636" spans="1:12" x14ac:dyDescent="0.3">
      <c r="A636" s="2">
        <v>45940</v>
      </c>
      <c r="B636">
        <v>661.02191162109375</v>
      </c>
      <c r="C636">
        <f t="shared" si="29"/>
        <v>1.0675996887587217E-2</v>
      </c>
      <c r="K636">
        <f t="shared" si="27"/>
        <v>1104.599975585938</v>
      </c>
      <c r="L636" s="5">
        <f t="shared" si="28"/>
        <v>-0.40157348702596796</v>
      </c>
    </row>
    <row r="637" spans="1:12" x14ac:dyDescent="0.3">
      <c r="A637" s="2">
        <v>45943</v>
      </c>
      <c r="B637">
        <v>668.0789794921875</v>
      </c>
      <c r="C637">
        <f t="shared" si="29"/>
        <v>3.4217672047174965E-3</v>
      </c>
      <c r="K637">
        <f t="shared" si="27"/>
        <v>1104.599975585938</v>
      </c>
      <c r="L637" s="5">
        <f t="shared" si="28"/>
        <v>-0.39518468743600754</v>
      </c>
    </row>
    <row r="638" spans="1:12" x14ac:dyDescent="0.3">
      <c r="A638" s="2">
        <v>45944</v>
      </c>
      <c r="B638">
        <v>670.364990234375</v>
      </c>
      <c r="C638">
        <f t="shared" si="29"/>
        <v>4.0032740734536011E-3</v>
      </c>
      <c r="K638">
        <f t="shared" si="27"/>
        <v>1104.599975585938</v>
      </c>
      <c r="L638" s="5">
        <f t="shared" si="28"/>
        <v>-0.39311515023456511</v>
      </c>
    </row>
    <row r="639" spans="1:12" x14ac:dyDescent="0.3">
      <c r="A639" s="2">
        <v>45945</v>
      </c>
      <c r="B639">
        <v>673.04864501953125</v>
      </c>
      <c r="C639">
        <f t="shared" si="29"/>
        <v>-6.8670016737659113E-3</v>
      </c>
      <c r="K639">
        <f t="shared" si="27"/>
        <v>1104.599975585938</v>
      </c>
      <c r="L639" s="5">
        <f t="shared" si="28"/>
        <v>-0.39068562384992733</v>
      </c>
    </row>
    <row r="640" spans="1:12" x14ac:dyDescent="0.3">
      <c r="A640" s="2">
        <v>45946</v>
      </c>
      <c r="B640">
        <v>668.42681884765625</v>
      </c>
      <c r="C640">
        <f t="shared" si="29"/>
        <v>4.4609393868696584E-3</v>
      </c>
      <c r="K640">
        <f t="shared" si="27"/>
        <v>1104.599975585938</v>
      </c>
      <c r="L640" s="5">
        <f t="shared" si="28"/>
        <v>-0.39486978669079953</v>
      </c>
    </row>
    <row r="641" spans="1:12" x14ac:dyDescent="0.3">
      <c r="A641" s="2">
        <v>45947</v>
      </c>
      <c r="B641">
        <v>671.40863037109375</v>
      </c>
      <c r="C641">
        <f t="shared" si="29"/>
        <v>2.731310859945571E-2</v>
      </c>
      <c r="K641">
        <f t="shared" si="27"/>
        <v>1104.599975585938</v>
      </c>
      <c r="L641" s="5">
        <f t="shared" si="28"/>
        <v>-0.39217033748806374</v>
      </c>
    </row>
    <row r="642" spans="1:12" x14ac:dyDescent="0.3">
      <c r="A642" s="2">
        <v>45950</v>
      </c>
      <c r="B642">
        <v>689.74688720703125</v>
      </c>
      <c r="C642">
        <f t="shared" si="29"/>
        <v>1.8733165481102996E-3</v>
      </c>
      <c r="K642">
        <f t="shared" ref="K642:K705" si="30">MAX(B642:B1381)</f>
        <v>1104.599975585938</v>
      </c>
      <c r="L642" s="5">
        <f t="shared" ref="L642:L705" si="31">B642/K642-1</f>
        <v>-0.37556861990590462</v>
      </c>
    </row>
    <row r="643" spans="1:12" x14ac:dyDescent="0.3">
      <c r="A643" s="2">
        <v>45951</v>
      </c>
      <c r="B643">
        <v>691.03900146484375</v>
      </c>
      <c r="C643">
        <f t="shared" ref="C643:C706" si="32">(B644-B643)/B643</f>
        <v>2.0712007781675701E-2</v>
      </c>
      <c r="K643">
        <f t="shared" si="30"/>
        <v>1104.599975585938</v>
      </c>
      <c r="L643" s="5">
        <f t="shared" si="31"/>
        <v>-0.37439886226841501</v>
      </c>
    </row>
    <row r="644" spans="1:12" x14ac:dyDescent="0.3">
      <c r="A644" s="2">
        <v>45953</v>
      </c>
      <c r="B644">
        <v>705.351806640625</v>
      </c>
      <c r="C644">
        <f t="shared" si="32"/>
        <v>8.173074094162203E-3</v>
      </c>
      <c r="K644">
        <f t="shared" si="30"/>
        <v>1104.599975585938</v>
      </c>
      <c r="L644" s="5">
        <f t="shared" si="31"/>
        <v>-0.36144140663549329</v>
      </c>
    </row>
    <row r="645" spans="1:12" x14ac:dyDescent="0.3">
      <c r="A645" s="2">
        <v>45954</v>
      </c>
      <c r="B645">
        <v>711.11669921875</v>
      </c>
      <c r="C645">
        <f t="shared" si="32"/>
        <v>5.8004781761740003E-3</v>
      </c>
      <c r="K645">
        <f t="shared" si="30"/>
        <v>1104.599975585938</v>
      </c>
      <c r="L645" s="5">
        <f t="shared" si="31"/>
        <v>-0.35622241993846115</v>
      </c>
    </row>
    <row r="646" spans="1:12" x14ac:dyDescent="0.3">
      <c r="A646" s="2">
        <v>45957</v>
      </c>
      <c r="B646">
        <v>715.24151611328125</v>
      </c>
      <c r="C646">
        <f t="shared" si="32"/>
        <v>5.6976492844615064E-3</v>
      </c>
      <c r="K646">
        <f t="shared" si="30"/>
        <v>1104.599975585938</v>
      </c>
      <c r="L646" s="5">
        <f t="shared" si="31"/>
        <v>-0.35248820213500409</v>
      </c>
    </row>
    <row r="647" spans="1:12" x14ac:dyDescent="0.3">
      <c r="A647" s="2">
        <v>45958</v>
      </c>
      <c r="B647">
        <v>719.31671142578125</v>
      </c>
      <c r="C647">
        <f t="shared" si="32"/>
        <v>2.0381348435782418E-2</v>
      </c>
      <c r="K647">
        <f t="shared" si="30"/>
        <v>1104.599975585938</v>
      </c>
      <c r="L647" s="5">
        <f t="shared" si="31"/>
        <v>-0.34879890700321825</v>
      </c>
    </row>
    <row r="648" spans="1:12" x14ac:dyDescent="0.3">
      <c r="A648" s="2">
        <v>45959</v>
      </c>
      <c r="B648">
        <v>733.97735595703125</v>
      </c>
      <c r="C648">
        <f t="shared" si="32"/>
        <v>-2.7084146710091108E-4</v>
      </c>
      <c r="K648">
        <f t="shared" si="30"/>
        <v>1104.599975585938</v>
      </c>
      <c r="L648" s="5">
        <f t="shared" si="31"/>
        <v>-0.33552655062508852</v>
      </c>
    </row>
    <row r="649" spans="1:12" x14ac:dyDescent="0.3">
      <c r="A649" s="2">
        <v>45960</v>
      </c>
      <c r="B649">
        <v>733.778564453125</v>
      </c>
      <c r="C649">
        <f t="shared" si="32"/>
        <v>1.4426028187121388E-2</v>
      </c>
      <c r="K649">
        <f t="shared" si="30"/>
        <v>1104.599975585938</v>
      </c>
      <c r="L649" s="5">
        <f t="shared" si="31"/>
        <v>-0.33570651758896675</v>
      </c>
    </row>
    <row r="650" spans="1:12" x14ac:dyDescent="0.3">
      <c r="A650" s="2">
        <v>45961</v>
      </c>
      <c r="B650">
        <v>744.36407470703125</v>
      </c>
      <c r="C650">
        <f t="shared" si="32"/>
        <v>6.3493155475541671E-2</v>
      </c>
      <c r="K650">
        <f t="shared" si="30"/>
        <v>1104.599975585938</v>
      </c>
      <c r="L650" s="5">
        <f t="shared" si="31"/>
        <v>-0.32612340108718418</v>
      </c>
    </row>
    <row r="651" spans="1:12" x14ac:dyDescent="0.3">
      <c r="A651" s="2">
        <v>45964</v>
      </c>
      <c r="B651">
        <v>791.6260986328125</v>
      </c>
      <c r="C651">
        <f t="shared" si="32"/>
        <v>6.276020620505687E-5</v>
      </c>
      <c r="K651">
        <f t="shared" si="30"/>
        <v>1104.599975585938</v>
      </c>
      <c r="L651" s="5">
        <f t="shared" si="31"/>
        <v>-0.2833368494210835</v>
      </c>
    </row>
    <row r="652" spans="1:12" x14ac:dyDescent="0.3">
      <c r="A652" s="2">
        <v>45965</v>
      </c>
      <c r="B652">
        <v>791.67578125</v>
      </c>
      <c r="C652">
        <f t="shared" si="32"/>
        <v>-5.0219662355861037E-3</v>
      </c>
      <c r="K652">
        <f t="shared" si="30"/>
        <v>1104.599975585938</v>
      </c>
      <c r="L652" s="5">
        <f t="shared" si="31"/>
        <v>-0.28329187149397361</v>
      </c>
    </row>
    <row r="653" spans="1:12" x14ac:dyDescent="0.3">
      <c r="A653" s="2">
        <v>45967</v>
      </c>
      <c r="B653">
        <v>787.70001220703125</v>
      </c>
      <c r="C653">
        <f t="shared" si="32"/>
        <v>3.6371668065146835E-2</v>
      </c>
      <c r="K653">
        <f t="shared" si="30"/>
        <v>1104.599975585938</v>
      </c>
      <c r="L653" s="5">
        <f t="shared" si="31"/>
        <v>-0.286891155516101</v>
      </c>
    </row>
    <row r="654" spans="1:12" x14ac:dyDescent="0.3">
      <c r="A654" s="2">
        <v>45968</v>
      </c>
      <c r="B654">
        <v>816.3499755859375</v>
      </c>
      <c r="C654">
        <f t="shared" si="32"/>
        <v>5.818582889759596E-3</v>
      </c>
      <c r="K654">
        <f t="shared" si="30"/>
        <v>1104.599975585938</v>
      </c>
      <c r="L654" s="5">
        <f t="shared" si="31"/>
        <v>-0.26095419733021219</v>
      </c>
    </row>
    <row r="655" spans="1:12" x14ac:dyDescent="0.3">
      <c r="A655" s="2">
        <v>45971</v>
      </c>
      <c r="B655">
        <v>821.0999755859375</v>
      </c>
      <c r="C655">
        <f t="shared" si="32"/>
        <v>1.3640253976428283E-2</v>
      </c>
      <c r="K655">
        <f t="shared" si="30"/>
        <v>1104.599975585938</v>
      </c>
      <c r="L655" s="5">
        <f t="shared" si="31"/>
        <v>-0.25665399806804912</v>
      </c>
    </row>
    <row r="656" spans="1:12" x14ac:dyDescent="0.3">
      <c r="A656" s="2">
        <v>45972</v>
      </c>
      <c r="B656">
        <v>832.29998779296875</v>
      </c>
      <c r="C656">
        <f t="shared" si="32"/>
        <v>-1.1774586010695049E-2</v>
      </c>
      <c r="K656">
        <f t="shared" si="30"/>
        <v>1104.599975585938</v>
      </c>
      <c r="L656" s="5">
        <f t="shared" si="31"/>
        <v>-0.24651456980933484</v>
      </c>
    </row>
    <row r="657" spans="1:12" x14ac:dyDescent="0.3">
      <c r="A657" s="2">
        <v>45973</v>
      </c>
      <c r="B657">
        <v>822.5</v>
      </c>
      <c r="C657">
        <f t="shared" si="32"/>
        <v>-1.0334346504559271E-2</v>
      </c>
      <c r="K657">
        <f t="shared" si="30"/>
        <v>1104.599975585938</v>
      </c>
      <c r="L657" s="5">
        <f t="shared" si="31"/>
        <v>-0.25538654881492029</v>
      </c>
    </row>
    <row r="658" spans="1:12" x14ac:dyDescent="0.3">
      <c r="A658" s="2">
        <v>45974</v>
      </c>
      <c r="B658">
        <v>814</v>
      </c>
      <c r="C658">
        <f t="shared" si="32"/>
        <v>-5.7739707703086613E-3</v>
      </c>
      <c r="K658">
        <f t="shared" si="30"/>
        <v>1104.599975585938</v>
      </c>
      <c r="L658" s="5">
        <f t="shared" si="31"/>
        <v>-0.26308164223142272</v>
      </c>
    </row>
    <row r="659" spans="1:12" x14ac:dyDescent="0.3">
      <c r="A659" s="2">
        <v>45975</v>
      </c>
      <c r="B659">
        <v>809.29998779296875</v>
      </c>
      <c r="C659">
        <f t="shared" si="32"/>
        <v>1.0626512728051308E-2</v>
      </c>
      <c r="K659">
        <f t="shared" si="30"/>
        <v>1104.599975585938</v>
      </c>
      <c r="L659" s="5">
        <f t="shared" si="31"/>
        <v>-0.26733658728928233</v>
      </c>
    </row>
    <row r="660" spans="1:12" x14ac:dyDescent="0.3">
      <c r="A660" s="2">
        <v>45978</v>
      </c>
      <c r="B660">
        <v>817.9000244140625</v>
      </c>
      <c r="C660">
        <f t="shared" si="32"/>
        <v>2.8120647075618368E-3</v>
      </c>
      <c r="K660">
        <f t="shared" si="30"/>
        <v>1104.599975585938</v>
      </c>
      <c r="L660" s="5">
        <f t="shared" si="31"/>
        <v>-0.25955093020873432</v>
      </c>
    </row>
    <row r="661" spans="1:12" x14ac:dyDescent="0.3">
      <c r="A661" s="2">
        <v>45979</v>
      </c>
      <c r="B661">
        <v>820.20001220703125</v>
      </c>
      <c r="C661">
        <f t="shared" si="32"/>
        <v>-2.6213416021259464E-3</v>
      </c>
      <c r="K661">
        <f t="shared" si="30"/>
        <v>1104.599975585938</v>
      </c>
      <c r="L661" s="5">
        <f t="shared" si="31"/>
        <v>-0.25746873951182736</v>
      </c>
    </row>
    <row r="662" spans="1:12" x14ac:dyDescent="0.3">
      <c r="A662" s="2">
        <v>45980</v>
      </c>
      <c r="B662">
        <v>818.04998779296875</v>
      </c>
      <c r="C662">
        <f t="shared" si="32"/>
        <v>1.0451669116255244E-2</v>
      </c>
      <c r="K662">
        <f t="shared" si="30"/>
        <v>1104.599975585938</v>
      </c>
      <c r="L662" s="5">
        <f t="shared" si="31"/>
        <v>-0.25941516759582406</v>
      </c>
    </row>
    <row r="663" spans="1:12" x14ac:dyDescent="0.3">
      <c r="A663" s="2">
        <v>45981</v>
      </c>
      <c r="B663">
        <v>826.5999755859375</v>
      </c>
      <c r="C663">
        <f t="shared" si="32"/>
        <v>-3.9922427902681044E-3</v>
      </c>
      <c r="K663">
        <f t="shared" si="30"/>
        <v>1104.599975585938</v>
      </c>
      <c r="L663" s="5">
        <f t="shared" si="31"/>
        <v>-0.25167481997501817</v>
      </c>
    </row>
    <row r="664" spans="1:12" x14ac:dyDescent="0.3">
      <c r="A664" s="2">
        <v>45982</v>
      </c>
      <c r="B664">
        <v>823.29998779296875</v>
      </c>
      <c r="C664">
        <f t="shared" si="32"/>
        <v>5.9516877040142573E-3</v>
      </c>
      <c r="K664">
        <f t="shared" si="30"/>
        <v>1104.599975585938</v>
      </c>
      <c r="L664" s="5">
        <f t="shared" si="31"/>
        <v>-0.25466231577974907</v>
      </c>
    </row>
    <row r="665" spans="1:12" x14ac:dyDescent="0.3">
      <c r="A665" s="2">
        <v>45985</v>
      </c>
      <c r="B665">
        <v>828.20001220703125</v>
      </c>
      <c r="C665">
        <f t="shared" si="32"/>
        <v>1.213473514228406E-2</v>
      </c>
      <c r="K665">
        <f t="shared" si="30"/>
        <v>1104.599975585938</v>
      </c>
      <c r="L665" s="5">
        <f t="shared" si="31"/>
        <v>-0.25022629864923696</v>
      </c>
    </row>
    <row r="666" spans="1:12" x14ac:dyDescent="0.3">
      <c r="A666" s="2">
        <v>45986</v>
      </c>
      <c r="B666">
        <v>838.25</v>
      </c>
      <c r="C666">
        <f t="shared" si="32"/>
        <v>2.1890814895243065E-2</v>
      </c>
      <c r="K666">
        <f t="shared" si="30"/>
        <v>1104.599975585938</v>
      </c>
      <c r="L666" s="5">
        <f t="shared" si="31"/>
        <v>-0.24112799336669544</v>
      </c>
    </row>
    <row r="667" spans="1:12" x14ac:dyDescent="0.3">
      <c r="A667" s="2">
        <v>45987</v>
      </c>
      <c r="B667">
        <v>856.5999755859375</v>
      </c>
      <c r="C667">
        <f t="shared" si="32"/>
        <v>1.2899893933065395E-2</v>
      </c>
      <c r="K667">
        <f t="shared" si="30"/>
        <v>1104.599975585938</v>
      </c>
      <c r="L667" s="5">
        <f t="shared" si="31"/>
        <v>-0.2245156667403041</v>
      </c>
    </row>
    <row r="668" spans="1:12" x14ac:dyDescent="0.3">
      <c r="A668" s="2">
        <v>45988</v>
      </c>
      <c r="B668">
        <v>867.6500244140625</v>
      </c>
      <c r="C668">
        <f t="shared" si="32"/>
        <v>-1.8440614936656111E-2</v>
      </c>
      <c r="K668">
        <f t="shared" si="30"/>
        <v>1104.599975585938</v>
      </c>
      <c r="L668" s="5">
        <f t="shared" si="31"/>
        <v>-0.21451200109450008</v>
      </c>
    </row>
    <row r="669" spans="1:12" x14ac:dyDescent="0.3">
      <c r="A669" s="2">
        <v>45989</v>
      </c>
      <c r="B669">
        <v>851.6500244140625</v>
      </c>
      <c r="C669">
        <f t="shared" si="32"/>
        <v>-1.1746212437741132E-4</v>
      </c>
      <c r="K669">
        <f t="shared" si="30"/>
        <v>1104.599975585938</v>
      </c>
      <c r="L669" s="5">
        <f t="shared" si="31"/>
        <v>-0.22899688281968089</v>
      </c>
    </row>
    <row r="670" spans="1:12" x14ac:dyDescent="0.3">
      <c r="A670" s="2">
        <v>45992</v>
      </c>
      <c r="B670">
        <v>851.54998779296875</v>
      </c>
      <c r="C670">
        <f t="shared" si="32"/>
        <v>-9.5707398223669419E-3</v>
      </c>
      <c r="K670">
        <f t="shared" si="30"/>
        <v>1104.599975585938</v>
      </c>
      <c r="L670" s="5">
        <f t="shared" si="31"/>
        <v>-0.22908744648372659</v>
      </c>
    </row>
    <row r="671" spans="1:12" x14ac:dyDescent="0.3">
      <c r="A671" s="2">
        <v>45993</v>
      </c>
      <c r="B671">
        <v>843.4000244140625</v>
      </c>
      <c r="C671">
        <f t="shared" si="32"/>
        <v>-1.8140915799420853E-2</v>
      </c>
      <c r="K671">
        <f t="shared" si="30"/>
        <v>1104.599975585938</v>
      </c>
      <c r="L671" s="5">
        <f t="shared" si="31"/>
        <v>-0.23646564995922736</v>
      </c>
    </row>
    <row r="672" spans="1:12" x14ac:dyDescent="0.3">
      <c r="A672" s="2">
        <v>45994</v>
      </c>
      <c r="B672">
        <v>828.0999755859375</v>
      </c>
      <c r="C672">
        <f t="shared" si="32"/>
        <v>6.0438147084338483E-5</v>
      </c>
      <c r="K672">
        <f t="shared" si="30"/>
        <v>1104.599975585938</v>
      </c>
      <c r="L672" s="5">
        <f t="shared" si="31"/>
        <v>-0.25031686231328254</v>
      </c>
    </row>
    <row r="673" spans="1:12" x14ac:dyDescent="0.3">
      <c r="A673" s="2">
        <v>45995</v>
      </c>
      <c r="B673">
        <v>828.1500244140625</v>
      </c>
      <c r="C673">
        <f t="shared" si="32"/>
        <v>3.2300910718352407E-2</v>
      </c>
      <c r="K673">
        <f t="shared" si="30"/>
        <v>1104.599975585938</v>
      </c>
      <c r="L673" s="5">
        <f t="shared" si="31"/>
        <v>-0.2502715528535403</v>
      </c>
    </row>
    <row r="674" spans="1:12" x14ac:dyDescent="0.3">
      <c r="A674" s="2">
        <v>45996</v>
      </c>
      <c r="B674">
        <v>854.9000244140625</v>
      </c>
      <c r="C674">
        <f t="shared" si="32"/>
        <v>-2.4154899782832223E-2</v>
      </c>
      <c r="K674">
        <f t="shared" si="30"/>
        <v>1104.599975585938</v>
      </c>
      <c r="L674" s="5">
        <f t="shared" si="31"/>
        <v>-0.22605464121925356</v>
      </c>
    </row>
    <row r="675" spans="1:12" x14ac:dyDescent="0.3">
      <c r="A675" s="2">
        <v>45999</v>
      </c>
      <c r="B675">
        <v>834.25</v>
      </c>
      <c r="C675">
        <f t="shared" si="32"/>
        <v>1.4923598689878633E-2</v>
      </c>
      <c r="K675">
        <f t="shared" si="30"/>
        <v>1104.599975585938</v>
      </c>
      <c r="L675" s="5">
        <f t="shared" si="31"/>
        <v>-0.24474921379799064</v>
      </c>
    </row>
    <row r="676" spans="1:12" x14ac:dyDescent="0.3">
      <c r="A676" s="2">
        <v>46000</v>
      </c>
      <c r="B676">
        <v>846.70001220703125</v>
      </c>
      <c r="C676">
        <f t="shared" si="32"/>
        <v>-1.1160992170531086E-2</v>
      </c>
      <c r="K676">
        <f t="shared" si="30"/>
        <v>1104.599975585938</v>
      </c>
      <c r="L676" s="5">
        <f t="shared" si="31"/>
        <v>-0.23347815415449646</v>
      </c>
    </row>
    <row r="677" spans="1:12" x14ac:dyDescent="0.3">
      <c r="A677" s="2">
        <v>46001</v>
      </c>
      <c r="B677">
        <v>837.25</v>
      </c>
      <c r="C677">
        <f t="shared" si="32"/>
        <v>1.1824454361376531E-2</v>
      </c>
      <c r="K677">
        <f t="shared" si="30"/>
        <v>1104.599975585938</v>
      </c>
      <c r="L677" s="5">
        <f t="shared" si="31"/>
        <v>-0.24203329847451927</v>
      </c>
    </row>
    <row r="678" spans="1:12" x14ac:dyDescent="0.3">
      <c r="A678" s="2">
        <v>46002</v>
      </c>
      <c r="B678">
        <v>847.1500244140625</v>
      </c>
      <c r="C678">
        <f t="shared" si="32"/>
        <v>1.0033353732420557E-3</v>
      </c>
      <c r="K678">
        <f t="shared" si="30"/>
        <v>1104.599975585938</v>
      </c>
      <c r="L678" s="5">
        <f t="shared" si="31"/>
        <v>-0.23307075580488801</v>
      </c>
    </row>
    <row r="679" spans="1:12" x14ac:dyDescent="0.3">
      <c r="A679" s="2">
        <v>46003</v>
      </c>
      <c r="B679">
        <v>848</v>
      </c>
      <c r="C679">
        <f t="shared" si="32"/>
        <v>8.6674240400206361E-3</v>
      </c>
      <c r="K679">
        <f t="shared" si="30"/>
        <v>1104.599975585938</v>
      </c>
      <c r="L679" s="5">
        <f t="shared" si="31"/>
        <v>-0.23230126856541333</v>
      </c>
    </row>
    <row r="680" spans="1:12" x14ac:dyDescent="0.3">
      <c r="A680" s="2">
        <v>46006</v>
      </c>
      <c r="B680">
        <v>855.3499755859375</v>
      </c>
      <c r="C680">
        <f t="shared" si="32"/>
        <v>-8.1252719591347368E-3</v>
      </c>
      <c r="K680">
        <f t="shared" si="30"/>
        <v>1104.599975585938</v>
      </c>
      <c r="L680" s="5">
        <f t="shared" si="31"/>
        <v>-0.22564729812508377</v>
      </c>
    </row>
    <row r="681" spans="1:12" x14ac:dyDescent="0.3">
      <c r="A681" s="2">
        <v>46007</v>
      </c>
      <c r="B681">
        <v>848.4000244140625</v>
      </c>
      <c r="C681">
        <f t="shared" si="32"/>
        <v>1.8623275976307078E-2</v>
      </c>
      <c r="K681">
        <f t="shared" si="30"/>
        <v>1104.599975585938</v>
      </c>
      <c r="L681" s="5">
        <f t="shared" si="31"/>
        <v>-0.23193912442010833</v>
      </c>
    </row>
    <row r="682" spans="1:12" x14ac:dyDescent="0.3">
      <c r="A682" s="2">
        <v>46008</v>
      </c>
      <c r="B682">
        <v>864.20001220703125</v>
      </c>
      <c r="C682">
        <f t="shared" si="32"/>
        <v>6.0749825570961561E-3</v>
      </c>
      <c r="K682">
        <f t="shared" si="30"/>
        <v>1104.599975585938</v>
      </c>
      <c r="L682" s="5">
        <f t="shared" si="31"/>
        <v>-0.21763531476757991</v>
      </c>
    </row>
    <row r="683" spans="1:12" x14ac:dyDescent="0.3">
      <c r="A683" s="2">
        <v>46009</v>
      </c>
      <c r="B683">
        <v>869.45001220703125</v>
      </c>
      <c r="C683">
        <f t="shared" si="32"/>
        <v>3.7092414224178208E-2</v>
      </c>
      <c r="K683">
        <f t="shared" si="30"/>
        <v>1104.599975585938</v>
      </c>
      <c r="L683" s="5">
        <f t="shared" si="31"/>
        <v>-0.21288246295150492</v>
      </c>
    </row>
    <row r="684" spans="1:12" x14ac:dyDescent="0.3">
      <c r="A684" s="2">
        <v>46010</v>
      </c>
      <c r="B684">
        <v>901.70001220703125</v>
      </c>
      <c r="C684">
        <f t="shared" si="32"/>
        <v>3.6763849318097806E-2</v>
      </c>
      <c r="K684">
        <f t="shared" si="30"/>
        <v>1104.599975585938</v>
      </c>
      <c r="L684" s="5">
        <f t="shared" si="31"/>
        <v>-0.18368637322418724</v>
      </c>
    </row>
    <row r="685" spans="1:12" x14ac:dyDescent="0.3">
      <c r="A685" s="2">
        <v>46013</v>
      </c>
      <c r="B685">
        <v>934.8499755859375</v>
      </c>
      <c r="C685">
        <f t="shared" si="32"/>
        <v>2.4549406649603679E-2</v>
      </c>
      <c r="K685">
        <f t="shared" si="30"/>
        <v>1104.599975585938</v>
      </c>
      <c r="L685" s="5">
        <f t="shared" si="31"/>
        <v>-0.15367554205309131</v>
      </c>
    </row>
    <row r="686" spans="1:12" x14ac:dyDescent="0.3">
      <c r="A686" s="2">
        <v>46014</v>
      </c>
      <c r="B686">
        <v>957.79998779296875</v>
      </c>
      <c r="C686">
        <f t="shared" si="32"/>
        <v>1.6600568612138402E-2</v>
      </c>
      <c r="K686">
        <f t="shared" si="30"/>
        <v>1104.599975585938</v>
      </c>
      <c r="L686" s="5">
        <f t="shared" si="31"/>
        <v>-0.13289877877744727</v>
      </c>
    </row>
    <row r="687" spans="1:12" x14ac:dyDescent="0.3">
      <c r="A687" s="2">
        <v>46015</v>
      </c>
      <c r="B687">
        <v>973.70001220703125</v>
      </c>
      <c r="C687">
        <f t="shared" si="32"/>
        <v>-1.3813301877797928E-2</v>
      </c>
      <c r="K687">
        <f t="shared" si="30"/>
        <v>1104.599975585938</v>
      </c>
      <c r="L687" s="5">
        <f t="shared" si="31"/>
        <v>-0.11850440546087326</v>
      </c>
    </row>
    <row r="688" spans="1:12" x14ac:dyDescent="0.3">
      <c r="A688" s="2">
        <v>46017</v>
      </c>
      <c r="B688">
        <v>960.25</v>
      </c>
      <c r="C688">
        <f t="shared" si="32"/>
        <v>-4.9466284821661028E-3</v>
      </c>
      <c r="K688">
        <f t="shared" si="30"/>
        <v>1104.599975585938</v>
      </c>
      <c r="L688" s="5">
        <f t="shared" si="31"/>
        <v>-0.13068077021219116</v>
      </c>
    </row>
    <row r="689" spans="1:12" x14ac:dyDescent="0.3">
      <c r="A689" s="2">
        <v>46020</v>
      </c>
      <c r="B689">
        <v>955.5</v>
      </c>
      <c r="C689">
        <f t="shared" si="32"/>
        <v>2.5013107707025119E-2</v>
      </c>
      <c r="K689">
        <f t="shared" si="30"/>
        <v>1104.599975585938</v>
      </c>
      <c r="L689" s="5">
        <f t="shared" si="31"/>
        <v>-0.13498096947435423</v>
      </c>
    </row>
    <row r="690" spans="1:12" x14ac:dyDescent="0.3">
      <c r="A690" s="2">
        <v>46021</v>
      </c>
      <c r="B690">
        <v>979.4000244140625</v>
      </c>
      <c r="C690">
        <f t="shared" si="32"/>
        <v>1.7153346308133428E-2</v>
      </c>
      <c r="K690">
        <f t="shared" si="30"/>
        <v>1104.599975585938</v>
      </c>
      <c r="L690" s="5">
        <f t="shared" si="31"/>
        <v>-0.11334415529518982</v>
      </c>
    </row>
    <row r="691" spans="1:12" x14ac:dyDescent="0.3">
      <c r="A691" s="2">
        <v>46022</v>
      </c>
      <c r="B691">
        <v>996.20001220703125</v>
      </c>
      <c r="C691">
        <f t="shared" si="32"/>
        <v>2.3589640345352637E-2</v>
      </c>
      <c r="K691">
        <f t="shared" si="30"/>
        <v>1104.599975585938</v>
      </c>
      <c r="L691" s="5">
        <f t="shared" si="31"/>
        <v>-9.8135040534837681E-2</v>
      </c>
    </row>
    <row r="692" spans="1:12" x14ac:dyDescent="0.3">
      <c r="A692" s="2">
        <v>46023</v>
      </c>
      <c r="B692">
        <v>1019.700012207031</v>
      </c>
      <c r="C692">
        <f t="shared" si="32"/>
        <v>-9.1693993421221205E-3</v>
      </c>
      <c r="K692">
        <f t="shared" si="30"/>
        <v>1104.599975585938</v>
      </c>
      <c r="L692" s="5">
        <f t="shared" si="31"/>
        <v>-7.6860370500978492E-2</v>
      </c>
    </row>
    <row r="693" spans="1:12" x14ac:dyDescent="0.3">
      <c r="A693" s="2">
        <v>46024</v>
      </c>
      <c r="B693">
        <v>1010.349975585938</v>
      </c>
      <c r="C693">
        <f t="shared" si="32"/>
        <v>-6.9282923433936347E-3</v>
      </c>
      <c r="K693">
        <f t="shared" si="30"/>
        <v>1104.599975585938</v>
      </c>
      <c r="L693" s="5">
        <f t="shared" si="31"/>
        <v>-8.53250064123936E-2</v>
      </c>
    </row>
    <row r="694" spans="1:12" x14ac:dyDescent="0.3">
      <c r="A694" s="2">
        <v>46027</v>
      </c>
      <c r="B694">
        <v>1003.349975585938</v>
      </c>
      <c r="C694">
        <f t="shared" si="32"/>
        <v>-6.97614181399816E-4</v>
      </c>
      <c r="K694">
        <f t="shared" si="30"/>
        <v>1104.599975585938</v>
      </c>
      <c r="L694" s="5">
        <f t="shared" si="31"/>
        <v>-9.1662142167160288E-2</v>
      </c>
    </row>
    <row r="695" spans="1:12" x14ac:dyDescent="0.3">
      <c r="A695" s="2">
        <v>46028</v>
      </c>
      <c r="B695">
        <v>1002.650024414062</v>
      </c>
      <c r="C695">
        <f t="shared" si="32"/>
        <v>-6.7820761607206076E-3</v>
      </c>
      <c r="K695">
        <f t="shared" si="30"/>
        <v>1104.599975585938</v>
      </c>
      <c r="L695" s="5">
        <f t="shared" si="31"/>
        <v>-9.2295811538286809E-2</v>
      </c>
    </row>
    <row r="696" spans="1:12" x14ac:dyDescent="0.3">
      <c r="A696" s="2">
        <v>46029</v>
      </c>
      <c r="B696">
        <v>995.8499755859375</v>
      </c>
      <c r="C696">
        <f t="shared" si="32"/>
        <v>-2.9622445591157543E-3</v>
      </c>
      <c r="K696">
        <f t="shared" si="30"/>
        <v>1104.599975585938</v>
      </c>
      <c r="L696" s="5">
        <f t="shared" si="31"/>
        <v>-9.8451930475839222E-2</v>
      </c>
    </row>
    <row r="697" spans="1:12" x14ac:dyDescent="0.3">
      <c r="A697" s="2">
        <v>46030</v>
      </c>
      <c r="B697">
        <v>992.9000244140625</v>
      </c>
      <c r="C697">
        <f t="shared" si="32"/>
        <v>-1.7625138049852732E-2</v>
      </c>
      <c r="K697">
        <f t="shared" si="30"/>
        <v>1104.599975585938</v>
      </c>
      <c r="L697" s="5">
        <f t="shared" si="31"/>
        <v>-0.10112253633956847</v>
      </c>
    </row>
    <row r="698" spans="1:12" x14ac:dyDescent="0.3">
      <c r="A698" s="2">
        <v>46031</v>
      </c>
      <c r="B698">
        <v>975.4000244140625</v>
      </c>
      <c r="C698">
        <f t="shared" si="32"/>
        <v>-2.6656105761896317E-3</v>
      </c>
      <c r="K698">
        <f t="shared" si="30"/>
        <v>1104.599975585938</v>
      </c>
      <c r="L698" s="5">
        <f t="shared" si="31"/>
        <v>-0.11696537572648502</v>
      </c>
    </row>
    <row r="699" spans="1:12" x14ac:dyDescent="0.3">
      <c r="A699" s="2">
        <v>46034</v>
      </c>
      <c r="B699">
        <v>972.79998779296875</v>
      </c>
      <c r="C699">
        <f t="shared" si="32"/>
        <v>6.4247533700937144E-3</v>
      </c>
      <c r="K699">
        <f t="shared" si="30"/>
        <v>1104.599975585938</v>
      </c>
      <c r="L699" s="5">
        <f t="shared" si="31"/>
        <v>-0.11931920216009018</v>
      </c>
    </row>
    <row r="700" spans="1:12" x14ac:dyDescent="0.3">
      <c r="A700" s="2">
        <v>46035</v>
      </c>
      <c r="B700">
        <v>979.04998779296875</v>
      </c>
      <c r="C700">
        <f t="shared" si="32"/>
        <v>2.0938540611087197E-3</v>
      </c>
      <c r="K700">
        <f t="shared" si="30"/>
        <v>1104.599975585938</v>
      </c>
      <c r="L700" s="5">
        <f t="shared" si="31"/>
        <v>-0.11366104523619136</v>
      </c>
    </row>
    <row r="701" spans="1:12" x14ac:dyDescent="0.3">
      <c r="A701" s="2">
        <v>46036</v>
      </c>
      <c r="B701">
        <v>981.0999755859375</v>
      </c>
      <c r="C701">
        <f t="shared" si="32"/>
        <v>0</v>
      </c>
      <c r="K701">
        <f t="shared" si="30"/>
        <v>1104.599975585938</v>
      </c>
      <c r="L701" s="5">
        <f t="shared" si="31"/>
        <v>-0.11180518081624036</v>
      </c>
    </row>
    <row r="702" spans="1:12" x14ac:dyDescent="0.3">
      <c r="A702" s="2">
        <v>46037</v>
      </c>
      <c r="B702">
        <v>981.0999755859375</v>
      </c>
      <c r="C702">
        <f t="shared" si="32"/>
        <v>1.4626477401065624E-2</v>
      </c>
      <c r="K702">
        <f t="shared" si="30"/>
        <v>1104.599975585938</v>
      </c>
      <c r="L702" s="5">
        <f t="shared" si="31"/>
        <v>-0.11180518081624036</v>
      </c>
    </row>
    <row r="703" spans="1:12" x14ac:dyDescent="0.3">
      <c r="A703" s="2">
        <v>46038</v>
      </c>
      <c r="B703">
        <v>995.45001220703125</v>
      </c>
      <c r="C703">
        <f t="shared" si="32"/>
        <v>1.4968067905159508E-2</v>
      </c>
      <c r="K703">
        <f t="shared" si="30"/>
        <v>1104.599975585938</v>
      </c>
      <c r="L703" s="5">
        <f t="shared" si="31"/>
        <v>-9.8814019365705552E-2</v>
      </c>
    </row>
    <row r="704" spans="1:12" x14ac:dyDescent="0.3">
      <c r="A704" s="2">
        <v>46041</v>
      </c>
      <c r="B704">
        <v>1010.349975585938</v>
      </c>
      <c r="C704">
        <f t="shared" si="32"/>
        <v>-2.2615901556969346E-2</v>
      </c>
      <c r="K704">
        <f t="shared" si="30"/>
        <v>1104.599975585938</v>
      </c>
      <c r="L704" s="5">
        <f t="shared" si="31"/>
        <v>-8.53250064123936E-2</v>
      </c>
    </row>
    <row r="705" spans="1:12" x14ac:dyDescent="0.3">
      <c r="A705" s="2">
        <v>46042</v>
      </c>
      <c r="B705">
        <v>987.5</v>
      </c>
      <c r="C705">
        <f t="shared" si="32"/>
        <v>-1.5189873417721519E-3</v>
      </c>
      <c r="K705">
        <f t="shared" si="30"/>
        <v>1104.599975585938</v>
      </c>
      <c r="L705" s="5">
        <f t="shared" si="31"/>
        <v>-0.1060112060239925</v>
      </c>
    </row>
    <row r="706" spans="1:12" x14ac:dyDescent="0.3">
      <c r="A706" s="2">
        <v>46043</v>
      </c>
      <c r="B706">
        <v>986</v>
      </c>
      <c r="C706">
        <f t="shared" si="32"/>
        <v>1.9776876267748478E-2</v>
      </c>
      <c r="K706">
        <f t="shared" ref="K706:K740" si="33">MAX(B706:B1445)</f>
        <v>1104.599975585938</v>
      </c>
      <c r="L706" s="5">
        <f t="shared" ref="L706:L740" si="34">B706/K706-1</f>
        <v>-0.10736916368572824</v>
      </c>
    </row>
    <row r="707" spans="1:12" x14ac:dyDescent="0.3">
      <c r="A707" s="2">
        <v>46044</v>
      </c>
      <c r="B707">
        <v>1005.5</v>
      </c>
      <c r="C707">
        <f t="shared" ref="C707:C740" si="35">(B708-B707)/B707</f>
        <v>-1.9393458051029564E-3</v>
      </c>
      <c r="K707">
        <f t="shared" si="33"/>
        <v>1104.599975585938</v>
      </c>
      <c r="L707" s="5">
        <f t="shared" si="34"/>
        <v>-8.9715714083164033E-2</v>
      </c>
    </row>
    <row r="708" spans="1:12" x14ac:dyDescent="0.3">
      <c r="A708" s="2">
        <v>46045</v>
      </c>
      <c r="B708">
        <v>1003.549987792969</v>
      </c>
      <c r="C708">
        <f t="shared" si="35"/>
        <v>-2.4911564251005169E-3</v>
      </c>
      <c r="K708">
        <f t="shared" si="33"/>
        <v>1104.599975585938</v>
      </c>
      <c r="L708" s="5">
        <f t="shared" si="34"/>
        <v>-9.148107009450801E-2</v>
      </c>
    </row>
    <row r="709" spans="1:12" x14ac:dyDescent="0.3">
      <c r="A709" s="2">
        <v>46049</v>
      </c>
      <c r="B709">
        <v>1001.049987792969</v>
      </c>
      <c r="C709">
        <f t="shared" si="35"/>
        <v>1.773138226506921E-2</v>
      </c>
      <c r="K709">
        <f t="shared" si="33"/>
        <v>1104.599975585938</v>
      </c>
      <c r="L709" s="5">
        <f t="shared" si="34"/>
        <v>-9.374433286406747E-2</v>
      </c>
    </row>
    <row r="710" spans="1:12" x14ac:dyDescent="0.3">
      <c r="A710" s="2">
        <v>46050</v>
      </c>
      <c r="B710">
        <v>1018.799987792969</v>
      </c>
      <c r="C710">
        <f t="shared" si="35"/>
        <v>3.9261877188134032E-3</v>
      </c>
      <c r="K710">
        <f t="shared" si="33"/>
        <v>1104.599975585938</v>
      </c>
      <c r="L710" s="5">
        <f t="shared" si="34"/>
        <v>-7.7675167200194961E-2</v>
      </c>
    </row>
    <row r="711" spans="1:12" x14ac:dyDescent="0.3">
      <c r="A711" s="2">
        <v>46051</v>
      </c>
      <c r="B711">
        <v>1022.799987792969</v>
      </c>
      <c r="C711">
        <f t="shared" si="35"/>
        <v>-2.7375712029591259E-3</v>
      </c>
      <c r="K711">
        <f t="shared" si="33"/>
        <v>1104.599975585938</v>
      </c>
      <c r="L711" s="5">
        <f t="shared" si="34"/>
        <v>-7.4053946768899759E-2</v>
      </c>
    </row>
    <row r="712" spans="1:12" x14ac:dyDescent="0.3">
      <c r="A712" s="2">
        <v>46052</v>
      </c>
      <c r="B712">
        <v>1020</v>
      </c>
      <c r="C712">
        <f t="shared" si="35"/>
        <v>-5.6764729817708331E-2</v>
      </c>
      <c r="K712">
        <f t="shared" si="33"/>
        <v>1104.599975585938</v>
      </c>
      <c r="L712" s="5">
        <f t="shared" si="34"/>
        <v>-7.6588790019718855E-2</v>
      </c>
    </row>
    <row r="713" spans="1:12" x14ac:dyDescent="0.3">
      <c r="A713" s="2">
        <v>46055</v>
      </c>
      <c r="B713">
        <v>962.0999755859375</v>
      </c>
      <c r="C713">
        <f t="shared" si="35"/>
        <v>3.9808803450804654E-2</v>
      </c>
      <c r="K713">
        <f t="shared" si="33"/>
        <v>1104.599975585938</v>
      </c>
      <c r="L713" s="5">
        <f t="shared" si="34"/>
        <v>-0.12900597786489265</v>
      </c>
    </row>
    <row r="714" spans="1:12" x14ac:dyDescent="0.3">
      <c r="A714" s="2">
        <v>46056</v>
      </c>
      <c r="B714">
        <v>1000.400024414062</v>
      </c>
      <c r="C714">
        <f t="shared" si="35"/>
        <v>-1.5993968233161955E-3</v>
      </c>
      <c r="K714">
        <f t="shared" si="33"/>
        <v>1104.599975585938</v>
      </c>
      <c r="L714" s="5">
        <f t="shared" si="34"/>
        <v>-9.4332748030890312E-2</v>
      </c>
    </row>
    <row r="715" spans="1:12" x14ac:dyDescent="0.3">
      <c r="A715" s="2">
        <v>46057</v>
      </c>
      <c r="B715">
        <v>998.79998779296875</v>
      </c>
      <c r="C715">
        <f t="shared" si="35"/>
        <v>-6.8081576652744731E-3</v>
      </c>
      <c r="K715">
        <f t="shared" si="33"/>
        <v>1104.599975585938</v>
      </c>
      <c r="L715" s="5">
        <f t="shared" si="34"/>
        <v>-9.5781269356671195E-2</v>
      </c>
    </row>
    <row r="716" spans="1:12" x14ac:dyDescent="0.3">
      <c r="A716" s="2">
        <v>46058</v>
      </c>
      <c r="B716">
        <v>992</v>
      </c>
      <c r="C716">
        <f t="shared" si="35"/>
        <v>1.0584677419354838E-2</v>
      </c>
      <c r="K716">
        <f t="shared" si="33"/>
        <v>1104.599975585938</v>
      </c>
      <c r="L716" s="5">
        <f t="shared" si="34"/>
        <v>-0.10193733303878538</v>
      </c>
    </row>
    <row r="717" spans="1:12" x14ac:dyDescent="0.3">
      <c r="A717" s="2">
        <v>46059</v>
      </c>
      <c r="B717">
        <v>1002.5</v>
      </c>
      <c r="C717">
        <f t="shared" si="35"/>
        <v>6.0049826605361595E-2</v>
      </c>
      <c r="K717">
        <f t="shared" si="33"/>
        <v>1104.599975585938</v>
      </c>
      <c r="L717" s="5">
        <f t="shared" si="34"/>
        <v>-9.2431629406635407E-2</v>
      </c>
    </row>
    <row r="718" spans="1:12" x14ac:dyDescent="0.3">
      <c r="A718" s="2">
        <v>46062</v>
      </c>
      <c r="B718">
        <v>1062.699951171875</v>
      </c>
      <c r="C718">
        <f t="shared" si="35"/>
        <v>-1.3268068348350377E-2</v>
      </c>
      <c r="K718">
        <f t="shared" si="33"/>
        <v>1104.599975585938</v>
      </c>
      <c r="L718" s="5">
        <f t="shared" si="34"/>
        <v>-3.793230611999332E-2</v>
      </c>
    </row>
    <row r="719" spans="1:12" x14ac:dyDescent="0.3">
      <c r="A719" s="2">
        <v>46063</v>
      </c>
      <c r="B719">
        <v>1048.599975585938</v>
      </c>
      <c r="C719">
        <f t="shared" si="35"/>
        <v>7.820020439734416E-3</v>
      </c>
      <c r="K719">
        <f t="shared" si="33"/>
        <v>1104.599975585938</v>
      </c>
      <c r="L719" s="5">
        <f t="shared" si="34"/>
        <v>-5.0697086038133055E-2</v>
      </c>
    </row>
    <row r="720" spans="1:12" x14ac:dyDescent="0.3">
      <c r="A720" s="2">
        <v>46064</v>
      </c>
      <c r="B720">
        <v>1056.800048828125</v>
      </c>
      <c r="C720">
        <f t="shared" si="35"/>
        <v>2.460257267099026E-2</v>
      </c>
      <c r="K720">
        <f t="shared" si="33"/>
        <v>1104.599975585938</v>
      </c>
      <c r="L720" s="5">
        <f t="shared" si="34"/>
        <v>-4.3273517847451815E-2</v>
      </c>
    </row>
    <row r="721" spans="1:12" x14ac:dyDescent="0.3">
      <c r="A721" s="2">
        <v>46065</v>
      </c>
      <c r="B721">
        <v>1082.800048828125</v>
      </c>
      <c r="C721">
        <f t="shared" si="35"/>
        <v>-1.5700036233281003E-2</v>
      </c>
      <c r="K721">
        <f t="shared" si="33"/>
        <v>1104.599975585938</v>
      </c>
      <c r="L721" s="5">
        <f t="shared" si="34"/>
        <v>-1.9735585044032944E-2</v>
      </c>
    </row>
    <row r="722" spans="1:12" x14ac:dyDescent="0.3">
      <c r="A722" s="2">
        <v>46066</v>
      </c>
      <c r="B722">
        <v>1065.800048828125</v>
      </c>
      <c r="C722">
        <f t="shared" si="35"/>
        <v>1.8389918078431062E-2</v>
      </c>
      <c r="K722">
        <f t="shared" si="33"/>
        <v>1104.599975585938</v>
      </c>
      <c r="L722" s="5">
        <f t="shared" si="34"/>
        <v>-3.5125771877037582E-2</v>
      </c>
    </row>
    <row r="723" spans="1:12" x14ac:dyDescent="0.3">
      <c r="A723" s="2">
        <v>46069</v>
      </c>
      <c r="B723">
        <v>1085.400024414062</v>
      </c>
      <c r="C723">
        <f t="shared" si="35"/>
        <v>-9.5817433021307997E-3</v>
      </c>
      <c r="K723">
        <f t="shared" si="33"/>
        <v>1104.599975585938</v>
      </c>
      <c r="L723" s="5">
        <f t="shared" si="34"/>
        <v>-1.7381813865866902E-2</v>
      </c>
    </row>
    <row r="724" spans="1:12" x14ac:dyDescent="0.3">
      <c r="A724" s="2">
        <v>46070</v>
      </c>
      <c r="B724">
        <v>1075</v>
      </c>
      <c r="C724">
        <f t="shared" si="35"/>
        <v>1.1162336482558139E-3</v>
      </c>
      <c r="K724">
        <f t="shared" si="33"/>
        <v>1104.599975585938</v>
      </c>
      <c r="L724" s="5">
        <f t="shared" si="34"/>
        <v>-2.6797009089409518E-2</v>
      </c>
    </row>
    <row r="725" spans="1:12" x14ac:dyDescent="0.3">
      <c r="A725" s="2">
        <v>46071</v>
      </c>
      <c r="B725">
        <v>1076.199951171875</v>
      </c>
      <c r="C725">
        <f t="shared" si="35"/>
        <v>-1.9977700218801006E-2</v>
      </c>
      <c r="K725">
        <f t="shared" si="33"/>
        <v>1104.599975585938</v>
      </c>
      <c r="L725" s="5">
        <f t="shared" si="34"/>
        <v>-2.571068716437197E-2</v>
      </c>
    </row>
    <row r="726" spans="1:12" x14ac:dyDescent="0.3">
      <c r="A726" s="2">
        <v>46072</v>
      </c>
      <c r="B726">
        <v>1054.699951171875</v>
      </c>
      <c r="C726">
        <f t="shared" si="35"/>
        <v>4.361522583876903E-3</v>
      </c>
      <c r="K726">
        <f t="shared" si="33"/>
        <v>1104.599975585938</v>
      </c>
      <c r="L726" s="5">
        <f t="shared" si="34"/>
        <v>-4.5174746982583724E-2</v>
      </c>
    </row>
    <row r="727" spans="1:12" x14ac:dyDescent="0.3">
      <c r="A727" s="2">
        <v>46073</v>
      </c>
      <c r="B727">
        <v>1059.300048828125</v>
      </c>
      <c r="C727">
        <f t="shared" si="35"/>
        <v>5.0976136078949167E-3</v>
      </c>
      <c r="K727">
        <f t="shared" si="33"/>
        <v>1104.599975585938</v>
      </c>
      <c r="L727" s="5">
        <f t="shared" si="34"/>
        <v>-4.1010255077892355E-2</v>
      </c>
    </row>
    <row r="728" spans="1:12" x14ac:dyDescent="0.3">
      <c r="A728" s="2">
        <v>46076</v>
      </c>
      <c r="B728">
        <v>1064.699951171875</v>
      </c>
      <c r="C728">
        <f t="shared" si="35"/>
        <v>-2.817695254609539E-3</v>
      </c>
      <c r="K728">
        <f t="shared" si="33"/>
        <v>1104.599975585938</v>
      </c>
      <c r="L728" s="5">
        <f t="shared" si="34"/>
        <v>-3.6121695904345663E-2</v>
      </c>
    </row>
    <row r="729" spans="1:12" x14ac:dyDescent="0.3">
      <c r="A729" s="2">
        <v>46077</v>
      </c>
      <c r="B729">
        <v>1061.699951171875</v>
      </c>
      <c r="C729">
        <f t="shared" si="35"/>
        <v>2.2793702887031007E-2</v>
      </c>
      <c r="K729">
        <f t="shared" si="33"/>
        <v>1104.599975585938</v>
      </c>
      <c r="L729" s="5">
        <f t="shared" si="34"/>
        <v>-3.8837611227817148E-2</v>
      </c>
    </row>
    <row r="730" spans="1:12" x14ac:dyDescent="0.3">
      <c r="A730" s="2">
        <v>46078</v>
      </c>
      <c r="B730">
        <v>1085.900024414062</v>
      </c>
      <c r="C730">
        <f t="shared" si="35"/>
        <v>1.7220693205128316E-2</v>
      </c>
      <c r="K730">
        <f t="shared" si="33"/>
        <v>1104.599975585938</v>
      </c>
      <c r="L730" s="5">
        <f t="shared" si="34"/>
        <v>-1.6929161311954988E-2</v>
      </c>
    </row>
    <row r="731" spans="1:12" x14ac:dyDescent="0.3">
      <c r="A731" s="2">
        <v>46079</v>
      </c>
      <c r="B731">
        <v>1104.599975585938</v>
      </c>
      <c r="C731">
        <f t="shared" si="35"/>
        <v>-2.2813644512809744E-2</v>
      </c>
      <c r="K731">
        <f t="shared" si="33"/>
        <v>1104.599975585938</v>
      </c>
      <c r="L731" s="5">
        <f t="shared" si="34"/>
        <v>0</v>
      </c>
    </row>
    <row r="732" spans="1:12" x14ac:dyDescent="0.3">
      <c r="A732" s="2">
        <v>46080</v>
      </c>
      <c r="B732">
        <v>1079.400024414062</v>
      </c>
      <c r="C732">
        <f t="shared" si="35"/>
        <v>-2.492127460221651E-2</v>
      </c>
      <c r="K732">
        <f t="shared" si="33"/>
        <v>1079.400024414062</v>
      </c>
      <c r="L732" s="5">
        <f t="shared" si="34"/>
        <v>0</v>
      </c>
    </row>
    <row r="733" spans="1:12" x14ac:dyDescent="0.3">
      <c r="A733" s="2">
        <v>46083</v>
      </c>
      <c r="B733">
        <v>1052.5</v>
      </c>
      <c r="C733">
        <f t="shared" si="35"/>
        <v>-4.0380047505938245E-2</v>
      </c>
      <c r="K733">
        <f t="shared" si="33"/>
        <v>1062.900024414062</v>
      </c>
      <c r="L733" s="5">
        <f t="shared" si="34"/>
        <v>-9.7845744427329517E-3</v>
      </c>
    </row>
    <row r="734" spans="1:12" x14ac:dyDescent="0.3">
      <c r="A734" s="2">
        <v>46085</v>
      </c>
      <c r="B734">
        <v>1010</v>
      </c>
      <c r="C734">
        <f t="shared" si="35"/>
        <v>2.920792079207921E-2</v>
      </c>
      <c r="K734">
        <f t="shared" si="33"/>
        <v>1062.900024414062</v>
      </c>
      <c r="L734" s="5">
        <f t="shared" si="34"/>
        <v>-4.9769520367848208E-2</v>
      </c>
    </row>
    <row r="735" spans="1:12" x14ac:dyDescent="0.3">
      <c r="A735" s="2">
        <v>46086</v>
      </c>
      <c r="B735">
        <v>1039.5</v>
      </c>
      <c r="C735">
        <f t="shared" si="35"/>
        <v>-3.0784030784030785E-2</v>
      </c>
      <c r="K735">
        <f t="shared" si="33"/>
        <v>1062.900024414062</v>
      </c>
      <c r="L735" s="5">
        <f t="shared" si="34"/>
        <v>-2.201526378453289E-2</v>
      </c>
    </row>
    <row r="736" spans="1:12" x14ac:dyDescent="0.3">
      <c r="A736" s="2">
        <v>46087</v>
      </c>
      <c r="B736">
        <v>1007.5</v>
      </c>
      <c r="C736">
        <f t="shared" si="35"/>
        <v>-2.0148871258529776E-2</v>
      </c>
      <c r="K736">
        <f t="shared" si="33"/>
        <v>1062.900024414062</v>
      </c>
      <c r="L736" s="5">
        <f t="shared" si="34"/>
        <v>-5.2121576010502046E-2</v>
      </c>
    </row>
    <row r="737" spans="1:13" x14ac:dyDescent="0.3">
      <c r="A737" s="2">
        <v>46090</v>
      </c>
      <c r="B737">
        <v>987.20001220703125</v>
      </c>
      <c r="C737">
        <f t="shared" si="35"/>
        <v>7.6681534917926356E-2</v>
      </c>
      <c r="K737">
        <f t="shared" si="33"/>
        <v>1062.900024414062</v>
      </c>
      <c r="L737" s="5">
        <f t="shared" si="34"/>
        <v>-7.1220256344204591E-2</v>
      </c>
    </row>
    <row r="738" spans="1:13" x14ac:dyDescent="0.3">
      <c r="A738" s="2">
        <v>46091</v>
      </c>
      <c r="B738">
        <v>1062.900024414062</v>
      </c>
      <c r="C738">
        <f t="shared" si="35"/>
        <v>-2.9353723328199664E-2</v>
      </c>
      <c r="K738">
        <f t="shared" si="33"/>
        <v>1062.900024414062</v>
      </c>
      <c r="L738" s="5">
        <f t="shared" si="34"/>
        <v>0</v>
      </c>
    </row>
    <row r="739" spans="1:13" x14ac:dyDescent="0.3">
      <c r="A739" s="2">
        <v>46092</v>
      </c>
      <c r="B739">
        <v>1031.699951171875</v>
      </c>
      <c r="C739">
        <f t="shared" si="35"/>
        <v>0</v>
      </c>
      <c r="K739">
        <f t="shared" si="33"/>
        <v>1031.699951171875</v>
      </c>
      <c r="L739" s="5">
        <f t="shared" si="34"/>
        <v>0</v>
      </c>
    </row>
    <row r="740" spans="1:13" x14ac:dyDescent="0.3">
      <c r="A740" s="2">
        <v>46093</v>
      </c>
      <c r="B740">
        <v>1031.699951171875</v>
      </c>
      <c r="C740">
        <f t="shared" si="35"/>
        <v>-2.7236577411891102E-2</v>
      </c>
      <c r="K740">
        <f t="shared" si="33"/>
        <v>1031.699951171875</v>
      </c>
      <c r="L740" s="5">
        <f t="shared" si="34"/>
        <v>0</v>
      </c>
    </row>
    <row r="741" spans="1:13" x14ac:dyDescent="0.3">
      <c r="A741" s="2">
        <v>46094</v>
      </c>
      <c r="B741">
        <v>1003.599975585938</v>
      </c>
      <c r="C741" t="s">
        <v>3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41"/>
  <sheetViews>
    <sheetView showGridLines="0" zoomScaleNormal="100" workbookViewId="0">
      <selection activeCell="O2" sqref="O2"/>
    </sheetView>
  </sheetViews>
  <sheetFormatPr defaultRowHeight="14.4" outlineLevelCol="1" x14ac:dyDescent="0.3"/>
  <cols>
    <col min="1" max="1" width="18.109375" bestFit="1" customWidth="1"/>
    <col min="2" max="2" width="12" bestFit="1" customWidth="1"/>
    <col min="3" max="3" width="12.6640625" bestFit="1" customWidth="1"/>
    <col min="4" max="5" width="12" bestFit="1" customWidth="1"/>
    <col min="6" max="6" width="8.21875" customWidth="1"/>
    <col min="7" max="7" width="12" bestFit="1" customWidth="1"/>
    <col min="8" max="8" width="13.21875" bestFit="1" customWidth="1"/>
    <col min="9" max="10" width="12" bestFit="1" customWidth="1"/>
    <col min="11" max="11" width="12" hidden="1" customWidth="1" outlineLevel="1"/>
    <col min="12" max="12" width="12.6640625" hidden="1" customWidth="1" outlineLevel="1"/>
    <col min="13" max="13" width="16.21875" bestFit="1" customWidth="1" collapsed="1"/>
    <col min="15" max="15" width="14" bestFit="1" customWidth="1"/>
  </cols>
  <sheetData>
    <row r="1" spans="1:15" x14ac:dyDescent="0.3">
      <c r="A1" s="1" t="s">
        <v>1</v>
      </c>
      <c r="B1" s="1" t="s">
        <v>0</v>
      </c>
      <c r="C1" s="4" t="s">
        <v>2</v>
      </c>
      <c r="D1" s="4" t="s">
        <v>4</v>
      </c>
      <c r="E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s="2">
        <v>45000</v>
      </c>
      <c r="B2">
        <v>2115.6455078125</v>
      </c>
      <c r="C2">
        <f>(B3-B2)/B2</f>
        <v>-1.4012742675592602E-3</v>
      </c>
      <c r="D2">
        <f>((B740/B2)^(1/3)-1)</f>
        <v>0.20692575316805106</v>
      </c>
      <c r="E2">
        <f>SLOPE(C2:C739,Nifty_50!C2:C739)</f>
        <v>1.1258492678470513</v>
      </c>
      <c r="G2">
        <f>_xlfn.STDEV.S(C2:C740)</f>
        <v>1.5381971327493764E-2</v>
      </c>
      <c r="H2">
        <v>6.4799999999999996E-2</v>
      </c>
      <c r="I2">
        <f>(D2-H2)/G2</f>
        <v>9.2397619357159524</v>
      </c>
      <c r="J2">
        <f>(D2-H2)/E2</f>
        <v>0.12623870461792502</v>
      </c>
      <c r="K2">
        <f t="shared" ref="K2:K65" si="0">MAX(B2:B741)</f>
        <v>4418.10009765625</v>
      </c>
      <c r="L2" s="5">
        <f t="shared" ref="L2:L65" si="1">B2/K2-1</f>
        <v>-0.52114133653630323</v>
      </c>
      <c r="M2" s="5">
        <f>MIN(L2:L740)</f>
        <v>-0.53061226406951434</v>
      </c>
      <c r="N2">
        <f>D2/M2</f>
        <v>-0.38997544380342891</v>
      </c>
      <c r="O2">
        <f>(D2-(H2+E2*(Nifty_50!D2-Larsen_and_Toubro!H2)))</f>
        <v>9.2324773553195794E-2</v>
      </c>
    </row>
    <row r="3" spans="1:15" x14ac:dyDescent="0.3">
      <c r="A3" s="2">
        <v>45001</v>
      </c>
      <c r="B3">
        <v>2112.680908203125</v>
      </c>
      <c r="C3">
        <f t="shared" ref="C3:C66" si="2">(B4-B3)/B3</f>
        <v>1.0190394891524754E-2</v>
      </c>
      <c r="K3">
        <f t="shared" si="0"/>
        <v>4418.10009765625</v>
      </c>
      <c r="L3" s="5">
        <f t="shared" si="1"/>
        <v>-0.52181234885921279</v>
      </c>
    </row>
    <row r="4" spans="1:15" x14ac:dyDescent="0.3">
      <c r="A4" s="2">
        <v>45002</v>
      </c>
      <c r="B4">
        <v>2134.2099609375</v>
      </c>
      <c r="C4">
        <f t="shared" si="2"/>
        <v>-8.2886396321823937E-3</v>
      </c>
      <c r="K4">
        <f t="shared" si="0"/>
        <v>4418.10009765625</v>
      </c>
      <c r="L4" s="5">
        <f t="shared" si="1"/>
        <v>-0.51693942786183744</v>
      </c>
    </row>
    <row r="5" spans="1:15" x14ac:dyDescent="0.3">
      <c r="A5" s="2">
        <v>45005</v>
      </c>
      <c r="B5">
        <v>2116.520263671875</v>
      </c>
      <c r="C5">
        <f t="shared" si="2"/>
        <v>1.4190242381506995E-2</v>
      </c>
      <c r="K5">
        <f t="shared" si="0"/>
        <v>4418.10009765625</v>
      </c>
      <c r="L5" s="5">
        <f t="shared" si="1"/>
        <v>-0.52094334286480648</v>
      </c>
    </row>
    <row r="6" spans="1:15" x14ac:dyDescent="0.3">
      <c r="A6" s="2">
        <v>45006</v>
      </c>
      <c r="B6">
        <v>2146.55419921875</v>
      </c>
      <c r="C6">
        <f t="shared" si="2"/>
        <v>2.4903648493690947E-3</v>
      </c>
      <c r="K6">
        <f t="shared" si="0"/>
        <v>4418.10009765625</v>
      </c>
      <c r="L6" s="5">
        <f t="shared" si="1"/>
        <v>-0.51414541278558357</v>
      </c>
    </row>
    <row r="7" spans="1:15" x14ac:dyDescent="0.3">
      <c r="A7" s="2">
        <v>45007</v>
      </c>
      <c r="B7">
        <v>2151.89990234375</v>
      </c>
      <c r="C7">
        <f t="shared" si="2"/>
        <v>-3.2972997380811969E-3</v>
      </c>
      <c r="K7">
        <f t="shared" si="0"/>
        <v>4418.10009765625</v>
      </c>
      <c r="L7" s="5">
        <f t="shared" si="1"/>
        <v>-0.51293545759968007</v>
      </c>
    </row>
    <row r="8" spans="1:15" x14ac:dyDescent="0.3">
      <c r="A8" s="2">
        <v>45008</v>
      </c>
      <c r="B8">
        <v>2144.804443359375</v>
      </c>
      <c r="C8">
        <f t="shared" si="2"/>
        <v>-1.8353536246919364E-2</v>
      </c>
      <c r="K8">
        <f t="shared" si="0"/>
        <v>4418.10009765625</v>
      </c>
      <c r="L8" s="5">
        <f t="shared" si="1"/>
        <v>-0.5145414553877653</v>
      </c>
    </row>
    <row r="9" spans="1:15" x14ac:dyDescent="0.3">
      <c r="A9" s="2">
        <v>45009</v>
      </c>
      <c r="B9">
        <v>2105.439697265625</v>
      </c>
      <c r="C9">
        <f t="shared" si="2"/>
        <v>-5.6090755426704058E-3</v>
      </c>
      <c r="K9">
        <f t="shared" si="0"/>
        <v>4418.10009765625</v>
      </c>
      <c r="L9" s="5">
        <f t="shared" si="1"/>
        <v>-0.52345133638268271</v>
      </c>
    </row>
    <row r="10" spans="1:15" x14ac:dyDescent="0.3">
      <c r="A10" s="2">
        <v>45012</v>
      </c>
      <c r="B10">
        <v>2093.630126953125</v>
      </c>
      <c r="C10">
        <f t="shared" si="2"/>
        <v>-9.4706914773222215E-3</v>
      </c>
      <c r="K10">
        <f t="shared" si="0"/>
        <v>4418.10009765625</v>
      </c>
      <c r="L10" s="5">
        <f t="shared" si="1"/>
        <v>-0.52612433383667079</v>
      </c>
    </row>
    <row r="11" spans="1:15" x14ac:dyDescent="0.3">
      <c r="A11" s="2">
        <v>45013</v>
      </c>
      <c r="B11">
        <v>2073.802001953125</v>
      </c>
      <c r="C11">
        <f t="shared" si="2"/>
        <v>6.491299511330725E-3</v>
      </c>
      <c r="K11">
        <f t="shared" si="0"/>
        <v>4418.10009765625</v>
      </c>
      <c r="L11" s="5">
        <f t="shared" si="1"/>
        <v>-0.53061226406951434</v>
      </c>
    </row>
    <row r="12" spans="1:15" x14ac:dyDescent="0.3">
      <c r="A12" s="2">
        <v>45014</v>
      </c>
      <c r="B12">
        <v>2087.263671875</v>
      </c>
      <c r="C12">
        <f t="shared" si="2"/>
        <v>7.799933375690923E-3</v>
      </c>
      <c r="K12">
        <f t="shared" si="0"/>
        <v>4418.10009765625</v>
      </c>
      <c r="L12" s="5">
        <f t="shared" si="1"/>
        <v>-0.52756532768864406</v>
      </c>
    </row>
    <row r="13" spans="1:15" x14ac:dyDescent="0.3">
      <c r="A13" s="2">
        <v>45016</v>
      </c>
      <c r="B13">
        <v>2103.544189453125</v>
      </c>
      <c r="C13">
        <f t="shared" si="2"/>
        <v>2.7492662878185149E-3</v>
      </c>
      <c r="K13">
        <f t="shared" si="0"/>
        <v>4418.10009765625</v>
      </c>
      <c r="L13" s="5">
        <f t="shared" si="1"/>
        <v>-0.52388036872024912</v>
      </c>
    </row>
    <row r="14" spans="1:15" x14ac:dyDescent="0.3">
      <c r="A14" s="2">
        <v>45019</v>
      </c>
      <c r="B14">
        <v>2109.327392578125</v>
      </c>
      <c r="C14">
        <f t="shared" si="2"/>
        <v>4.0366073076880789E-2</v>
      </c>
      <c r="K14">
        <f t="shared" si="0"/>
        <v>4418.10009765625</v>
      </c>
      <c r="L14" s="5">
        <f t="shared" si="1"/>
        <v>-0.52257138906900313</v>
      </c>
    </row>
    <row r="15" spans="1:15" x14ac:dyDescent="0.3">
      <c r="A15" s="2">
        <v>45021</v>
      </c>
      <c r="B15">
        <v>2194.47265625</v>
      </c>
      <c r="C15">
        <f t="shared" si="2"/>
        <v>7.3079558905987168E-3</v>
      </c>
      <c r="K15">
        <f t="shared" si="0"/>
        <v>4418.10009765625</v>
      </c>
      <c r="L15" s="5">
        <f t="shared" si="1"/>
        <v>-0.50329947087116889</v>
      </c>
    </row>
    <row r="16" spans="1:15" x14ac:dyDescent="0.3">
      <c r="A16" s="2">
        <v>45022</v>
      </c>
      <c r="B16">
        <v>2210.509765625</v>
      </c>
      <c r="C16">
        <f t="shared" si="2"/>
        <v>1.5587600427997996E-2</v>
      </c>
      <c r="K16">
        <f t="shared" si="0"/>
        <v>4418.10009765625</v>
      </c>
      <c r="L16" s="5">
        <f t="shared" si="1"/>
        <v>-0.49966960531345828</v>
      </c>
    </row>
    <row r="17" spans="1:12" x14ac:dyDescent="0.3">
      <c r="A17" s="2">
        <v>45026</v>
      </c>
      <c r="B17">
        <v>2244.96630859375</v>
      </c>
      <c r="C17">
        <f t="shared" si="2"/>
        <v>-3.5502603371996943E-3</v>
      </c>
      <c r="K17">
        <f t="shared" si="0"/>
        <v>4418.10009765625</v>
      </c>
      <c r="L17" s="5">
        <f t="shared" si="1"/>
        <v>-0.49187065503910199</v>
      </c>
    </row>
    <row r="18" spans="1:12" x14ac:dyDescent="0.3">
      <c r="A18" s="2">
        <v>45027</v>
      </c>
      <c r="B18">
        <v>2236.99609375</v>
      </c>
      <c r="C18">
        <f t="shared" si="2"/>
        <v>-5.6484220433721984E-3</v>
      </c>
      <c r="K18">
        <f t="shared" si="0"/>
        <v>4418.10009765625</v>
      </c>
      <c r="L18" s="5">
        <f t="shared" si="1"/>
        <v>-0.49367464649868387</v>
      </c>
    </row>
    <row r="19" spans="1:12" x14ac:dyDescent="0.3">
      <c r="A19" s="2">
        <v>45028</v>
      </c>
      <c r="B19">
        <v>2224.360595703125</v>
      </c>
      <c r="C19">
        <f t="shared" si="2"/>
        <v>-1.2999697837148381E-2</v>
      </c>
      <c r="K19">
        <f t="shared" si="0"/>
        <v>4418.10009765625</v>
      </c>
      <c r="L19" s="5">
        <f t="shared" si="1"/>
        <v>-0.49653458578651899</v>
      </c>
    </row>
    <row r="20" spans="1:12" x14ac:dyDescent="0.3">
      <c r="A20" s="2">
        <v>45029</v>
      </c>
      <c r="B20">
        <v>2195.444580078125</v>
      </c>
      <c r="C20">
        <f t="shared" si="2"/>
        <v>-1.9811975280401836E-2</v>
      </c>
      <c r="K20">
        <f t="shared" si="0"/>
        <v>4418.10009765625</v>
      </c>
      <c r="L20" s="5">
        <f t="shared" si="1"/>
        <v>-0.50307948404274894</v>
      </c>
    </row>
    <row r="21" spans="1:12" x14ac:dyDescent="0.3">
      <c r="A21" s="2">
        <v>45033</v>
      </c>
      <c r="B21">
        <v>2151.948486328125</v>
      </c>
      <c r="C21">
        <f t="shared" si="2"/>
        <v>1.1744443540618451E-3</v>
      </c>
      <c r="K21">
        <f t="shared" si="0"/>
        <v>4418.10009765625</v>
      </c>
      <c r="L21" s="5">
        <f t="shared" si="1"/>
        <v>-0.51292446102121847</v>
      </c>
    </row>
    <row r="22" spans="1:12" x14ac:dyDescent="0.3">
      <c r="A22" s="2">
        <v>45034</v>
      </c>
      <c r="B22">
        <v>2154.475830078125</v>
      </c>
      <c r="C22">
        <f t="shared" si="2"/>
        <v>1.3533553933019844E-3</v>
      </c>
      <c r="K22">
        <f t="shared" si="0"/>
        <v>4418.10009765625</v>
      </c>
      <c r="L22" s="5">
        <f t="shared" si="1"/>
        <v>-0.51235241790446329</v>
      </c>
    </row>
    <row r="23" spans="1:12" x14ac:dyDescent="0.3">
      <c r="A23" s="2">
        <v>45035</v>
      </c>
      <c r="B23">
        <v>2157.3916015625</v>
      </c>
      <c r="C23">
        <f t="shared" si="2"/>
        <v>5.9245127919140637E-3</v>
      </c>
      <c r="K23">
        <f t="shared" si="0"/>
        <v>4418.10009765625</v>
      </c>
      <c r="L23" s="5">
        <f t="shared" si="1"/>
        <v>-0.51169245741920366</v>
      </c>
    </row>
    <row r="24" spans="1:12" x14ac:dyDescent="0.3">
      <c r="A24" s="2">
        <v>45036</v>
      </c>
      <c r="B24">
        <v>2170.173095703125</v>
      </c>
      <c r="C24">
        <f t="shared" si="2"/>
        <v>-7.8602511027919923E-3</v>
      </c>
      <c r="K24">
        <f t="shared" si="0"/>
        <v>4418.10009765625</v>
      </c>
      <c r="L24" s="5">
        <f t="shared" si="1"/>
        <v>-0.50879947313679552</v>
      </c>
    </row>
    <row r="25" spans="1:12" x14ac:dyDescent="0.3">
      <c r="A25" s="2">
        <v>45037</v>
      </c>
      <c r="B25">
        <v>2153.114990234375</v>
      </c>
      <c r="C25">
        <f t="shared" si="2"/>
        <v>6.1844899269873693E-3</v>
      </c>
      <c r="K25">
        <f t="shared" si="0"/>
        <v>4418.10009765625</v>
      </c>
      <c r="L25" s="5">
        <f t="shared" si="1"/>
        <v>-0.51266043261976413</v>
      </c>
    </row>
    <row r="26" spans="1:12" x14ac:dyDescent="0.3">
      <c r="A26" s="2">
        <v>45040</v>
      </c>
      <c r="B26">
        <v>2166.430908203125</v>
      </c>
      <c r="C26">
        <f t="shared" si="2"/>
        <v>8.546941124114955E-3</v>
      </c>
      <c r="K26">
        <f t="shared" si="0"/>
        <v>4418.10009765625</v>
      </c>
      <c r="L26" s="5">
        <f t="shared" si="1"/>
        <v>-0.50964648597427864</v>
      </c>
    </row>
    <row r="27" spans="1:12" x14ac:dyDescent="0.3">
      <c r="A27" s="2">
        <v>45041</v>
      </c>
      <c r="B27">
        <v>2184.947265625</v>
      </c>
      <c r="C27">
        <f t="shared" si="2"/>
        <v>1.2544661493367706E-2</v>
      </c>
      <c r="K27">
        <f t="shared" si="0"/>
        <v>4418.10009765625</v>
      </c>
      <c r="L27" s="5">
        <f t="shared" si="1"/>
        <v>-0.50545546335989788</v>
      </c>
    </row>
    <row r="28" spans="1:12" x14ac:dyDescent="0.3">
      <c r="A28" s="2">
        <v>45042</v>
      </c>
      <c r="B28">
        <v>2212.356689453125</v>
      </c>
      <c r="C28">
        <f t="shared" si="2"/>
        <v>1.2938580833658783E-2</v>
      </c>
      <c r="K28">
        <f t="shared" si="0"/>
        <v>4418.10009765625</v>
      </c>
      <c r="L28" s="5">
        <f t="shared" si="1"/>
        <v>-0.49925156955435346</v>
      </c>
    </row>
    <row r="29" spans="1:12" x14ac:dyDescent="0.3">
      <c r="A29" s="2">
        <v>45043</v>
      </c>
      <c r="B29">
        <v>2240.9814453125</v>
      </c>
      <c r="C29">
        <f t="shared" si="2"/>
        <v>2.5502938209359127E-2</v>
      </c>
      <c r="K29">
        <f t="shared" si="0"/>
        <v>4418.10009765625</v>
      </c>
      <c r="L29" s="5">
        <f t="shared" si="1"/>
        <v>-0.49277259550970465</v>
      </c>
    </row>
    <row r="30" spans="1:12" x14ac:dyDescent="0.3">
      <c r="A30" s="2">
        <v>45044</v>
      </c>
      <c r="B30">
        <v>2298.133056640625</v>
      </c>
      <c r="C30">
        <f t="shared" si="2"/>
        <v>8.48004913975158E-3</v>
      </c>
      <c r="K30">
        <f t="shared" si="0"/>
        <v>4418.10009765625</v>
      </c>
      <c r="L30" s="5">
        <f t="shared" si="1"/>
        <v>-0.47983680635489512</v>
      </c>
    </row>
    <row r="31" spans="1:12" x14ac:dyDescent="0.3">
      <c r="A31" s="2">
        <v>45048</v>
      </c>
      <c r="B31">
        <v>2317.621337890625</v>
      </c>
      <c r="C31">
        <f t="shared" si="2"/>
        <v>-1.1805569527873079E-2</v>
      </c>
      <c r="K31">
        <f t="shared" si="0"/>
        <v>4418.10009765625</v>
      </c>
      <c r="L31" s="5">
        <f t="shared" si="1"/>
        <v>-0.47542579691209441</v>
      </c>
    </row>
    <row r="32" spans="1:12" x14ac:dyDescent="0.3">
      <c r="A32" s="2">
        <v>45049</v>
      </c>
      <c r="B32">
        <v>2290.260498046875</v>
      </c>
      <c r="C32">
        <f t="shared" si="2"/>
        <v>2.5445300758231588E-4</v>
      </c>
      <c r="K32">
        <f t="shared" si="0"/>
        <v>4418.10009765625</v>
      </c>
      <c r="L32" s="5">
        <f t="shared" si="1"/>
        <v>-0.48161869413917735</v>
      </c>
    </row>
    <row r="33" spans="1:12" x14ac:dyDescent="0.3">
      <c r="A33" s="2">
        <v>45050</v>
      </c>
      <c r="B33">
        <v>2290.84326171875</v>
      </c>
      <c r="C33">
        <f t="shared" si="2"/>
        <v>8.7404274021468369E-3</v>
      </c>
      <c r="K33">
        <f t="shared" si="0"/>
        <v>4418.10009765625</v>
      </c>
      <c r="L33" s="5">
        <f t="shared" si="1"/>
        <v>-0.48148679045682663</v>
      </c>
    </row>
    <row r="34" spans="1:12" x14ac:dyDescent="0.3">
      <c r="A34" s="2">
        <v>45051</v>
      </c>
      <c r="B34">
        <v>2310.8662109375</v>
      </c>
      <c r="C34">
        <f t="shared" si="2"/>
        <v>-5.0893219745200054E-3</v>
      </c>
      <c r="K34">
        <f t="shared" si="0"/>
        <v>4418.10009765625</v>
      </c>
      <c r="L34" s="5">
        <f t="shared" si="1"/>
        <v>-0.47695476339176035</v>
      </c>
    </row>
    <row r="35" spans="1:12" x14ac:dyDescent="0.3">
      <c r="A35" s="2">
        <v>45054</v>
      </c>
      <c r="B35">
        <v>2299.10546875</v>
      </c>
      <c r="C35">
        <f t="shared" si="2"/>
        <v>3.7837406192286062E-3</v>
      </c>
      <c r="K35">
        <f t="shared" si="0"/>
        <v>4418.10009765625</v>
      </c>
      <c r="L35" s="5">
        <f t="shared" si="1"/>
        <v>-0.47961670900809872</v>
      </c>
    </row>
    <row r="36" spans="1:12" x14ac:dyDescent="0.3">
      <c r="A36" s="2">
        <v>45055</v>
      </c>
      <c r="B36">
        <v>2307.8046875</v>
      </c>
      <c r="C36">
        <f t="shared" si="2"/>
        <v>-4.1696781302577191E-3</v>
      </c>
      <c r="K36">
        <f t="shared" si="0"/>
        <v>4418.10009765625</v>
      </c>
      <c r="L36" s="5">
        <f t="shared" si="1"/>
        <v>-0.47764771361240477</v>
      </c>
    </row>
    <row r="37" spans="1:12" x14ac:dyDescent="0.3">
      <c r="A37" s="2">
        <v>45056</v>
      </c>
      <c r="B37">
        <v>2298.181884765625</v>
      </c>
      <c r="C37">
        <f t="shared" si="2"/>
        <v>-5.1724502416939003E-2</v>
      </c>
      <c r="K37">
        <f t="shared" si="0"/>
        <v>4418.10009765625</v>
      </c>
      <c r="L37" s="5">
        <f t="shared" si="1"/>
        <v>-0.47982575451724518</v>
      </c>
    </row>
    <row r="38" spans="1:12" x14ac:dyDescent="0.3">
      <c r="A38" s="2">
        <v>45057</v>
      </c>
      <c r="B38">
        <v>2179.3095703125</v>
      </c>
      <c r="C38">
        <f t="shared" si="2"/>
        <v>-9.3882765515346973E-3</v>
      </c>
      <c r="K38">
        <f t="shared" si="0"/>
        <v>4418.10009765625</v>
      </c>
      <c r="L38" s="5">
        <f t="shared" si="1"/>
        <v>-0.50673150853494742</v>
      </c>
    </row>
    <row r="39" spans="1:12" x14ac:dyDescent="0.3">
      <c r="A39" s="2">
        <v>45058</v>
      </c>
      <c r="B39">
        <v>2158.849609375</v>
      </c>
      <c r="C39">
        <f t="shared" si="2"/>
        <v>1.159335981710456E-2</v>
      </c>
      <c r="K39">
        <f t="shared" si="0"/>
        <v>4418.10009765625</v>
      </c>
      <c r="L39" s="5">
        <f t="shared" si="1"/>
        <v>-0.51136244954697962</v>
      </c>
    </row>
    <row r="40" spans="1:12" x14ac:dyDescent="0.3">
      <c r="A40" s="2">
        <v>45061</v>
      </c>
      <c r="B40">
        <v>2183.8779296875</v>
      </c>
      <c r="C40">
        <f t="shared" si="2"/>
        <v>-8.7456194207283407E-3</v>
      </c>
      <c r="K40">
        <f t="shared" si="0"/>
        <v>4418.10009765625</v>
      </c>
      <c r="L40" s="5">
        <f t="shared" si="1"/>
        <v>-0.50569749860442914</v>
      </c>
    </row>
    <row r="41" spans="1:12" x14ac:dyDescent="0.3">
      <c r="A41" s="2">
        <v>45062</v>
      </c>
      <c r="B41">
        <v>2164.778564453125</v>
      </c>
      <c r="C41">
        <f t="shared" si="2"/>
        <v>-3.412341110505741E-3</v>
      </c>
      <c r="K41">
        <f t="shared" si="0"/>
        <v>4418.10009765625</v>
      </c>
      <c r="L41" s="5">
        <f t="shared" si="1"/>
        <v>-0.51002048016034895</v>
      </c>
    </row>
    <row r="42" spans="1:12" x14ac:dyDescent="0.3">
      <c r="A42" s="2">
        <v>45063</v>
      </c>
      <c r="B42">
        <v>2157.3916015625</v>
      </c>
      <c r="C42">
        <f t="shared" si="2"/>
        <v>-1.4146722138505475E-2</v>
      </c>
      <c r="K42">
        <f t="shared" si="0"/>
        <v>4418.10009765625</v>
      </c>
      <c r="L42" s="5">
        <f t="shared" si="1"/>
        <v>-0.51169245741920366</v>
      </c>
    </row>
    <row r="43" spans="1:12" x14ac:dyDescent="0.3">
      <c r="A43" s="2">
        <v>45064</v>
      </c>
      <c r="B43">
        <v>2126.87158203125</v>
      </c>
      <c r="C43">
        <f t="shared" si="2"/>
        <v>8.4541808650607131E-4</v>
      </c>
      <c r="K43">
        <f t="shared" si="0"/>
        <v>4418.10009765625</v>
      </c>
      <c r="L43" s="5">
        <f t="shared" si="1"/>
        <v>-0.51860040854223055</v>
      </c>
    </row>
    <row r="44" spans="1:12" x14ac:dyDescent="0.3">
      <c r="A44" s="2">
        <v>45065</v>
      </c>
      <c r="B44">
        <v>2128.669677734375</v>
      </c>
      <c r="C44">
        <f t="shared" si="2"/>
        <v>1.2123136160428837E-2</v>
      </c>
      <c r="K44">
        <f t="shared" si="0"/>
        <v>4418.10009765625</v>
      </c>
      <c r="L44" s="5">
        <f t="shared" si="1"/>
        <v>-0.51819342462077556</v>
      </c>
    </row>
    <row r="45" spans="1:12" x14ac:dyDescent="0.3">
      <c r="A45" s="2">
        <v>45068</v>
      </c>
      <c r="B45">
        <v>2154.475830078125</v>
      </c>
      <c r="C45">
        <f t="shared" si="2"/>
        <v>-8.5492671562981005E-3</v>
      </c>
      <c r="K45">
        <f t="shared" si="0"/>
        <v>4418.10009765625</v>
      </c>
      <c r="L45" s="5">
        <f t="shared" si="1"/>
        <v>-0.51235241790446329</v>
      </c>
    </row>
    <row r="46" spans="1:12" x14ac:dyDescent="0.3">
      <c r="A46" s="2">
        <v>45069</v>
      </c>
      <c r="B46">
        <v>2136.056640625</v>
      </c>
      <c r="C46">
        <f t="shared" si="2"/>
        <v>-5.6878914032776149E-3</v>
      </c>
      <c r="K46">
        <f t="shared" si="0"/>
        <v>4418.10009765625</v>
      </c>
      <c r="L46" s="5">
        <f t="shared" si="1"/>
        <v>-0.51652144736192085</v>
      </c>
    </row>
    <row r="47" spans="1:12" x14ac:dyDescent="0.3">
      <c r="A47" s="2">
        <v>45070</v>
      </c>
      <c r="B47">
        <v>2123.906982421875</v>
      </c>
      <c r="C47">
        <f t="shared" si="2"/>
        <v>8.9468123712070184E-3</v>
      </c>
      <c r="K47">
        <f t="shared" si="0"/>
        <v>4418.10009765625</v>
      </c>
      <c r="L47" s="5">
        <f t="shared" si="1"/>
        <v>-0.51927142086514011</v>
      </c>
    </row>
    <row r="48" spans="1:12" x14ac:dyDescent="0.3">
      <c r="A48" s="2">
        <v>45071</v>
      </c>
      <c r="B48">
        <v>2142.9091796875</v>
      </c>
      <c r="C48">
        <f t="shared" si="2"/>
        <v>6.2366161290484286E-3</v>
      </c>
      <c r="K48">
        <f t="shared" si="0"/>
        <v>4418.10009765625</v>
      </c>
      <c r="L48" s="5">
        <f t="shared" si="1"/>
        <v>-0.51497043246614349</v>
      </c>
    </row>
    <row r="49" spans="1:12" x14ac:dyDescent="0.3">
      <c r="A49" s="2">
        <v>45072</v>
      </c>
      <c r="B49">
        <v>2156.273681640625</v>
      </c>
      <c r="C49">
        <f t="shared" si="2"/>
        <v>2.7497433508712598E-3</v>
      </c>
      <c r="K49">
        <f t="shared" si="0"/>
        <v>4418.10009765625</v>
      </c>
      <c r="L49" s="5">
        <f t="shared" si="1"/>
        <v>-0.51194548924219652</v>
      </c>
    </row>
    <row r="50" spans="1:12" x14ac:dyDescent="0.3">
      <c r="A50" s="2">
        <v>45075</v>
      </c>
      <c r="B50">
        <v>2162.202880859375</v>
      </c>
      <c r="C50">
        <f t="shared" si="2"/>
        <v>-6.1809657509165989E-3</v>
      </c>
      <c r="K50">
        <f t="shared" si="0"/>
        <v>4418.10009765625</v>
      </c>
      <c r="L50" s="5">
        <f t="shared" si="1"/>
        <v>-0.51060346459637751</v>
      </c>
    </row>
    <row r="51" spans="1:12" x14ac:dyDescent="0.3">
      <c r="A51" s="2">
        <v>45076</v>
      </c>
      <c r="B51">
        <v>2148.83837890625</v>
      </c>
      <c r="C51">
        <f t="shared" si="2"/>
        <v>-2.3295653242883544E-3</v>
      </c>
      <c r="K51">
        <f t="shared" si="0"/>
        <v>4418.10009765625</v>
      </c>
      <c r="L51" s="5">
        <f t="shared" si="1"/>
        <v>-0.5136284078203246</v>
      </c>
    </row>
    <row r="52" spans="1:12" x14ac:dyDescent="0.3">
      <c r="A52" s="2">
        <v>45077</v>
      </c>
      <c r="B52">
        <v>2143.83251953125</v>
      </c>
      <c r="C52">
        <f t="shared" si="2"/>
        <v>9.7470282325593785E-4</v>
      </c>
      <c r="K52">
        <f t="shared" si="0"/>
        <v>4418.10009765625</v>
      </c>
      <c r="L52" s="5">
        <f t="shared" si="1"/>
        <v>-0.51476144221618525</v>
      </c>
    </row>
    <row r="53" spans="1:12" x14ac:dyDescent="0.3">
      <c r="A53" s="2">
        <v>45078</v>
      </c>
      <c r="B53">
        <v>2145.922119140625</v>
      </c>
      <c r="C53">
        <f t="shared" si="2"/>
        <v>1.2116231082823446E-2</v>
      </c>
      <c r="K53">
        <f t="shared" si="0"/>
        <v>4418.10009765625</v>
      </c>
      <c r="L53" s="5">
        <f t="shared" si="1"/>
        <v>-0.51428847882396067</v>
      </c>
    </row>
    <row r="54" spans="1:12" x14ac:dyDescent="0.3">
      <c r="A54" s="2">
        <v>45079</v>
      </c>
      <c r="B54">
        <v>2171.922607421875</v>
      </c>
      <c r="C54">
        <f t="shared" si="2"/>
        <v>1.5103760652728499E-2</v>
      </c>
      <c r="K54">
        <f t="shared" si="0"/>
        <v>4418.10009765625</v>
      </c>
      <c r="L54" s="5">
        <f t="shared" si="1"/>
        <v>-0.50840348579380212</v>
      </c>
    </row>
    <row r="55" spans="1:12" x14ac:dyDescent="0.3">
      <c r="A55" s="2">
        <v>45082</v>
      </c>
      <c r="B55">
        <v>2204.726806640625</v>
      </c>
      <c r="C55">
        <f t="shared" si="2"/>
        <v>4.2542207510696184E-3</v>
      </c>
      <c r="K55">
        <f t="shared" si="0"/>
        <v>4418.10009765625</v>
      </c>
      <c r="L55" s="5">
        <f t="shared" si="1"/>
        <v>-0.50097852970551604</v>
      </c>
    </row>
    <row r="56" spans="1:12" x14ac:dyDescent="0.3">
      <c r="A56" s="2">
        <v>45083</v>
      </c>
      <c r="B56">
        <v>2214.106201171875</v>
      </c>
      <c r="C56">
        <f t="shared" si="2"/>
        <v>1.6484215036775364E-2</v>
      </c>
      <c r="K56">
        <f t="shared" si="0"/>
        <v>4418.10009765625</v>
      </c>
      <c r="L56" s="5">
        <f t="shared" si="1"/>
        <v>-0.49885558221135995</v>
      </c>
    </row>
    <row r="57" spans="1:12" x14ac:dyDescent="0.3">
      <c r="A57" s="2">
        <v>45084</v>
      </c>
      <c r="B57">
        <v>2250.60400390625</v>
      </c>
      <c r="C57">
        <f t="shared" si="2"/>
        <v>1.071034099570059E-2</v>
      </c>
      <c r="K57">
        <f t="shared" si="0"/>
        <v>4418.10009765625</v>
      </c>
      <c r="L57" s="5">
        <f t="shared" si="1"/>
        <v>-0.49059460986405246</v>
      </c>
    </row>
    <row r="58" spans="1:12" x14ac:dyDescent="0.3">
      <c r="A58" s="2">
        <v>45085</v>
      </c>
      <c r="B58">
        <v>2274.708740234375</v>
      </c>
      <c r="C58">
        <f t="shared" si="2"/>
        <v>9.6995805717314219E-3</v>
      </c>
      <c r="K58">
        <f t="shared" si="0"/>
        <v>4418.10009765625</v>
      </c>
      <c r="L58" s="5">
        <f t="shared" si="1"/>
        <v>-0.48513870443064855</v>
      </c>
    </row>
    <row r="59" spans="1:12" x14ac:dyDescent="0.3">
      <c r="A59" s="2">
        <v>45086</v>
      </c>
      <c r="B59">
        <v>2296.7724609375</v>
      </c>
      <c r="C59">
        <f t="shared" si="2"/>
        <v>-9.7544745832615822E-3</v>
      </c>
      <c r="K59">
        <f t="shared" si="0"/>
        <v>4418.10009765625</v>
      </c>
      <c r="L59" s="5">
        <f t="shared" si="1"/>
        <v>-0.48014476581100762</v>
      </c>
    </row>
    <row r="60" spans="1:12" x14ac:dyDescent="0.3">
      <c r="A60" s="2">
        <v>45089</v>
      </c>
      <c r="B60">
        <v>2274.36865234375</v>
      </c>
      <c r="C60">
        <f t="shared" si="2"/>
        <v>6.1753057757486353E-3</v>
      </c>
      <c r="K60">
        <f t="shared" si="0"/>
        <v>4418.10009765625</v>
      </c>
      <c r="L60" s="5">
        <f t="shared" si="1"/>
        <v>-0.48521568047987962</v>
      </c>
    </row>
    <row r="61" spans="1:12" x14ac:dyDescent="0.3">
      <c r="A61" s="2">
        <v>45090</v>
      </c>
      <c r="B61">
        <v>2288.41357421875</v>
      </c>
      <c r="C61">
        <f t="shared" si="2"/>
        <v>2.7610216292118649E-4</v>
      </c>
      <c r="K61">
        <f t="shared" si="0"/>
        <v>4418.10009765625</v>
      </c>
      <c r="L61" s="5">
        <f t="shared" si="1"/>
        <v>-0.48203672989828217</v>
      </c>
    </row>
    <row r="62" spans="1:12" x14ac:dyDescent="0.3">
      <c r="A62" s="2">
        <v>45091</v>
      </c>
      <c r="B62">
        <v>2289.04541015625</v>
      </c>
      <c r="C62">
        <f t="shared" si="2"/>
        <v>2.6538167413792551E-3</v>
      </c>
      <c r="K62">
        <f t="shared" si="0"/>
        <v>4418.10009765625</v>
      </c>
      <c r="L62" s="5">
        <f t="shared" si="1"/>
        <v>-0.4818937191190934</v>
      </c>
    </row>
    <row r="63" spans="1:12" x14ac:dyDescent="0.3">
      <c r="A63" s="2">
        <v>45092</v>
      </c>
      <c r="B63">
        <v>2295.1201171875</v>
      </c>
      <c r="C63">
        <f t="shared" si="2"/>
        <v>2.3293732498852228E-3</v>
      </c>
      <c r="K63">
        <f t="shared" si="0"/>
        <v>4418.10009765625</v>
      </c>
      <c r="L63" s="5">
        <f t="shared" si="1"/>
        <v>-0.48051875999707794</v>
      </c>
    </row>
    <row r="64" spans="1:12" x14ac:dyDescent="0.3">
      <c r="A64" s="2">
        <v>45093</v>
      </c>
      <c r="B64">
        <v>2300.46630859375</v>
      </c>
      <c r="C64">
        <f t="shared" si="2"/>
        <v>-1.902849604837674E-4</v>
      </c>
      <c r="K64">
        <f t="shared" si="0"/>
        <v>4418.10009765625</v>
      </c>
      <c r="L64" s="5">
        <f t="shared" si="1"/>
        <v>-0.47930869429279788</v>
      </c>
    </row>
    <row r="65" spans="1:12" x14ac:dyDescent="0.3">
      <c r="A65" s="2">
        <v>45096</v>
      </c>
      <c r="B65">
        <v>2300.028564453125</v>
      </c>
      <c r="C65">
        <f t="shared" si="2"/>
        <v>6.6135812469210803E-3</v>
      </c>
      <c r="K65">
        <f t="shared" si="0"/>
        <v>4418.10009765625</v>
      </c>
      <c r="L65" s="5">
        <f t="shared" si="1"/>
        <v>-0.47940777401732859</v>
      </c>
    </row>
    <row r="66" spans="1:12" x14ac:dyDescent="0.3">
      <c r="A66" s="2">
        <v>45097</v>
      </c>
      <c r="B66">
        <v>2315.239990234375</v>
      </c>
      <c r="C66">
        <f t="shared" si="2"/>
        <v>5.226704043551438E-3</v>
      </c>
      <c r="K66">
        <f t="shared" ref="K66:K129" si="3">MAX(B66:B805)</f>
        <v>4418.10009765625</v>
      </c>
      <c r="L66" s="5">
        <f t="shared" ref="L66:L129" si="4">B66/K66-1</f>
        <v>-0.47596479503427669</v>
      </c>
    </row>
    <row r="67" spans="1:12" x14ac:dyDescent="0.3">
      <c r="A67" s="2">
        <v>45098</v>
      </c>
      <c r="B67">
        <v>2327.341064453125</v>
      </c>
      <c r="C67">
        <f t="shared" ref="C67:C130" si="5">(B68-B67)/B67</f>
        <v>9.1044708951388727E-3</v>
      </c>
      <c r="K67">
        <f t="shared" si="3"/>
        <v>4418.10009765625</v>
      </c>
      <c r="L67" s="5">
        <f t="shared" si="4"/>
        <v>-0.47322581810951903</v>
      </c>
    </row>
    <row r="68" spans="1:12" x14ac:dyDescent="0.3">
      <c r="A68" s="2">
        <v>45099</v>
      </c>
      <c r="B68">
        <v>2348.5302734375</v>
      </c>
      <c r="C68">
        <f t="shared" si="5"/>
        <v>-1.1050170589568359E-2</v>
      </c>
      <c r="K68">
        <f t="shared" si="3"/>
        <v>4418.10009765625</v>
      </c>
      <c r="L68" s="5">
        <f t="shared" si="4"/>
        <v>-0.46842981790218663</v>
      </c>
    </row>
    <row r="69" spans="1:12" x14ac:dyDescent="0.3">
      <c r="A69" s="2">
        <v>45100</v>
      </c>
      <c r="B69">
        <v>2322.57861328125</v>
      </c>
      <c r="C69">
        <f t="shared" si="5"/>
        <v>-5.0219261869878344E-3</v>
      </c>
      <c r="K69">
        <f t="shared" si="3"/>
        <v>4418.10009765625</v>
      </c>
      <c r="L69" s="5">
        <f t="shared" si="4"/>
        <v>-0.47430375909469535</v>
      </c>
    </row>
    <row r="70" spans="1:12" x14ac:dyDescent="0.3">
      <c r="A70" s="2">
        <v>45103</v>
      </c>
      <c r="B70">
        <v>2310.914794921875</v>
      </c>
      <c r="C70">
        <f t="shared" si="5"/>
        <v>4.4163508621355412E-3</v>
      </c>
      <c r="K70">
        <f t="shared" si="3"/>
        <v>4418.10009765625</v>
      </c>
      <c r="L70" s="5">
        <f t="shared" si="4"/>
        <v>-0.47694376681329875</v>
      </c>
    </row>
    <row r="71" spans="1:12" x14ac:dyDescent="0.3">
      <c r="A71" s="2">
        <v>45104</v>
      </c>
      <c r="B71">
        <v>2321.12060546875</v>
      </c>
      <c r="C71">
        <f t="shared" si="5"/>
        <v>1.3986290549061722E-2</v>
      </c>
      <c r="K71">
        <f t="shared" si="3"/>
        <v>4418.10009765625</v>
      </c>
      <c r="L71" s="5">
        <f t="shared" si="4"/>
        <v>-0.47463376696691928</v>
      </c>
    </row>
    <row r="72" spans="1:12" x14ac:dyDescent="0.3">
      <c r="A72" s="2">
        <v>45105</v>
      </c>
      <c r="B72">
        <v>2353.58447265625</v>
      </c>
      <c r="C72">
        <f t="shared" si="5"/>
        <v>2.2342085013695657E-2</v>
      </c>
      <c r="K72">
        <f t="shared" si="3"/>
        <v>4418.10009765625</v>
      </c>
      <c r="L72" s="5">
        <f t="shared" si="4"/>
        <v>-0.4672858421870526</v>
      </c>
    </row>
    <row r="73" spans="1:12" x14ac:dyDescent="0.3">
      <c r="A73" s="2">
        <v>45107</v>
      </c>
      <c r="B73">
        <v>2406.16845703125</v>
      </c>
      <c r="C73">
        <f t="shared" si="5"/>
        <v>-8.6850548709747274E-3</v>
      </c>
      <c r="K73">
        <f t="shared" si="3"/>
        <v>4418.10009765625</v>
      </c>
      <c r="L73" s="5">
        <f t="shared" si="4"/>
        <v>-0.45538389718519645</v>
      </c>
    </row>
    <row r="74" spans="1:12" x14ac:dyDescent="0.3">
      <c r="A74" s="2">
        <v>45110</v>
      </c>
      <c r="B74">
        <v>2385.270751953125</v>
      </c>
      <c r="C74">
        <f t="shared" si="5"/>
        <v>3.1784831816438555E-3</v>
      </c>
      <c r="K74">
        <f t="shared" si="3"/>
        <v>4418.10009765625</v>
      </c>
      <c r="L74" s="5">
        <f t="shared" si="4"/>
        <v>-0.46011391792175937</v>
      </c>
    </row>
    <row r="75" spans="1:12" x14ac:dyDescent="0.3">
      <c r="A75" s="2">
        <v>45111</v>
      </c>
      <c r="B75">
        <v>2392.852294921875</v>
      </c>
      <c r="C75">
        <f t="shared" si="5"/>
        <v>3.6353997393972098E-3</v>
      </c>
      <c r="K75">
        <f t="shared" si="3"/>
        <v>4418.10009765625</v>
      </c>
      <c r="L75" s="5">
        <f t="shared" si="4"/>
        <v>-0.45839789908987016</v>
      </c>
    </row>
    <row r="76" spans="1:12" x14ac:dyDescent="0.3">
      <c r="A76" s="2">
        <v>45112</v>
      </c>
      <c r="B76">
        <v>2401.55126953125</v>
      </c>
      <c r="C76">
        <f t="shared" si="5"/>
        <v>7.2042057776376235E-3</v>
      </c>
      <c r="K76">
        <f t="shared" si="3"/>
        <v>4418.10009765625</v>
      </c>
      <c r="L76" s="5">
        <f t="shared" si="4"/>
        <v>-0.45642895895336444</v>
      </c>
    </row>
    <row r="77" spans="1:12" x14ac:dyDescent="0.3">
      <c r="A77" s="2">
        <v>45113</v>
      </c>
      <c r="B77">
        <v>2418.8525390625</v>
      </c>
      <c r="C77">
        <f t="shared" si="5"/>
        <v>-1.5771900819773064E-2</v>
      </c>
      <c r="K77">
        <f t="shared" si="3"/>
        <v>4418.10009765625</v>
      </c>
      <c r="L77" s="5">
        <f t="shared" si="4"/>
        <v>-0.45251296131889973</v>
      </c>
    </row>
    <row r="78" spans="1:12" x14ac:dyDescent="0.3">
      <c r="A78" s="2">
        <v>45114</v>
      </c>
      <c r="B78">
        <v>2380.70263671875</v>
      </c>
      <c r="C78">
        <f t="shared" si="5"/>
        <v>-4.32780747050821E-3</v>
      </c>
      <c r="K78">
        <f t="shared" si="3"/>
        <v>4418.10009765625</v>
      </c>
      <c r="L78" s="5">
        <f t="shared" si="4"/>
        <v>-0.46114787259308931</v>
      </c>
    </row>
    <row r="79" spans="1:12" x14ac:dyDescent="0.3">
      <c r="A79" s="2">
        <v>45117</v>
      </c>
      <c r="B79">
        <v>2370.3994140625</v>
      </c>
      <c r="C79">
        <f t="shared" si="5"/>
        <v>1.4679648776886477E-2</v>
      </c>
      <c r="K79">
        <f t="shared" si="3"/>
        <v>4418.10009765625</v>
      </c>
      <c r="L79" s="5">
        <f t="shared" si="4"/>
        <v>-0.46347992085558021</v>
      </c>
    </row>
    <row r="80" spans="1:12" x14ac:dyDescent="0.3">
      <c r="A80" s="2">
        <v>45118</v>
      </c>
      <c r="B80">
        <v>2405.196044921875</v>
      </c>
      <c r="C80">
        <f t="shared" si="5"/>
        <v>-7.9205756011434796E-3</v>
      </c>
      <c r="K80">
        <f t="shared" si="3"/>
        <v>4418.10009765625</v>
      </c>
      <c r="L80" s="5">
        <f t="shared" si="4"/>
        <v>-0.45560399453199285</v>
      </c>
    </row>
    <row r="81" spans="1:12" x14ac:dyDescent="0.3">
      <c r="A81" s="2">
        <v>45119</v>
      </c>
      <c r="B81">
        <v>2386.1455078125</v>
      </c>
      <c r="C81">
        <f t="shared" si="5"/>
        <v>-1.9552568476962347E-3</v>
      </c>
      <c r="K81">
        <f t="shared" si="3"/>
        <v>4418.10009765625</v>
      </c>
      <c r="L81" s="5">
        <f t="shared" si="4"/>
        <v>-0.45991592425026262</v>
      </c>
    </row>
    <row r="82" spans="1:12" x14ac:dyDescent="0.3">
      <c r="A82" s="2">
        <v>45120</v>
      </c>
      <c r="B82">
        <v>2381.47998046875</v>
      </c>
      <c r="C82">
        <f t="shared" si="5"/>
        <v>9.019798161717895E-3</v>
      </c>
      <c r="K82">
        <f t="shared" si="3"/>
        <v>4418.10009765625</v>
      </c>
      <c r="L82" s="5">
        <f t="shared" si="4"/>
        <v>-0.46097192733770409</v>
      </c>
    </row>
    <row r="83" spans="1:12" x14ac:dyDescent="0.3">
      <c r="A83" s="2">
        <v>45121</v>
      </c>
      <c r="B83">
        <v>2402.96044921875</v>
      </c>
      <c r="C83">
        <f t="shared" si="5"/>
        <v>-1.3954751046631728E-3</v>
      </c>
      <c r="K83">
        <f t="shared" si="3"/>
        <v>4418.10009765625</v>
      </c>
      <c r="L83" s="5">
        <f t="shared" si="4"/>
        <v>-0.45611000291879034</v>
      </c>
    </row>
    <row r="84" spans="1:12" x14ac:dyDescent="0.3">
      <c r="A84" s="2">
        <v>45124</v>
      </c>
      <c r="B84">
        <v>2399.607177734375</v>
      </c>
      <c r="C84">
        <f t="shared" si="5"/>
        <v>2.3898157972837147E-3</v>
      </c>
      <c r="K84">
        <f t="shared" si="3"/>
        <v>4418.10009765625</v>
      </c>
      <c r="L84" s="5">
        <f t="shared" si="4"/>
        <v>-0.45686898786939245</v>
      </c>
    </row>
    <row r="85" spans="1:12" x14ac:dyDescent="0.3">
      <c r="A85" s="2">
        <v>45125</v>
      </c>
      <c r="B85">
        <v>2405.341796875</v>
      </c>
      <c r="C85">
        <f t="shared" si="5"/>
        <v>7.8595005420065197E-3</v>
      </c>
      <c r="K85">
        <f t="shared" si="3"/>
        <v>4418.10009765625</v>
      </c>
      <c r="L85" s="5">
        <f t="shared" si="4"/>
        <v>-0.45557100479660806</v>
      </c>
    </row>
    <row r="86" spans="1:12" x14ac:dyDescent="0.3">
      <c r="A86" s="2">
        <v>45126</v>
      </c>
      <c r="B86">
        <v>2424.24658203125</v>
      </c>
      <c r="C86">
        <f t="shared" si="5"/>
        <v>-1.78403929861424E-3</v>
      </c>
      <c r="K86">
        <f t="shared" si="3"/>
        <v>4418.10009765625</v>
      </c>
      <c r="L86" s="5">
        <f t="shared" si="4"/>
        <v>-0.45129206481372297</v>
      </c>
    </row>
    <row r="87" spans="1:12" x14ac:dyDescent="0.3">
      <c r="A87" s="2">
        <v>45127</v>
      </c>
      <c r="B87">
        <v>2419.921630859375</v>
      </c>
      <c r="C87">
        <f t="shared" si="5"/>
        <v>3.8779765817167654E-2</v>
      </c>
      <c r="K87">
        <f t="shared" si="3"/>
        <v>4418.10009765625</v>
      </c>
      <c r="L87" s="5">
        <f t="shared" si="4"/>
        <v>-0.4522709813335567</v>
      </c>
    </row>
    <row r="88" spans="1:12" x14ac:dyDescent="0.3">
      <c r="A88" s="2">
        <v>45128</v>
      </c>
      <c r="B88">
        <v>2513.765625</v>
      </c>
      <c r="C88">
        <f t="shared" si="5"/>
        <v>7.3465597242682477E-3</v>
      </c>
      <c r="K88">
        <f t="shared" si="3"/>
        <v>4418.10009765625</v>
      </c>
      <c r="L88" s="5">
        <f t="shared" si="4"/>
        <v>-0.43103017825840495</v>
      </c>
    </row>
    <row r="89" spans="1:12" x14ac:dyDescent="0.3">
      <c r="A89" s="2">
        <v>45131</v>
      </c>
      <c r="B89">
        <v>2532.233154296875</v>
      </c>
      <c r="C89">
        <f t="shared" si="5"/>
        <v>-1.702338414660895E-2</v>
      </c>
      <c r="K89">
        <f t="shared" si="3"/>
        <v>4418.10009765625</v>
      </c>
      <c r="L89" s="5">
        <f t="shared" si="4"/>
        <v>-0.42685020748167413</v>
      </c>
    </row>
    <row r="90" spans="1:12" x14ac:dyDescent="0.3">
      <c r="A90" s="2">
        <v>45132</v>
      </c>
      <c r="B90">
        <v>2489.1259765625</v>
      </c>
      <c r="C90">
        <f t="shared" si="5"/>
        <v>3.3328167635398503E-2</v>
      </c>
      <c r="K90">
        <f t="shared" si="3"/>
        <v>4418.10009765625</v>
      </c>
      <c r="L90" s="5">
        <f t="shared" si="4"/>
        <v>-0.43660715657326277</v>
      </c>
    </row>
    <row r="91" spans="1:12" x14ac:dyDescent="0.3">
      <c r="A91" s="2">
        <v>45133</v>
      </c>
      <c r="B91">
        <v>2572.083984375</v>
      </c>
      <c r="C91">
        <f t="shared" si="5"/>
        <v>5.2716326969178533E-3</v>
      </c>
      <c r="K91">
        <f t="shared" si="3"/>
        <v>4418.10009765625</v>
      </c>
      <c r="L91" s="5">
        <f t="shared" si="4"/>
        <v>-0.41783030544295263</v>
      </c>
    </row>
    <row r="92" spans="1:12" x14ac:dyDescent="0.3">
      <c r="A92" s="2">
        <v>45134</v>
      </c>
      <c r="B92">
        <v>2585.64306640625</v>
      </c>
      <c r="C92">
        <f t="shared" si="5"/>
        <v>-4.0034769819902076E-3</v>
      </c>
      <c r="K92">
        <f t="shared" si="3"/>
        <v>4418.10009765625</v>
      </c>
      <c r="L92" s="5">
        <f t="shared" si="4"/>
        <v>-0.41476132064597104</v>
      </c>
    </row>
    <row r="93" spans="1:12" x14ac:dyDescent="0.3">
      <c r="A93" s="2">
        <v>45135</v>
      </c>
      <c r="B93">
        <v>2575.29150390625</v>
      </c>
      <c r="C93">
        <f t="shared" si="5"/>
        <v>1.2002016610301057E-2</v>
      </c>
      <c r="K93">
        <f t="shared" si="3"/>
        <v>4418.10009765625</v>
      </c>
      <c r="L93" s="5">
        <f t="shared" si="4"/>
        <v>-0.41710431022773531</v>
      </c>
    </row>
    <row r="94" spans="1:12" x14ac:dyDescent="0.3">
      <c r="A94" s="2">
        <v>45138</v>
      </c>
      <c r="B94">
        <v>2606.2001953125</v>
      </c>
      <c r="C94">
        <f t="shared" si="5"/>
        <v>-5.4824376514988858E-3</v>
      </c>
      <c r="K94">
        <f t="shared" si="3"/>
        <v>4418.10009765625</v>
      </c>
      <c r="L94" s="5">
        <f t="shared" si="4"/>
        <v>-0.41010838647701564</v>
      </c>
    </row>
    <row r="95" spans="1:12" x14ac:dyDescent="0.3">
      <c r="A95" s="2">
        <v>45139</v>
      </c>
      <c r="B95">
        <v>2591.911865234375</v>
      </c>
      <c r="C95">
        <f t="shared" si="5"/>
        <v>-5.4992850260693971E-3</v>
      </c>
      <c r="K95">
        <f t="shared" si="3"/>
        <v>4418.10009765625</v>
      </c>
      <c r="L95" s="5">
        <f t="shared" si="4"/>
        <v>-0.41334243046929753</v>
      </c>
    </row>
    <row r="96" spans="1:12" x14ac:dyDescent="0.3">
      <c r="A96" s="2">
        <v>45140</v>
      </c>
      <c r="B96">
        <v>2577.658203125</v>
      </c>
      <c r="C96">
        <f t="shared" si="5"/>
        <v>-9.1718311118452502E-3</v>
      </c>
      <c r="K96">
        <f t="shared" si="3"/>
        <v>4418.10009765625</v>
      </c>
      <c r="L96" s="5">
        <f t="shared" si="4"/>
        <v>-0.41656862765684799</v>
      </c>
    </row>
    <row r="97" spans="1:12" x14ac:dyDescent="0.3">
      <c r="A97" s="2">
        <v>45141</v>
      </c>
      <c r="B97">
        <v>2554.016357421875</v>
      </c>
      <c r="C97">
        <f t="shared" si="5"/>
        <v>1.1084907531613571E-2</v>
      </c>
      <c r="K97">
        <f t="shared" si="3"/>
        <v>4418.10009765625</v>
      </c>
      <c r="L97" s="5">
        <f t="shared" si="4"/>
        <v>-0.42191976166933143</v>
      </c>
    </row>
    <row r="98" spans="1:12" x14ac:dyDescent="0.3">
      <c r="A98" s="2">
        <v>45142</v>
      </c>
      <c r="B98">
        <v>2582.327392578125</v>
      </c>
      <c r="C98">
        <f t="shared" si="5"/>
        <v>3.4261388136931723E-3</v>
      </c>
      <c r="K98">
        <f t="shared" si="3"/>
        <v>4418.10009765625</v>
      </c>
      <c r="L98" s="5">
        <f t="shared" si="4"/>
        <v>-0.41551179568158281</v>
      </c>
    </row>
    <row r="99" spans="1:12" x14ac:dyDescent="0.3">
      <c r="A99" s="2">
        <v>45145</v>
      </c>
      <c r="B99">
        <v>2591.1748046875</v>
      </c>
      <c r="C99">
        <f t="shared" si="5"/>
        <v>-1.4036903356231319E-3</v>
      </c>
      <c r="K99">
        <f t="shared" si="3"/>
        <v>4418.10009765625</v>
      </c>
      <c r="L99" s="5">
        <f t="shared" si="4"/>
        <v>-0.4135092579586217</v>
      </c>
    </row>
    <row r="100" spans="1:12" x14ac:dyDescent="0.3">
      <c r="A100" s="2">
        <v>45146</v>
      </c>
      <c r="B100">
        <v>2587.53759765625</v>
      </c>
      <c r="C100">
        <f t="shared" si="5"/>
        <v>7.3703450489566785E-3</v>
      </c>
      <c r="K100">
        <f t="shared" si="3"/>
        <v>4418.10009765625</v>
      </c>
      <c r="L100" s="5">
        <f t="shared" si="4"/>
        <v>-0.41433250934515764</v>
      </c>
    </row>
    <row r="101" spans="1:12" x14ac:dyDescent="0.3">
      <c r="A101" s="2">
        <v>45147</v>
      </c>
      <c r="B101">
        <v>2606.608642578125</v>
      </c>
      <c r="C101">
        <f t="shared" si="5"/>
        <v>-3.0547917145319387E-3</v>
      </c>
      <c r="K101">
        <f t="shared" si="3"/>
        <v>4418.10009765625</v>
      </c>
      <c r="L101" s="5">
        <f t="shared" si="4"/>
        <v>-0.41001593785507484</v>
      </c>
    </row>
    <row r="102" spans="1:12" x14ac:dyDescent="0.3">
      <c r="A102" s="2">
        <v>45148</v>
      </c>
      <c r="B102">
        <v>2598.64599609375</v>
      </c>
      <c r="C102">
        <f t="shared" si="5"/>
        <v>-1.8913846171768763E-3</v>
      </c>
      <c r="K102">
        <f t="shared" si="3"/>
        <v>4418.10009765625</v>
      </c>
      <c r="L102" s="5">
        <f t="shared" si="4"/>
        <v>-0.41181821627982107</v>
      </c>
    </row>
    <row r="103" spans="1:12" x14ac:dyDescent="0.3">
      <c r="A103" s="2">
        <v>45149</v>
      </c>
      <c r="B103">
        <v>2593.73095703125</v>
      </c>
      <c r="C103">
        <f t="shared" si="5"/>
        <v>8.110564064758758E-3</v>
      </c>
      <c r="K103">
        <f t="shared" si="3"/>
        <v>4418.10009765625</v>
      </c>
      <c r="L103" s="5">
        <f t="shared" si="4"/>
        <v>-0.41293069425765305</v>
      </c>
    </row>
    <row r="104" spans="1:12" x14ac:dyDescent="0.3">
      <c r="A104" s="2">
        <v>45152</v>
      </c>
      <c r="B104">
        <v>2614.767578125</v>
      </c>
      <c r="C104">
        <f t="shared" si="5"/>
        <v>1.1711014886152196E-2</v>
      </c>
      <c r="K104">
        <f t="shared" si="3"/>
        <v>4418.10009765625</v>
      </c>
      <c r="L104" s="5">
        <f t="shared" si="4"/>
        <v>-0.40816923104297631</v>
      </c>
    </row>
    <row r="105" spans="1:12" x14ac:dyDescent="0.3">
      <c r="A105" s="2">
        <v>45154</v>
      </c>
      <c r="B105">
        <v>2645.38916015625</v>
      </c>
      <c r="C105">
        <f t="shared" si="5"/>
        <v>-1.4325208753364169E-2</v>
      </c>
      <c r="K105">
        <f t="shared" si="3"/>
        <v>4418.10009765625</v>
      </c>
      <c r="L105" s="5">
        <f t="shared" si="4"/>
        <v>-0.40123829209763773</v>
      </c>
    </row>
    <row r="106" spans="1:12" x14ac:dyDescent="0.3">
      <c r="A106" s="2">
        <v>45155</v>
      </c>
      <c r="B106">
        <v>2607.493408203125</v>
      </c>
      <c r="C106">
        <f t="shared" si="5"/>
        <v>-3.9774189715581776E-3</v>
      </c>
      <c r="K106">
        <f t="shared" si="3"/>
        <v>4418.10009765625</v>
      </c>
      <c r="L106" s="5">
        <f t="shared" si="4"/>
        <v>-0.40981567855685985</v>
      </c>
    </row>
    <row r="107" spans="1:12" x14ac:dyDescent="0.3">
      <c r="A107" s="2">
        <v>45156</v>
      </c>
      <c r="B107">
        <v>2597.122314453125</v>
      </c>
      <c r="C107">
        <f t="shared" si="5"/>
        <v>7.6837222086908281E-3</v>
      </c>
      <c r="K107">
        <f t="shared" si="3"/>
        <v>4418.10009765625</v>
      </c>
      <c r="L107" s="5">
        <f t="shared" si="4"/>
        <v>-0.41216308887368402</v>
      </c>
    </row>
    <row r="108" spans="1:12" x14ac:dyDescent="0.3">
      <c r="A108" s="2">
        <v>45159</v>
      </c>
      <c r="B108">
        <v>2617.077880859375</v>
      </c>
      <c r="C108">
        <f t="shared" si="5"/>
        <v>6.216491716863887E-3</v>
      </c>
      <c r="K108">
        <f t="shared" si="3"/>
        <v>4418.10009765625</v>
      </c>
      <c r="L108" s="5">
        <f t="shared" si="4"/>
        <v>-0.40764631334457457</v>
      </c>
    </row>
    <row r="109" spans="1:12" x14ac:dyDescent="0.3">
      <c r="A109" s="2">
        <v>45160</v>
      </c>
      <c r="B109">
        <v>2633.346923828125</v>
      </c>
      <c r="C109">
        <f t="shared" si="5"/>
        <v>1.4484170451676676E-2</v>
      </c>
      <c r="K109">
        <f t="shared" si="3"/>
        <v>4418.10009765625</v>
      </c>
      <c r="L109" s="5">
        <f t="shared" si="4"/>
        <v>-0.40396395155802733</v>
      </c>
    </row>
    <row r="110" spans="1:12" x14ac:dyDescent="0.3">
      <c r="A110" s="2">
        <v>45161</v>
      </c>
      <c r="B110">
        <v>2671.48876953125</v>
      </c>
      <c r="C110">
        <f t="shared" si="5"/>
        <v>-1.0836818699486713E-2</v>
      </c>
      <c r="K110">
        <f t="shared" si="3"/>
        <v>4418.10009765625</v>
      </c>
      <c r="L110" s="5">
        <f t="shared" si="4"/>
        <v>-0.39533086383704996</v>
      </c>
    </row>
    <row r="111" spans="1:12" x14ac:dyDescent="0.3">
      <c r="A111" s="2">
        <v>45162</v>
      </c>
      <c r="B111">
        <v>2642.538330078125</v>
      </c>
      <c r="C111">
        <f t="shared" si="5"/>
        <v>-1.8507115360292287E-2</v>
      </c>
      <c r="K111">
        <f t="shared" si="3"/>
        <v>4418.10009765625</v>
      </c>
      <c r="L111" s="5">
        <f t="shared" si="4"/>
        <v>-0.40188355363882311</v>
      </c>
    </row>
    <row r="112" spans="1:12" x14ac:dyDescent="0.3">
      <c r="A112" s="2">
        <v>45163</v>
      </c>
      <c r="B112">
        <v>2593.632568359375</v>
      </c>
      <c r="C112">
        <f t="shared" si="5"/>
        <v>2.1585126359730707E-2</v>
      </c>
      <c r="K112">
        <f t="shared" si="3"/>
        <v>4418.10009765625</v>
      </c>
      <c r="L112" s="5">
        <f t="shared" si="4"/>
        <v>-0.41295296371051748</v>
      </c>
    </row>
    <row r="113" spans="1:12" x14ac:dyDescent="0.3">
      <c r="A113" s="2">
        <v>45166</v>
      </c>
      <c r="B113">
        <v>2649.616455078125</v>
      </c>
      <c r="C113">
        <f t="shared" si="5"/>
        <v>8.7557815570483977E-3</v>
      </c>
      <c r="K113">
        <f t="shared" si="3"/>
        <v>4418.10009765625</v>
      </c>
      <c r="L113" s="5">
        <f t="shared" si="4"/>
        <v>-0.40028147925310353</v>
      </c>
    </row>
    <row r="114" spans="1:12" x14ac:dyDescent="0.3">
      <c r="A114" s="2">
        <v>45167</v>
      </c>
      <c r="B114">
        <v>2672.81591796875</v>
      </c>
      <c r="C114">
        <f t="shared" si="5"/>
        <v>-3.6595299864247369E-3</v>
      </c>
      <c r="K114">
        <f t="shared" si="3"/>
        <v>4418.10009765625</v>
      </c>
      <c r="L114" s="5">
        <f t="shared" si="4"/>
        <v>-0.39503047488972753</v>
      </c>
    </row>
    <row r="115" spans="1:12" x14ac:dyDescent="0.3">
      <c r="A115" s="2">
        <v>45168</v>
      </c>
      <c r="B115">
        <v>2663.03466796875</v>
      </c>
      <c r="C115">
        <f t="shared" si="5"/>
        <v>-2.3255856594232194E-3</v>
      </c>
      <c r="K115">
        <f t="shared" si="3"/>
        <v>4418.10009765625</v>
      </c>
      <c r="L115" s="5">
        <f t="shared" si="4"/>
        <v>-0.39724437900774168</v>
      </c>
    </row>
    <row r="116" spans="1:12" x14ac:dyDescent="0.3">
      <c r="A116" s="2">
        <v>45169</v>
      </c>
      <c r="B116">
        <v>2656.841552734375</v>
      </c>
      <c r="C116">
        <f t="shared" si="5"/>
        <v>-2.2200938155041391E-4</v>
      </c>
      <c r="K116">
        <f t="shared" si="3"/>
        <v>4418.10009765625</v>
      </c>
      <c r="L116" s="5">
        <f t="shared" si="4"/>
        <v>-0.39864613883605804</v>
      </c>
    </row>
    <row r="117" spans="1:12" x14ac:dyDescent="0.3">
      <c r="A117" s="2">
        <v>45170</v>
      </c>
      <c r="B117">
        <v>2656.251708984375</v>
      </c>
      <c r="C117">
        <f t="shared" si="5"/>
        <v>3.3307882982060583E-3</v>
      </c>
      <c r="K117">
        <f t="shared" si="3"/>
        <v>4418.10009765625</v>
      </c>
      <c r="L117" s="5">
        <f t="shared" si="4"/>
        <v>-0.39877964503486796</v>
      </c>
    </row>
    <row r="118" spans="1:12" x14ac:dyDescent="0.3">
      <c r="A118" s="2">
        <v>45173</v>
      </c>
      <c r="B118">
        <v>2665.09912109375</v>
      </c>
      <c r="C118">
        <f t="shared" si="5"/>
        <v>8.0593639974767886E-3</v>
      </c>
      <c r="K118">
        <f t="shared" si="3"/>
        <v>4418.10009765625</v>
      </c>
      <c r="L118" s="5">
        <f t="shared" si="4"/>
        <v>-0.39677710731190685</v>
      </c>
    </row>
    <row r="119" spans="1:12" x14ac:dyDescent="0.3">
      <c r="A119" s="2">
        <v>45174</v>
      </c>
      <c r="B119">
        <v>2686.578125</v>
      </c>
      <c r="C119">
        <f t="shared" si="5"/>
        <v>-9.1473964906566788E-4</v>
      </c>
      <c r="K119">
        <f t="shared" si="3"/>
        <v>4418.10009765625</v>
      </c>
      <c r="L119" s="5">
        <f t="shared" si="4"/>
        <v>-0.39191551444812267</v>
      </c>
    </row>
    <row r="120" spans="1:12" x14ac:dyDescent="0.3">
      <c r="A120" s="2">
        <v>45175</v>
      </c>
      <c r="B120">
        <v>2684.12060546875</v>
      </c>
      <c r="C120">
        <f t="shared" si="5"/>
        <v>4.2465553069184564E-2</v>
      </c>
      <c r="K120">
        <f t="shared" si="3"/>
        <v>4418.10009765625</v>
      </c>
      <c r="L120" s="5">
        <f t="shared" si="4"/>
        <v>-0.39247175343703866</v>
      </c>
    </row>
    <row r="121" spans="1:12" x14ac:dyDescent="0.3">
      <c r="A121" s="2">
        <v>45176</v>
      </c>
      <c r="B121">
        <v>2798.103271484375</v>
      </c>
      <c r="C121">
        <f t="shared" si="5"/>
        <v>1.9393019703026718E-2</v>
      </c>
      <c r="K121">
        <f t="shared" si="3"/>
        <v>4418.10009765625</v>
      </c>
      <c r="L121" s="5">
        <f t="shared" si="4"/>
        <v>-0.36667273044159054</v>
      </c>
    </row>
    <row r="122" spans="1:12" x14ac:dyDescent="0.3">
      <c r="A122" s="2">
        <v>45177</v>
      </c>
      <c r="B122">
        <v>2852.366943359375</v>
      </c>
      <c r="C122">
        <f t="shared" si="5"/>
        <v>-2.5503935319616598E-3</v>
      </c>
      <c r="K122">
        <f t="shared" si="3"/>
        <v>4418.10009765625</v>
      </c>
      <c r="L122" s="5">
        <f t="shared" si="4"/>
        <v>-0.35439060222458019</v>
      </c>
    </row>
    <row r="123" spans="1:12" x14ac:dyDescent="0.3">
      <c r="A123" s="2">
        <v>45180</v>
      </c>
      <c r="B123">
        <v>2845.09228515625</v>
      </c>
      <c r="C123">
        <f t="shared" si="5"/>
        <v>1.7241432572434476E-2</v>
      </c>
      <c r="K123">
        <f t="shared" si="3"/>
        <v>4418.10009765625</v>
      </c>
      <c r="L123" s="5">
        <f t="shared" si="4"/>
        <v>-0.35603716025684029</v>
      </c>
    </row>
    <row r="124" spans="1:12" x14ac:dyDescent="0.3">
      <c r="A124" s="2">
        <v>45181</v>
      </c>
      <c r="B124">
        <v>2894.145751953125</v>
      </c>
      <c r="C124">
        <f t="shared" si="5"/>
        <v>-1.2686490550656165E-2</v>
      </c>
      <c r="K124">
        <f t="shared" si="3"/>
        <v>4418.10009765625</v>
      </c>
      <c r="L124" s="5">
        <f t="shared" si="4"/>
        <v>-0.34493431837625521</v>
      </c>
    </row>
    <row r="125" spans="1:12" x14ac:dyDescent="0.3">
      <c r="A125" s="2">
        <v>45182</v>
      </c>
      <c r="B125">
        <v>2857.42919921875</v>
      </c>
      <c r="C125">
        <f t="shared" si="5"/>
        <v>4.0767154561292132E-3</v>
      </c>
      <c r="K125">
        <f t="shared" si="3"/>
        <v>4418.10009765625</v>
      </c>
      <c r="L125" s="5">
        <f t="shared" si="4"/>
        <v>-0.35324480295623395</v>
      </c>
    </row>
    <row r="126" spans="1:12" x14ac:dyDescent="0.3">
      <c r="A126" s="2">
        <v>45183</v>
      </c>
      <c r="B126">
        <v>2869.078125</v>
      </c>
      <c r="C126">
        <f t="shared" si="5"/>
        <v>-3.4434038045757292E-3</v>
      </c>
      <c r="K126">
        <f t="shared" si="3"/>
        <v>4418.10009765625</v>
      </c>
      <c r="L126" s="5">
        <f t="shared" si="4"/>
        <v>-0.35060816604811373</v>
      </c>
    </row>
    <row r="127" spans="1:12" x14ac:dyDescent="0.3">
      <c r="A127" s="2">
        <v>45184</v>
      </c>
      <c r="B127">
        <v>2859.19873046875</v>
      </c>
      <c r="C127">
        <f t="shared" si="5"/>
        <v>3.8850584880659482E-3</v>
      </c>
      <c r="K127">
        <f t="shared" si="3"/>
        <v>4418.10009765625</v>
      </c>
      <c r="L127" s="5">
        <f t="shared" si="4"/>
        <v>-0.35284428435980408</v>
      </c>
    </row>
    <row r="128" spans="1:12" x14ac:dyDescent="0.3">
      <c r="A128" s="2">
        <v>45187</v>
      </c>
      <c r="B128">
        <v>2870.306884765625</v>
      </c>
      <c r="C128">
        <f t="shared" si="5"/>
        <v>-1.0223124926159609E-2</v>
      </c>
      <c r="K128">
        <f t="shared" si="3"/>
        <v>4418.10009765625</v>
      </c>
      <c r="L128" s="5">
        <f t="shared" si="4"/>
        <v>-0.35033004655365574</v>
      </c>
    </row>
    <row r="129" spans="1:12" x14ac:dyDescent="0.3">
      <c r="A129" s="2">
        <v>45189</v>
      </c>
      <c r="B129">
        <v>2840.96337890625</v>
      </c>
      <c r="C129">
        <f t="shared" si="5"/>
        <v>3.2353131751872927E-3</v>
      </c>
      <c r="K129">
        <f t="shared" si="3"/>
        <v>4418.10009765625</v>
      </c>
      <c r="L129" s="5">
        <f t="shared" si="4"/>
        <v>-0.35697170364851005</v>
      </c>
    </row>
    <row r="130" spans="1:12" x14ac:dyDescent="0.3">
      <c r="A130" s="2">
        <v>45190</v>
      </c>
      <c r="B130">
        <v>2850.15478515625</v>
      </c>
      <c r="C130">
        <f t="shared" si="5"/>
        <v>6.604972968676146E-3</v>
      </c>
      <c r="K130">
        <f t="shared" ref="K130:K193" si="6">MAX(B130:B869)</f>
        <v>4418.10009765625</v>
      </c>
      <c r="L130" s="5">
        <f t="shared" ref="L130:L193" si="7">B130/K130-1</f>
        <v>-0.35489130572930583</v>
      </c>
    </row>
    <row r="131" spans="1:12" x14ac:dyDescent="0.3">
      <c r="A131" s="2">
        <v>45191</v>
      </c>
      <c r="B131">
        <v>2868.97998046875</v>
      </c>
      <c r="C131">
        <f t="shared" ref="C131:C194" si="8">(B132-B131)/B131</f>
        <v>-5.4822674720895704E-3</v>
      </c>
      <c r="K131">
        <f t="shared" si="6"/>
        <v>4418.10009765625</v>
      </c>
      <c r="L131" s="5">
        <f t="shared" si="7"/>
        <v>-0.35063038024178994</v>
      </c>
    </row>
    <row r="132" spans="1:12" x14ac:dyDescent="0.3">
      <c r="A132" s="2">
        <v>45194</v>
      </c>
      <c r="B132">
        <v>2853.25146484375</v>
      </c>
      <c r="C132">
        <f t="shared" si="8"/>
        <v>3.4625895381485521E-3</v>
      </c>
      <c r="K132">
        <f t="shared" si="6"/>
        <v>4418.10009765625</v>
      </c>
      <c r="L132" s="5">
        <f t="shared" si="7"/>
        <v>-0.35419039818555353</v>
      </c>
    </row>
    <row r="133" spans="1:12" x14ac:dyDescent="0.3">
      <c r="A133" s="2">
        <v>45195</v>
      </c>
      <c r="B133">
        <v>2863.131103515625</v>
      </c>
      <c r="C133">
        <f t="shared" si="8"/>
        <v>1.802533130787469E-2</v>
      </c>
      <c r="K133">
        <f t="shared" si="6"/>
        <v>4418.10009765625</v>
      </c>
      <c r="L133" s="5">
        <f t="shared" si="7"/>
        <v>-0.35195422461467496</v>
      </c>
    </row>
    <row r="134" spans="1:12" x14ac:dyDescent="0.3">
      <c r="A134" s="2">
        <v>45196</v>
      </c>
      <c r="B134">
        <v>2914.739990234375</v>
      </c>
      <c r="C134">
        <f t="shared" si="8"/>
        <v>1.5159930562390195E-2</v>
      </c>
      <c r="K134">
        <f t="shared" si="6"/>
        <v>4418.10009765625</v>
      </c>
      <c r="L134" s="5">
        <f t="shared" si="7"/>
        <v>-0.34027298481068591</v>
      </c>
    </row>
    <row r="135" spans="1:12" x14ac:dyDescent="0.3">
      <c r="A135" s="2">
        <v>45197</v>
      </c>
      <c r="B135">
        <v>2958.92724609375</v>
      </c>
      <c r="C135">
        <f t="shared" si="8"/>
        <v>4.5017370797422983E-3</v>
      </c>
      <c r="K135">
        <f t="shared" si="6"/>
        <v>4418.10009765625</v>
      </c>
      <c r="L135" s="5">
        <f t="shared" si="7"/>
        <v>-0.33027156907028299</v>
      </c>
    </row>
    <row r="136" spans="1:12" x14ac:dyDescent="0.3">
      <c r="A136" s="2">
        <v>45198</v>
      </c>
      <c r="B136">
        <v>2972.24755859375</v>
      </c>
      <c r="C136">
        <f t="shared" si="8"/>
        <v>1.643762455514991E-2</v>
      </c>
      <c r="K136">
        <f t="shared" si="6"/>
        <v>4418.10009765625</v>
      </c>
      <c r="L136" s="5">
        <f t="shared" si="7"/>
        <v>-0.327256627759409</v>
      </c>
    </row>
    <row r="137" spans="1:12" x14ac:dyDescent="0.3">
      <c r="A137" s="2">
        <v>45202</v>
      </c>
      <c r="B137">
        <v>3021.104248046875</v>
      </c>
      <c r="C137">
        <f t="shared" si="8"/>
        <v>-1.480519163569625E-2</v>
      </c>
      <c r="K137">
        <f t="shared" si="6"/>
        <v>4418.10009765625</v>
      </c>
      <c r="L137" s="5">
        <f t="shared" si="7"/>
        <v>-0.31619832478455268</v>
      </c>
    </row>
    <row r="138" spans="1:12" x14ac:dyDescent="0.3">
      <c r="A138" s="2">
        <v>45203</v>
      </c>
      <c r="B138">
        <v>2976.376220703125</v>
      </c>
      <c r="C138">
        <f t="shared" si="8"/>
        <v>2.2558006213807508E-2</v>
      </c>
      <c r="K138">
        <f t="shared" si="6"/>
        <v>4418.10009765625</v>
      </c>
      <c r="L138" s="5">
        <f t="shared" si="7"/>
        <v>-0.32632213962692758</v>
      </c>
    </row>
    <row r="139" spans="1:12" x14ac:dyDescent="0.3">
      <c r="A139" s="2">
        <v>45204</v>
      </c>
      <c r="B139">
        <v>3043.517333984375</v>
      </c>
      <c r="C139">
        <f t="shared" si="8"/>
        <v>-7.5900950783343215E-4</v>
      </c>
      <c r="K139">
        <f t="shared" si="6"/>
        <v>4418.10009765625</v>
      </c>
      <c r="L139" s="5">
        <f t="shared" si="7"/>
        <v>-0.31112531026652723</v>
      </c>
    </row>
    <row r="140" spans="1:12" x14ac:dyDescent="0.3">
      <c r="A140" s="2">
        <v>45205</v>
      </c>
      <c r="B140">
        <v>3041.207275390625</v>
      </c>
      <c r="C140">
        <f t="shared" si="8"/>
        <v>-6.141632853099736E-3</v>
      </c>
      <c r="K140">
        <f t="shared" si="6"/>
        <v>4418.10009765625</v>
      </c>
      <c r="L140" s="5">
        <f t="shared" si="7"/>
        <v>-0.31164817270574074</v>
      </c>
    </row>
    <row r="141" spans="1:12" x14ac:dyDescent="0.3">
      <c r="A141" s="2">
        <v>45208</v>
      </c>
      <c r="B141">
        <v>3022.529296875</v>
      </c>
      <c r="C141">
        <f t="shared" si="8"/>
        <v>4.2293066069588089E-4</v>
      </c>
      <c r="K141">
        <f t="shared" si="6"/>
        <v>4418.10009765625</v>
      </c>
      <c r="L141" s="5">
        <f t="shared" si="7"/>
        <v>-0.31587577690274238</v>
      </c>
    </row>
    <row r="142" spans="1:12" x14ac:dyDescent="0.3">
      <c r="A142" s="2">
        <v>45209</v>
      </c>
      <c r="B142">
        <v>3023.8076171875</v>
      </c>
      <c r="C142">
        <f t="shared" si="8"/>
        <v>4.1286935481735275E-3</v>
      </c>
      <c r="K142">
        <f t="shared" si="6"/>
        <v>4418.10009765625</v>
      </c>
      <c r="L142" s="5">
        <f t="shared" si="7"/>
        <v>-0.31558643979306977</v>
      </c>
    </row>
    <row r="143" spans="1:12" x14ac:dyDescent="0.3">
      <c r="A143" s="2">
        <v>45210</v>
      </c>
      <c r="B143">
        <v>3036.2919921875</v>
      </c>
      <c r="C143">
        <f t="shared" si="8"/>
        <v>-2.2501232646857049E-3</v>
      </c>
      <c r="K143">
        <f t="shared" si="6"/>
        <v>4418.10009765625</v>
      </c>
      <c r="L143" s="5">
        <f t="shared" si="7"/>
        <v>-0.31276070594276095</v>
      </c>
    </row>
    <row r="144" spans="1:12" x14ac:dyDescent="0.3">
      <c r="A144" s="2">
        <v>45211</v>
      </c>
      <c r="B144">
        <v>3029.4599609375</v>
      </c>
      <c r="C144">
        <f t="shared" si="8"/>
        <v>2.5472516469938595E-3</v>
      </c>
      <c r="K144">
        <f t="shared" si="6"/>
        <v>4418.10009765625</v>
      </c>
      <c r="L144" s="5">
        <f t="shared" si="7"/>
        <v>-0.31430707906672539</v>
      </c>
    </row>
    <row r="145" spans="1:12" x14ac:dyDescent="0.3">
      <c r="A145" s="2">
        <v>45212</v>
      </c>
      <c r="B145">
        <v>3037.1767578125</v>
      </c>
      <c r="C145">
        <f t="shared" si="8"/>
        <v>3.9811013839242794E-3</v>
      </c>
      <c r="K145">
        <f t="shared" si="6"/>
        <v>4418.10009765625</v>
      </c>
      <c r="L145" s="5">
        <f t="shared" si="7"/>
        <v>-0.31256044664454607</v>
      </c>
    </row>
    <row r="146" spans="1:12" x14ac:dyDescent="0.3">
      <c r="A146" s="2">
        <v>45215</v>
      </c>
      <c r="B146">
        <v>3049.26806640625</v>
      </c>
      <c r="C146">
        <f t="shared" si="8"/>
        <v>-1.1476803235151366E-2</v>
      </c>
      <c r="K146">
        <f t="shared" si="6"/>
        <v>4418.10009765625</v>
      </c>
      <c r="L146" s="5">
        <f t="shared" si="7"/>
        <v>-0.30982368008731831</v>
      </c>
    </row>
    <row r="147" spans="1:12" x14ac:dyDescent="0.3">
      <c r="A147" s="2">
        <v>45216</v>
      </c>
      <c r="B147">
        <v>3014.272216796875</v>
      </c>
      <c r="C147">
        <f t="shared" si="8"/>
        <v>-6.7508424885224178E-3</v>
      </c>
      <c r="K147">
        <f t="shared" si="6"/>
        <v>4418.10009765625</v>
      </c>
      <c r="L147" s="5">
        <f t="shared" si="7"/>
        <v>-0.31774469790851712</v>
      </c>
    </row>
    <row r="148" spans="1:12" x14ac:dyDescent="0.3">
      <c r="A148" s="2">
        <v>45217</v>
      </c>
      <c r="B148">
        <v>2993.92333984375</v>
      </c>
      <c r="C148">
        <f t="shared" si="8"/>
        <v>2.889397550865971E-3</v>
      </c>
      <c r="K148">
        <f t="shared" si="6"/>
        <v>4418.10009765625</v>
      </c>
      <c r="L148" s="5">
        <f t="shared" si="7"/>
        <v>-0.32235049598989596</v>
      </c>
    </row>
    <row r="149" spans="1:12" x14ac:dyDescent="0.3">
      <c r="A149" s="2">
        <v>45218</v>
      </c>
      <c r="B149">
        <v>3002.573974609375</v>
      </c>
      <c r="C149">
        <f t="shared" si="8"/>
        <v>-1.3766996627161444E-2</v>
      </c>
      <c r="K149">
        <f t="shared" si="6"/>
        <v>4418.10009765625</v>
      </c>
      <c r="L149" s="5">
        <f t="shared" si="7"/>
        <v>-0.3203924971726636</v>
      </c>
    </row>
    <row r="150" spans="1:12" x14ac:dyDescent="0.3">
      <c r="A150" s="2">
        <v>45219</v>
      </c>
      <c r="B150">
        <v>2961.237548828125</v>
      </c>
      <c r="C150">
        <f t="shared" si="8"/>
        <v>-1.7942772784651027E-2</v>
      </c>
      <c r="K150">
        <f t="shared" si="6"/>
        <v>4418.10009765625</v>
      </c>
      <c r="L150" s="5">
        <f t="shared" si="7"/>
        <v>-0.32974865137188114</v>
      </c>
    </row>
    <row r="151" spans="1:12" x14ac:dyDescent="0.3">
      <c r="A151" s="2">
        <v>45222</v>
      </c>
      <c r="B151">
        <v>2908.104736328125</v>
      </c>
      <c r="C151">
        <f t="shared" si="8"/>
        <v>-1.4265005775464029E-2</v>
      </c>
      <c r="K151">
        <f t="shared" si="6"/>
        <v>4418.10009765625</v>
      </c>
      <c r="L151" s="5">
        <f t="shared" si="7"/>
        <v>-0.34177481902892148</v>
      </c>
    </row>
    <row r="152" spans="1:12" x14ac:dyDescent="0.3">
      <c r="A152" s="2">
        <v>45224</v>
      </c>
      <c r="B152">
        <v>2866.62060546875</v>
      </c>
      <c r="C152">
        <f t="shared" si="8"/>
        <v>-1.7660508148835286E-2</v>
      </c>
      <c r="K152">
        <f t="shared" si="6"/>
        <v>4418.10009765625</v>
      </c>
      <c r="L152" s="5">
        <f t="shared" si="7"/>
        <v>-0.35116440503702973</v>
      </c>
    </row>
    <row r="153" spans="1:12" x14ac:dyDescent="0.3">
      <c r="A153" s="2">
        <v>45225</v>
      </c>
      <c r="B153">
        <v>2815.99462890625</v>
      </c>
      <c r="C153">
        <f t="shared" si="8"/>
        <v>1.302097376575668E-2</v>
      </c>
      <c r="K153">
        <f t="shared" si="6"/>
        <v>4418.10009765625</v>
      </c>
      <c r="L153" s="5">
        <f t="shared" si="7"/>
        <v>-0.36262317134912769</v>
      </c>
    </row>
    <row r="154" spans="1:12" x14ac:dyDescent="0.3">
      <c r="A154" s="2">
        <v>45226</v>
      </c>
      <c r="B154">
        <v>2852.66162109375</v>
      </c>
      <c r="C154">
        <f t="shared" si="8"/>
        <v>8.4255195471745394E-3</v>
      </c>
      <c r="K154">
        <f t="shared" si="6"/>
        <v>4418.10009765625</v>
      </c>
      <c r="L154" s="5">
        <f t="shared" si="7"/>
        <v>-0.35432390438436345</v>
      </c>
    </row>
    <row r="155" spans="1:12" x14ac:dyDescent="0.3">
      <c r="A155" s="2">
        <v>45229</v>
      </c>
      <c r="B155">
        <v>2876.69677734375</v>
      </c>
      <c r="C155">
        <f t="shared" si="8"/>
        <v>9.2268913981642968E-4</v>
      </c>
      <c r="K155">
        <f t="shared" si="6"/>
        <v>4418.10009765625</v>
      </c>
      <c r="L155" s="5">
        <f t="shared" si="7"/>
        <v>-0.34888374781961062</v>
      </c>
    </row>
    <row r="156" spans="1:12" x14ac:dyDescent="0.3">
      <c r="A156" s="2">
        <v>45230</v>
      </c>
      <c r="B156">
        <v>2879.35107421875</v>
      </c>
      <c r="C156">
        <f t="shared" si="8"/>
        <v>-1.1522558166470548E-2</v>
      </c>
      <c r="K156">
        <f t="shared" si="6"/>
        <v>4418.10009765625</v>
      </c>
      <c r="L156" s="5">
        <f t="shared" si="7"/>
        <v>-0.34828296992496577</v>
      </c>
    </row>
    <row r="157" spans="1:12" x14ac:dyDescent="0.3">
      <c r="A157" s="2">
        <v>45231</v>
      </c>
      <c r="B157">
        <v>2846.173583984375</v>
      </c>
      <c r="C157">
        <f t="shared" si="8"/>
        <v>7.8748134209452505E-3</v>
      </c>
      <c r="K157">
        <f t="shared" si="6"/>
        <v>4418.10009765625</v>
      </c>
      <c r="L157" s="5">
        <f t="shared" si="7"/>
        <v>-0.35579241731208477</v>
      </c>
    </row>
    <row r="158" spans="1:12" x14ac:dyDescent="0.3">
      <c r="A158" s="2">
        <v>45232</v>
      </c>
      <c r="B158">
        <v>2868.586669921875</v>
      </c>
      <c r="C158">
        <f t="shared" si="8"/>
        <v>-2.3474579971235086E-3</v>
      </c>
      <c r="K158">
        <f t="shared" si="6"/>
        <v>4418.10009765625</v>
      </c>
      <c r="L158" s="5">
        <f t="shared" si="7"/>
        <v>-0.35071940279405933</v>
      </c>
    </row>
    <row r="159" spans="1:12" x14ac:dyDescent="0.3">
      <c r="A159" s="2">
        <v>45233</v>
      </c>
      <c r="B159">
        <v>2861.852783203125</v>
      </c>
      <c r="C159">
        <f t="shared" si="8"/>
        <v>2.205244106690676E-2</v>
      </c>
      <c r="K159">
        <f t="shared" si="6"/>
        <v>4418.10009765625</v>
      </c>
      <c r="L159" s="5">
        <f t="shared" si="7"/>
        <v>-0.35224356172434745</v>
      </c>
    </row>
    <row r="160" spans="1:12" x14ac:dyDescent="0.3">
      <c r="A160" s="2">
        <v>45236</v>
      </c>
      <c r="B160">
        <v>2924.963623046875</v>
      </c>
      <c r="C160">
        <f t="shared" si="8"/>
        <v>-4.7555846506170656E-3</v>
      </c>
      <c r="K160">
        <f t="shared" si="6"/>
        <v>4418.10009765625</v>
      </c>
      <c r="L160" s="5">
        <f t="shared" si="7"/>
        <v>-0.33795895104356422</v>
      </c>
    </row>
    <row r="161" spans="1:12" x14ac:dyDescent="0.3">
      <c r="A161" s="2">
        <v>45237</v>
      </c>
      <c r="B161">
        <v>2911.0537109375</v>
      </c>
      <c r="C161">
        <f t="shared" si="8"/>
        <v>1.1869745538204829E-2</v>
      </c>
      <c r="K161">
        <f t="shared" si="6"/>
        <v>4418.10009765625</v>
      </c>
      <c r="L161" s="5">
        <f t="shared" si="7"/>
        <v>-0.34110734329405989</v>
      </c>
    </row>
    <row r="162" spans="1:12" x14ac:dyDescent="0.3">
      <c r="A162" s="2">
        <v>45238</v>
      </c>
      <c r="B162">
        <v>2945.607177734375</v>
      </c>
      <c r="C162">
        <f t="shared" si="8"/>
        <v>9.4779144692668758E-3</v>
      </c>
      <c r="K162">
        <f t="shared" si="6"/>
        <v>4418.10009765625</v>
      </c>
      <c r="L162" s="5">
        <f t="shared" si="7"/>
        <v>-0.33328645512196864</v>
      </c>
    </row>
    <row r="163" spans="1:12" x14ac:dyDescent="0.3">
      <c r="A163" s="2">
        <v>45239</v>
      </c>
      <c r="B163">
        <v>2973.525390625</v>
      </c>
      <c r="C163">
        <f t="shared" si="8"/>
        <v>2.7770297120749848E-3</v>
      </c>
      <c r="K163">
        <f t="shared" si="6"/>
        <v>4418.10009765625</v>
      </c>
      <c r="L163" s="5">
        <f t="shared" si="7"/>
        <v>-0.32696740116811296</v>
      </c>
    </row>
    <row r="164" spans="1:12" x14ac:dyDescent="0.3">
      <c r="A164" s="2">
        <v>45240</v>
      </c>
      <c r="B164">
        <v>2981.782958984375</v>
      </c>
      <c r="C164">
        <f t="shared" si="8"/>
        <v>5.0275996421302767E-3</v>
      </c>
      <c r="K164">
        <f t="shared" si="6"/>
        <v>4418.10009765625</v>
      </c>
      <c r="L164" s="5">
        <f t="shared" si="7"/>
        <v>-0.32509836964396177</v>
      </c>
    </row>
    <row r="165" spans="1:12" x14ac:dyDescent="0.3">
      <c r="A165" s="2">
        <v>45243</v>
      </c>
      <c r="B165">
        <v>2996.774169921875</v>
      </c>
      <c r="C165">
        <f t="shared" si="8"/>
        <v>5.3961017816439505E-3</v>
      </c>
      <c r="K165">
        <f t="shared" si="6"/>
        <v>4418.10009765625</v>
      </c>
      <c r="L165" s="5">
        <f t="shared" si="7"/>
        <v>-0.32170523444871058</v>
      </c>
    </row>
    <row r="166" spans="1:12" x14ac:dyDescent="0.3">
      <c r="A166" s="2">
        <v>45245</v>
      </c>
      <c r="B166">
        <v>3012.945068359375</v>
      </c>
      <c r="C166">
        <f t="shared" si="8"/>
        <v>-4.5025440759651775E-3</v>
      </c>
      <c r="K166">
        <f t="shared" si="6"/>
        <v>4418.10009765625</v>
      </c>
      <c r="L166" s="5">
        <f t="shared" si="7"/>
        <v>-0.31804508685583954</v>
      </c>
    </row>
    <row r="167" spans="1:12" x14ac:dyDescent="0.3">
      <c r="A167" s="2">
        <v>45246</v>
      </c>
      <c r="B167">
        <v>2999.379150390625</v>
      </c>
      <c r="C167">
        <f t="shared" si="8"/>
        <v>1.8960059849625455E-2</v>
      </c>
      <c r="K167">
        <f t="shared" si="6"/>
        <v>4418.10009765625</v>
      </c>
      <c r="L167" s="5">
        <f t="shared" si="7"/>
        <v>-0.3211156189100921</v>
      </c>
    </row>
    <row r="168" spans="1:12" x14ac:dyDescent="0.3">
      <c r="A168" s="2">
        <v>45247</v>
      </c>
      <c r="B168">
        <v>3056.24755859375</v>
      </c>
      <c r="C168">
        <f t="shared" si="8"/>
        <v>-6.497241258660259E-3</v>
      </c>
      <c r="K168">
        <f t="shared" si="6"/>
        <v>4418.10009765625</v>
      </c>
      <c r="L168" s="5">
        <f t="shared" si="7"/>
        <v>-0.3082439304136515</v>
      </c>
    </row>
    <row r="169" spans="1:12" x14ac:dyDescent="0.3">
      <c r="A169" s="2">
        <v>45250</v>
      </c>
      <c r="B169">
        <v>3036.390380859375</v>
      </c>
      <c r="C169">
        <f t="shared" si="8"/>
        <v>-4.5162620893772678E-3</v>
      </c>
      <c r="K169">
        <f t="shared" si="6"/>
        <v>4418.10009765625</v>
      </c>
      <c r="L169" s="5">
        <f t="shared" si="7"/>
        <v>-0.31273843648989652</v>
      </c>
    </row>
    <row r="170" spans="1:12" x14ac:dyDescent="0.3">
      <c r="A170" s="2">
        <v>45251</v>
      </c>
      <c r="B170">
        <v>3022.67724609375</v>
      </c>
      <c r="C170">
        <f t="shared" si="8"/>
        <v>2.4228476055752389E-3</v>
      </c>
      <c r="K170">
        <f t="shared" si="6"/>
        <v>4418.10009765625</v>
      </c>
      <c r="L170" s="5">
        <f t="shared" si="7"/>
        <v>-0.31584228983466345</v>
      </c>
    </row>
    <row r="171" spans="1:12" x14ac:dyDescent="0.3">
      <c r="A171" s="2">
        <v>45252</v>
      </c>
      <c r="B171">
        <v>3030.000732421875</v>
      </c>
      <c r="C171">
        <f t="shared" si="8"/>
        <v>-1.1890531882380971E-2</v>
      </c>
      <c r="K171">
        <f t="shared" si="6"/>
        <v>4418.10009765625</v>
      </c>
      <c r="L171" s="5">
        <f t="shared" si="7"/>
        <v>-0.31418467996475352</v>
      </c>
    </row>
    <row r="172" spans="1:12" x14ac:dyDescent="0.3">
      <c r="A172" s="2">
        <v>45253</v>
      </c>
      <c r="B172">
        <v>2993.972412109375</v>
      </c>
      <c r="C172">
        <f t="shared" si="8"/>
        <v>2.8237072353461475E-3</v>
      </c>
      <c r="K172">
        <f t="shared" si="6"/>
        <v>4418.10009765625</v>
      </c>
      <c r="L172" s="5">
        <f t="shared" si="7"/>
        <v>-0.32233938889305791</v>
      </c>
    </row>
    <row r="173" spans="1:12" x14ac:dyDescent="0.3">
      <c r="A173" s="2">
        <v>45254</v>
      </c>
      <c r="B173">
        <v>3002.426513671875</v>
      </c>
      <c r="C173">
        <f t="shared" si="8"/>
        <v>-1.3914526653612447E-3</v>
      </c>
      <c r="K173">
        <f t="shared" si="6"/>
        <v>4418.10009765625</v>
      </c>
      <c r="L173" s="5">
        <f t="shared" si="7"/>
        <v>-0.32042587372236608</v>
      </c>
    </row>
    <row r="174" spans="1:12" x14ac:dyDescent="0.3">
      <c r="A174" s="2">
        <v>45258</v>
      </c>
      <c r="B174">
        <v>2998.248779296875</v>
      </c>
      <c r="C174">
        <f t="shared" si="8"/>
        <v>1.1065541432999586E-2</v>
      </c>
      <c r="K174">
        <f t="shared" si="6"/>
        <v>4418.10009765625</v>
      </c>
      <c r="L174" s="5">
        <f t="shared" si="7"/>
        <v>-0.32137146895168567</v>
      </c>
    </row>
    <row r="175" spans="1:12" x14ac:dyDescent="0.3">
      <c r="A175" s="2">
        <v>45259</v>
      </c>
      <c r="B175">
        <v>3031.426025390625</v>
      </c>
      <c r="C175">
        <f t="shared" si="8"/>
        <v>8.2529034839391169E-3</v>
      </c>
      <c r="K175">
        <f t="shared" si="6"/>
        <v>4418.10009765625</v>
      </c>
      <c r="L175" s="5">
        <f t="shared" si="7"/>
        <v>-0.31386207682375489</v>
      </c>
    </row>
    <row r="176" spans="1:12" x14ac:dyDescent="0.3">
      <c r="A176" s="2">
        <v>45260</v>
      </c>
      <c r="B176">
        <v>3056.444091796875</v>
      </c>
      <c r="C176">
        <f t="shared" si="8"/>
        <v>2.6196412788521944E-2</v>
      </c>
      <c r="K176">
        <f t="shared" si="6"/>
        <v>4418.10009765625</v>
      </c>
      <c r="L176" s="5">
        <f t="shared" si="7"/>
        <v>-0.30819944676711097</v>
      </c>
    </row>
    <row r="177" spans="1:12" x14ac:dyDescent="0.3">
      <c r="A177" s="2">
        <v>45261</v>
      </c>
      <c r="B177">
        <v>3136.511962890625</v>
      </c>
      <c r="C177">
        <f t="shared" si="8"/>
        <v>3.8518884300669576E-2</v>
      </c>
      <c r="K177">
        <f t="shared" si="6"/>
        <v>4418.10009765625</v>
      </c>
      <c r="L177" s="5">
        <f t="shared" si="7"/>
        <v>-0.29007675390729426</v>
      </c>
    </row>
    <row r="178" spans="1:12" x14ac:dyDescent="0.3">
      <c r="A178" s="2">
        <v>45264</v>
      </c>
      <c r="B178">
        <v>3257.326904296875</v>
      </c>
      <c r="C178">
        <f t="shared" si="8"/>
        <v>5.7337683202329846E-4</v>
      </c>
      <c r="K178">
        <f t="shared" si="6"/>
        <v>4418.10009765625</v>
      </c>
      <c r="L178" s="5">
        <f t="shared" si="7"/>
        <v>-0.26273130252869359</v>
      </c>
    </row>
    <row r="179" spans="1:12" x14ac:dyDescent="0.3">
      <c r="A179" s="2">
        <v>45265</v>
      </c>
      <c r="B179">
        <v>3259.194580078125</v>
      </c>
      <c r="C179">
        <f t="shared" si="8"/>
        <v>2.3179390098370289E-2</v>
      </c>
      <c r="K179">
        <f t="shared" si="6"/>
        <v>4418.10009765625</v>
      </c>
      <c r="L179" s="5">
        <f t="shared" si="7"/>
        <v>-0.26230856973858752</v>
      </c>
    </row>
    <row r="180" spans="1:12" x14ac:dyDescent="0.3">
      <c r="A180" s="2">
        <v>45266</v>
      </c>
      <c r="B180">
        <v>3334.74072265625</v>
      </c>
      <c r="C180">
        <f t="shared" si="8"/>
        <v>-1.0818576746429377E-2</v>
      </c>
      <c r="K180">
        <f t="shared" si="6"/>
        <v>4418.10009765625</v>
      </c>
      <c r="L180" s="5">
        <f t="shared" si="7"/>
        <v>-0.24520933230433362</v>
      </c>
    </row>
    <row r="181" spans="1:12" x14ac:dyDescent="0.3">
      <c r="A181" s="2">
        <v>45267</v>
      </c>
      <c r="B181">
        <v>3298.66357421875</v>
      </c>
      <c r="C181">
        <f t="shared" si="8"/>
        <v>6.8094722901364379E-3</v>
      </c>
      <c r="K181">
        <f t="shared" si="6"/>
        <v>4418.10009765625</v>
      </c>
      <c r="L181" s="5">
        <f t="shared" si="7"/>
        <v>-0.25337509307028783</v>
      </c>
    </row>
    <row r="182" spans="1:12" x14ac:dyDescent="0.3">
      <c r="A182" s="2">
        <v>45268</v>
      </c>
      <c r="B182">
        <v>3321.125732421875</v>
      </c>
      <c r="C182">
        <f t="shared" si="8"/>
        <v>2.1755700864736732E-3</v>
      </c>
      <c r="K182">
        <f t="shared" si="6"/>
        <v>4418.10009765625</v>
      </c>
      <c r="L182" s="5">
        <f t="shared" si="7"/>
        <v>-0.24829097145542423</v>
      </c>
    </row>
    <row r="183" spans="1:12" x14ac:dyDescent="0.3">
      <c r="A183" s="2">
        <v>45271</v>
      </c>
      <c r="B183">
        <v>3328.35107421875</v>
      </c>
      <c r="C183">
        <f t="shared" si="8"/>
        <v>-1.2818304742503554E-2</v>
      </c>
      <c r="K183">
        <f t="shared" si="6"/>
        <v>4418.10009765625</v>
      </c>
      <c r="L183" s="5">
        <f t="shared" si="7"/>
        <v>-0.24665557577919051</v>
      </c>
    </row>
    <row r="184" spans="1:12" x14ac:dyDescent="0.3">
      <c r="A184" s="2">
        <v>45272</v>
      </c>
      <c r="B184">
        <v>3285.687255859375</v>
      </c>
      <c r="C184">
        <f t="shared" si="8"/>
        <v>1.7173353742242169E-2</v>
      </c>
      <c r="K184">
        <f t="shared" si="6"/>
        <v>4418.10009765625</v>
      </c>
      <c r="L184" s="5">
        <f t="shared" si="7"/>
        <v>-0.2563121741849187</v>
      </c>
    </row>
    <row r="185" spans="1:12" x14ac:dyDescent="0.3">
      <c r="A185" s="2">
        <v>45273</v>
      </c>
      <c r="B185">
        <v>3342.113525390625</v>
      </c>
      <c r="C185">
        <f t="shared" si="8"/>
        <v>9.794732337241277E-3</v>
      </c>
      <c r="K185">
        <f t="shared" si="6"/>
        <v>4418.10009765625</v>
      </c>
      <c r="L185" s="5">
        <f t="shared" si="7"/>
        <v>-0.24354056007839731</v>
      </c>
    </row>
    <row r="186" spans="1:12" x14ac:dyDescent="0.3">
      <c r="A186" s="2">
        <v>45274</v>
      </c>
      <c r="B186">
        <v>3374.8486328125</v>
      </c>
      <c r="C186">
        <f t="shared" si="8"/>
        <v>1.5991313267811492E-2</v>
      </c>
      <c r="K186">
        <f t="shared" si="6"/>
        <v>4418.10009765625</v>
      </c>
      <c r="L186" s="5">
        <f t="shared" si="7"/>
        <v>-0.23613124234038574</v>
      </c>
    </row>
    <row r="187" spans="1:12" x14ac:dyDescent="0.3">
      <c r="A187" s="2">
        <v>45275</v>
      </c>
      <c r="B187">
        <v>3428.81689453125</v>
      </c>
      <c r="C187">
        <f t="shared" si="8"/>
        <v>1.0321526663160652E-3</v>
      </c>
      <c r="K187">
        <f t="shared" si="6"/>
        <v>4418.10009765625</v>
      </c>
      <c r="L187" s="5">
        <f t="shared" si="7"/>
        <v>-0.2239159777411569</v>
      </c>
    </row>
    <row r="188" spans="1:12" x14ac:dyDescent="0.3">
      <c r="A188" s="2">
        <v>45278</v>
      </c>
      <c r="B188">
        <v>3432.35595703125</v>
      </c>
      <c r="C188">
        <f t="shared" si="8"/>
        <v>2.1049966106951238E-3</v>
      </c>
      <c r="K188">
        <f t="shared" si="6"/>
        <v>4418.10009765625</v>
      </c>
      <c r="L188" s="5">
        <f t="shared" si="7"/>
        <v>-0.22311494054829717</v>
      </c>
    </row>
    <row r="189" spans="1:12" x14ac:dyDescent="0.3">
      <c r="A189" s="2">
        <v>45279</v>
      </c>
      <c r="B189">
        <v>3439.5810546875</v>
      </c>
      <c r="C189">
        <f t="shared" si="8"/>
        <v>-2.2992614414398555E-2</v>
      </c>
      <c r="K189">
        <f t="shared" si="6"/>
        <v>4418.10009765625</v>
      </c>
      <c r="L189" s="5">
        <f t="shared" si="7"/>
        <v>-0.22147960013125167</v>
      </c>
    </row>
    <row r="190" spans="1:12" x14ac:dyDescent="0.3">
      <c r="A190" s="2">
        <v>45280</v>
      </c>
      <c r="B190">
        <v>3360.49609375</v>
      </c>
      <c r="C190">
        <f t="shared" si="8"/>
        <v>1.6527914521549203E-3</v>
      </c>
      <c r="K190">
        <f t="shared" si="6"/>
        <v>4418.10009765625</v>
      </c>
      <c r="L190" s="5">
        <f t="shared" si="7"/>
        <v>-0.23937981949917708</v>
      </c>
    </row>
    <row r="191" spans="1:12" x14ac:dyDescent="0.3">
      <c r="A191" s="2">
        <v>45281</v>
      </c>
      <c r="B191">
        <v>3366.05029296875</v>
      </c>
      <c r="C191">
        <f t="shared" si="8"/>
        <v>1.5711875428926041E-2</v>
      </c>
      <c r="K191">
        <f t="shared" si="6"/>
        <v>4418.10009765625</v>
      </c>
      <c r="L191" s="5">
        <f t="shared" si="7"/>
        <v>-0.2381226729665088</v>
      </c>
    </row>
    <row r="192" spans="1:12" x14ac:dyDescent="0.3">
      <c r="A192" s="2">
        <v>45282</v>
      </c>
      <c r="B192">
        <v>3418.937255859375</v>
      </c>
      <c r="C192">
        <f t="shared" si="8"/>
        <v>3.4790856048146929E-3</v>
      </c>
      <c r="K192">
        <f t="shared" si="6"/>
        <v>4418.10009765625</v>
      </c>
      <c r="L192" s="5">
        <f t="shared" si="7"/>
        <v>-0.22615215131203548</v>
      </c>
    </row>
    <row r="193" spans="1:12" x14ac:dyDescent="0.3">
      <c r="A193" s="2">
        <v>45286</v>
      </c>
      <c r="B193">
        <v>3430.83203125</v>
      </c>
      <c r="C193">
        <f t="shared" si="8"/>
        <v>1.5458252542147097E-2</v>
      </c>
      <c r="K193">
        <f t="shared" si="6"/>
        <v>4418.10009765625</v>
      </c>
      <c r="L193" s="5">
        <f t="shared" si="7"/>
        <v>-0.22345986840134835</v>
      </c>
    </row>
    <row r="194" spans="1:12" x14ac:dyDescent="0.3">
      <c r="A194" s="2">
        <v>45287</v>
      </c>
      <c r="B194">
        <v>3483.86669921875</v>
      </c>
      <c r="C194">
        <f t="shared" si="8"/>
        <v>-7.3221864344280045E-3</v>
      </c>
      <c r="K194">
        <f t="shared" ref="K194:K257" si="9">MAX(B194:B933)</f>
        <v>4418.10009765625</v>
      </c>
      <c r="L194" s="5">
        <f t="shared" ref="L194:L257" si="10">B194/K194-1</f>
        <v>-0.21145591493798432</v>
      </c>
    </row>
    <row r="195" spans="1:12" x14ac:dyDescent="0.3">
      <c r="A195" s="2">
        <v>45288</v>
      </c>
      <c r="B195">
        <v>3458.357177734375</v>
      </c>
      <c r="C195">
        <f t="shared" ref="C195:C258" si="11">(B196-B195)/B195</f>
        <v>2.2597265130866826E-3</v>
      </c>
      <c r="K195">
        <f t="shared" si="9"/>
        <v>4418.10009765625</v>
      </c>
      <c r="L195" s="5">
        <f t="shared" si="10"/>
        <v>-0.21722978174057384</v>
      </c>
    </row>
    <row r="196" spans="1:12" x14ac:dyDescent="0.3">
      <c r="A196" s="2">
        <v>45289</v>
      </c>
      <c r="B196">
        <v>3466.172119140625</v>
      </c>
      <c r="C196">
        <f t="shared" si="11"/>
        <v>-1.5601403097924478E-4</v>
      </c>
      <c r="K196">
        <f t="shared" si="9"/>
        <v>4418.10009765625</v>
      </c>
      <c r="L196" s="5">
        <f t="shared" si="10"/>
        <v>-0.21546093512471831</v>
      </c>
    </row>
    <row r="197" spans="1:12" x14ac:dyDescent="0.3">
      <c r="A197" s="2">
        <v>45292</v>
      </c>
      <c r="B197">
        <v>3465.63134765625</v>
      </c>
      <c r="C197">
        <f t="shared" si="11"/>
        <v>-2.4776921480503374E-2</v>
      </c>
      <c r="K197">
        <f t="shared" si="9"/>
        <v>4418.10009765625</v>
      </c>
      <c r="L197" s="5">
        <f t="shared" si="10"/>
        <v>-0.21558333422669018</v>
      </c>
    </row>
    <row r="198" spans="1:12" x14ac:dyDescent="0.3">
      <c r="A198" s="2">
        <v>45293</v>
      </c>
      <c r="B198">
        <v>3379.763671875</v>
      </c>
      <c r="C198">
        <f t="shared" si="11"/>
        <v>6.5438596795379671E-4</v>
      </c>
      <c r="K198">
        <f t="shared" si="9"/>
        <v>4418.10009765625</v>
      </c>
      <c r="L198" s="5">
        <f t="shared" si="10"/>
        <v>-0.23501876436255376</v>
      </c>
    </row>
    <row r="199" spans="1:12" x14ac:dyDescent="0.3">
      <c r="A199" s="2">
        <v>45294</v>
      </c>
      <c r="B199">
        <v>3381.975341796875</v>
      </c>
      <c r="C199">
        <f t="shared" si="11"/>
        <v>5.3337391304473375E-3</v>
      </c>
      <c r="K199">
        <f t="shared" si="9"/>
        <v>4418.10009765625</v>
      </c>
      <c r="L199" s="5">
        <f t="shared" si="10"/>
        <v>-0.23451817137620468</v>
      </c>
    </row>
    <row r="200" spans="1:12" x14ac:dyDescent="0.3">
      <c r="A200" s="2">
        <v>45295</v>
      </c>
      <c r="B200">
        <v>3400.013916015625</v>
      </c>
      <c r="C200">
        <f t="shared" si="11"/>
        <v>1.8272773900784672E-2</v>
      </c>
      <c r="K200">
        <f t="shared" si="9"/>
        <v>4418.10009765625</v>
      </c>
      <c r="L200" s="5">
        <f t="shared" si="10"/>
        <v>-0.23043529099322757</v>
      </c>
    </row>
    <row r="201" spans="1:12" x14ac:dyDescent="0.3">
      <c r="A201" s="2">
        <v>45296</v>
      </c>
      <c r="B201">
        <v>3462.1416015625</v>
      </c>
      <c r="C201">
        <f t="shared" si="11"/>
        <v>-5.905888273069781E-3</v>
      </c>
      <c r="K201">
        <f t="shared" si="9"/>
        <v>4418.10009765625</v>
      </c>
      <c r="L201" s="5">
        <f t="shared" si="10"/>
        <v>-0.21637320906352364</v>
      </c>
    </row>
    <row r="202" spans="1:12" x14ac:dyDescent="0.3">
      <c r="A202" s="2">
        <v>45299</v>
      </c>
      <c r="B202">
        <v>3441.694580078125</v>
      </c>
      <c r="C202">
        <f t="shared" si="11"/>
        <v>1.5666465515339557E-2</v>
      </c>
      <c r="K202">
        <f t="shared" si="9"/>
        <v>4418.10009765625</v>
      </c>
      <c r="L202" s="5">
        <f t="shared" si="10"/>
        <v>-0.22100122133857869</v>
      </c>
    </row>
    <row r="203" spans="1:12" x14ac:dyDescent="0.3">
      <c r="A203" s="2">
        <v>45300</v>
      </c>
      <c r="B203">
        <v>3495.61376953125</v>
      </c>
      <c r="C203">
        <f t="shared" si="11"/>
        <v>-2.9386716081272052E-3</v>
      </c>
      <c r="K203">
        <f t="shared" si="9"/>
        <v>4418.10009765625</v>
      </c>
      <c r="L203" s="5">
        <f t="shared" si="10"/>
        <v>-0.2087970638361879</v>
      </c>
    </row>
    <row r="204" spans="1:12" x14ac:dyDescent="0.3">
      <c r="A204" s="2">
        <v>45301</v>
      </c>
      <c r="B204">
        <v>3485.34130859375</v>
      </c>
      <c r="C204">
        <f t="shared" si="11"/>
        <v>-1.1465290105224462E-2</v>
      </c>
      <c r="K204">
        <f t="shared" si="9"/>
        <v>4418.10009765625</v>
      </c>
      <c r="L204" s="5">
        <f t="shared" si="10"/>
        <v>-0.21112214944095942</v>
      </c>
    </row>
    <row r="205" spans="1:12" x14ac:dyDescent="0.3">
      <c r="A205" s="2">
        <v>45302</v>
      </c>
      <c r="B205">
        <v>3445.380859375</v>
      </c>
      <c r="C205">
        <f t="shared" si="11"/>
        <v>1.8246165750679551E-2</v>
      </c>
      <c r="K205">
        <f t="shared" si="9"/>
        <v>4418.10009765625</v>
      </c>
      <c r="L205" s="5">
        <f t="shared" si="10"/>
        <v>-0.2201668628552047</v>
      </c>
    </row>
    <row r="206" spans="1:12" x14ac:dyDescent="0.3">
      <c r="A206" s="2">
        <v>45303</v>
      </c>
      <c r="B206">
        <v>3508.245849609375</v>
      </c>
      <c r="C206">
        <f t="shared" si="11"/>
        <v>-7.2152834682519384E-3</v>
      </c>
      <c r="K206">
        <f t="shared" si="9"/>
        <v>4418.10009765625</v>
      </c>
      <c r="L206" s="5">
        <f t="shared" si="10"/>
        <v>-0.20593789817698838</v>
      </c>
    </row>
    <row r="207" spans="1:12" x14ac:dyDescent="0.3">
      <c r="A207" s="2">
        <v>45306</v>
      </c>
      <c r="B207">
        <v>3482.932861328125</v>
      </c>
      <c r="C207">
        <f t="shared" si="11"/>
        <v>8.5942240808327824E-3</v>
      </c>
      <c r="K207">
        <f t="shared" si="9"/>
        <v>4418.10009765625</v>
      </c>
      <c r="L207" s="5">
        <f t="shared" si="10"/>
        <v>-0.21166728133303725</v>
      </c>
    </row>
    <row r="208" spans="1:12" x14ac:dyDescent="0.3">
      <c r="A208" s="2">
        <v>45307</v>
      </c>
      <c r="B208">
        <v>3512.865966796875</v>
      </c>
      <c r="C208">
        <f t="shared" si="11"/>
        <v>-7.1354609614114519E-4</v>
      </c>
      <c r="K208">
        <f t="shared" si="9"/>
        <v>4418.10009765625</v>
      </c>
      <c r="L208" s="5">
        <f t="shared" si="10"/>
        <v>-0.20489217329856135</v>
      </c>
    </row>
    <row r="209" spans="1:12" x14ac:dyDescent="0.3">
      <c r="A209" s="2">
        <v>45308</v>
      </c>
      <c r="B209">
        <v>3510.359375</v>
      </c>
      <c r="C209">
        <f t="shared" si="11"/>
        <v>7.0149512825876982E-3</v>
      </c>
      <c r="K209">
        <f t="shared" si="9"/>
        <v>4418.10009765625</v>
      </c>
      <c r="L209" s="5">
        <f t="shared" si="10"/>
        <v>-0.20545951938431539</v>
      </c>
    </row>
    <row r="210" spans="1:12" x14ac:dyDescent="0.3">
      <c r="A210" s="2">
        <v>45309</v>
      </c>
      <c r="B210">
        <v>3534.984375</v>
      </c>
      <c r="C210">
        <f t="shared" si="11"/>
        <v>1.3904336232921822E-2</v>
      </c>
      <c r="K210">
        <f t="shared" si="9"/>
        <v>4418.10009765625</v>
      </c>
      <c r="L210" s="5">
        <f t="shared" si="10"/>
        <v>-0.19988585662075253</v>
      </c>
    </row>
    <row r="211" spans="1:12" x14ac:dyDescent="0.3">
      <c r="A211" s="2">
        <v>45310</v>
      </c>
      <c r="B211">
        <v>3584.135986328125</v>
      </c>
      <c r="C211">
        <f t="shared" si="11"/>
        <v>-2.6055982236718733E-2</v>
      </c>
      <c r="K211">
        <f t="shared" si="9"/>
        <v>4418.10009765625</v>
      </c>
      <c r="L211" s="5">
        <f t="shared" si="10"/>
        <v>-0.18876080054649125</v>
      </c>
    </row>
    <row r="212" spans="1:12" x14ac:dyDescent="0.3">
      <c r="A212" s="2">
        <v>45314</v>
      </c>
      <c r="B212">
        <v>3490.747802734375</v>
      </c>
      <c r="C212">
        <f t="shared" si="11"/>
        <v>1.0757580918251883E-2</v>
      </c>
      <c r="K212">
        <f t="shared" si="9"/>
        <v>4418.10009765625</v>
      </c>
      <c r="L212" s="5">
        <f t="shared" si="10"/>
        <v>-0.20989843471718184</v>
      </c>
    </row>
    <row r="213" spans="1:12" x14ac:dyDescent="0.3">
      <c r="A213" s="2">
        <v>45315</v>
      </c>
      <c r="B213">
        <v>3528.2998046875</v>
      </c>
      <c r="C213">
        <f t="shared" si="11"/>
        <v>1.1840644520768042E-3</v>
      </c>
      <c r="K213">
        <f t="shared" si="9"/>
        <v>4418.10009765625</v>
      </c>
      <c r="L213" s="5">
        <f t="shared" si="10"/>
        <v>-0.20139885319501438</v>
      </c>
    </row>
    <row r="214" spans="1:12" x14ac:dyDescent="0.3">
      <c r="A214" s="2">
        <v>45316</v>
      </c>
      <c r="B214">
        <v>3532.4775390625</v>
      </c>
      <c r="C214">
        <f t="shared" si="11"/>
        <v>3.1877400472236285E-2</v>
      </c>
      <c r="K214">
        <f t="shared" si="9"/>
        <v>4418.10009765625</v>
      </c>
      <c r="L214" s="5">
        <f t="shared" si="10"/>
        <v>-0.20045325796569491</v>
      </c>
    </row>
    <row r="215" spans="1:12" x14ac:dyDescent="0.3">
      <c r="A215" s="2">
        <v>45320</v>
      </c>
      <c r="B215">
        <v>3645.083740234375</v>
      </c>
      <c r="C215">
        <f t="shared" si="11"/>
        <v>-2.0145525902658244E-2</v>
      </c>
      <c r="K215">
        <f t="shared" si="9"/>
        <v>4418.10009765625</v>
      </c>
      <c r="L215" s="5">
        <f t="shared" si="10"/>
        <v>-0.17496578627359549</v>
      </c>
    </row>
    <row r="216" spans="1:12" x14ac:dyDescent="0.3">
      <c r="A216" s="2">
        <v>45321</v>
      </c>
      <c r="B216">
        <v>3571.651611328125</v>
      </c>
      <c r="C216">
        <f t="shared" si="11"/>
        <v>-4.2261911475352687E-2</v>
      </c>
      <c r="K216">
        <f t="shared" si="9"/>
        <v>4418.10009765625</v>
      </c>
      <c r="L216" s="5">
        <f t="shared" si="10"/>
        <v>-0.19158653439680007</v>
      </c>
    </row>
    <row r="217" spans="1:12" x14ac:dyDescent="0.3">
      <c r="A217" s="2">
        <v>45322</v>
      </c>
      <c r="B217">
        <v>3420.706787109375</v>
      </c>
      <c r="C217">
        <f t="shared" si="11"/>
        <v>-2.3493037541712121E-2</v>
      </c>
      <c r="K217">
        <f t="shared" si="9"/>
        <v>4418.10009765625</v>
      </c>
      <c r="L217" s="5">
        <f t="shared" si="10"/>
        <v>-0.22575163271560561</v>
      </c>
    </row>
    <row r="218" spans="1:12" x14ac:dyDescent="0.3">
      <c r="A218" s="2">
        <v>45323</v>
      </c>
      <c r="B218">
        <v>3340.343994140625</v>
      </c>
      <c r="C218">
        <f t="shared" si="11"/>
        <v>-6.4597049754755304E-3</v>
      </c>
      <c r="K218">
        <f t="shared" si="9"/>
        <v>4418.10009765625</v>
      </c>
      <c r="L218" s="5">
        <f t="shared" si="10"/>
        <v>-0.24394107867482717</v>
      </c>
    </row>
    <row r="219" spans="1:12" x14ac:dyDescent="0.3">
      <c r="A219" s="2">
        <v>45324</v>
      </c>
      <c r="B219">
        <v>3318.766357421875</v>
      </c>
      <c r="C219">
        <f t="shared" si="11"/>
        <v>-1.0159804561933142E-2</v>
      </c>
      <c r="K219">
        <f t="shared" si="9"/>
        <v>4418.10009765625</v>
      </c>
      <c r="L219" s="5">
        <f t="shared" si="10"/>
        <v>-0.24882499625066412</v>
      </c>
    </row>
    <row r="220" spans="1:12" x14ac:dyDescent="0.3">
      <c r="A220" s="2">
        <v>45327</v>
      </c>
      <c r="B220">
        <v>3285.04833984375</v>
      </c>
      <c r="C220">
        <f t="shared" si="11"/>
        <v>2.4687642088124476E-2</v>
      </c>
      <c r="K220">
        <f t="shared" si="9"/>
        <v>4418.10009765625</v>
      </c>
      <c r="L220" s="5">
        <f t="shared" si="10"/>
        <v>-0.25645678748056677</v>
      </c>
    </row>
    <row r="221" spans="1:12" x14ac:dyDescent="0.3">
      <c r="A221" s="2">
        <v>45328</v>
      </c>
      <c r="B221">
        <v>3366.1484375</v>
      </c>
      <c r="C221">
        <f t="shared" si="11"/>
        <v>-8.6296206253902025E-3</v>
      </c>
      <c r="K221">
        <f t="shared" si="9"/>
        <v>4418.10009765625</v>
      </c>
      <c r="L221" s="5">
        <f t="shared" si="10"/>
        <v>-0.2381004587728327</v>
      </c>
    </row>
    <row r="222" spans="1:12" x14ac:dyDescent="0.3">
      <c r="A222" s="2">
        <v>45329</v>
      </c>
      <c r="B222">
        <v>3337.099853515625</v>
      </c>
      <c r="C222">
        <f t="shared" si="11"/>
        <v>-1.7438888572270741E-2</v>
      </c>
      <c r="K222">
        <f t="shared" si="9"/>
        <v>4418.10009765625</v>
      </c>
      <c r="L222" s="5">
        <f t="shared" si="10"/>
        <v>-0.24467536276828195</v>
      </c>
    </row>
    <row r="223" spans="1:12" x14ac:dyDescent="0.3">
      <c r="A223" s="2">
        <v>45330</v>
      </c>
      <c r="B223">
        <v>3278.904541015625</v>
      </c>
      <c r="C223">
        <f t="shared" si="11"/>
        <v>-3.2828525568834805E-3</v>
      </c>
      <c r="K223">
        <f t="shared" si="9"/>
        <v>4418.10009765625</v>
      </c>
      <c r="L223" s="5">
        <f t="shared" si="10"/>
        <v>-0.25784738495285675</v>
      </c>
    </row>
    <row r="224" spans="1:12" x14ac:dyDescent="0.3">
      <c r="A224" s="2">
        <v>45331</v>
      </c>
      <c r="B224">
        <v>3268.140380859375</v>
      </c>
      <c r="C224">
        <f t="shared" si="11"/>
        <v>-7.5198507011233796E-3</v>
      </c>
      <c r="K224">
        <f t="shared" si="9"/>
        <v>4418.10009765625</v>
      </c>
      <c r="L224" s="5">
        <f t="shared" si="10"/>
        <v>-0.26028376256276198</v>
      </c>
    </row>
    <row r="225" spans="1:12" x14ac:dyDescent="0.3">
      <c r="A225" s="2">
        <v>45334</v>
      </c>
      <c r="B225">
        <v>3243.564453125</v>
      </c>
      <c r="C225">
        <f t="shared" si="11"/>
        <v>6.6524457986216695E-3</v>
      </c>
      <c r="K225">
        <f t="shared" si="9"/>
        <v>4418.10009765625</v>
      </c>
      <c r="L225" s="5">
        <f t="shared" si="10"/>
        <v>-0.26584631822948679</v>
      </c>
    </row>
    <row r="226" spans="1:12" x14ac:dyDescent="0.3">
      <c r="A226" s="2">
        <v>45335</v>
      </c>
      <c r="B226">
        <v>3265.14208984375</v>
      </c>
      <c r="C226">
        <f t="shared" si="11"/>
        <v>-3.7634153734755335E-3</v>
      </c>
      <c r="K226">
        <f t="shared" si="9"/>
        <v>4418.10009765625</v>
      </c>
      <c r="L226" s="5">
        <f t="shared" si="10"/>
        <v>-0.26096240065364984</v>
      </c>
    </row>
    <row r="227" spans="1:12" x14ac:dyDescent="0.3">
      <c r="A227" s="2">
        <v>45336</v>
      </c>
      <c r="B227">
        <v>3252.85400390625</v>
      </c>
      <c r="C227">
        <f t="shared" si="11"/>
        <v>-2.6291515338468549E-3</v>
      </c>
      <c r="K227">
        <f t="shared" si="9"/>
        <v>4418.10009765625</v>
      </c>
      <c r="L227" s="5">
        <f t="shared" si="10"/>
        <v>-0.26374370611660636</v>
      </c>
    </row>
    <row r="228" spans="1:12" x14ac:dyDescent="0.3">
      <c r="A228" s="2">
        <v>45337</v>
      </c>
      <c r="B228">
        <v>3244.3017578125</v>
      </c>
      <c r="C228">
        <f t="shared" si="11"/>
        <v>2.6194514721574635E-2</v>
      </c>
      <c r="K228">
        <f t="shared" si="9"/>
        <v>4418.10009765625</v>
      </c>
      <c r="L228" s="5">
        <f t="shared" si="10"/>
        <v>-0.26567943548097428</v>
      </c>
    </row>
    <row r="229" spans="1:12" x14ac:dyDescent="0.3">
      <c r="A229" s="2">
        <v>45338</v>
      </c>
      <c r="B229">
        <v>3329.28466796875</v>
      </c>
      <c r="C229">
        <f t="shared" si="11"/>
        <v>-1.3848020972739105E-2</v>
      </c>
      <c r="K229">
        <f t="shared" si="9"/>
        <v>4418.10009765625</v>
      </c>
      <c r="L229" s="5">
        <f t="shared" si="10"/>
        <v>-0.24644426464332569</v>
      </c>
    </row>
    <row r="230" spans="1:12" x14ac:dyDescent="0.3">
      <c r="A230" s="2">
        <v>45341</v>
      </c>
      <c r="B230">
        <v>3283.1806640625</v>
      </c>
      <c r="C230">
        <f t="shared" si="11"/>
        <v>5.0601179008660678E-3</v>
      </c>
      <c r="K230">
        <f t="shared" si="9"/>
        <v>4418.10009765625</v>
      </c>
      <c r="L230" s="5">
        <f t="shared" si="10"/>
        <v>-0.25687952027067273</v>
      </c>
    </row>
    <row r="231" spans="1:12" x14ac:dyDescent="0.3">
      <c r="A231" s="2">
        <v>45342</v>
      </c>
      <c r="B231">
        <v>3299.7939453125</v>
      </c>
      <c r="C231">
        <f t="shared" si="11"/>
        <v>-1.7978750448728896E-2</v>
      </c>
      <c r="K231">
        <f t="shared" si="9"/>
        <v>4418.10009765625</v>
      </c>
      <c r="L231" s="5">
        <f t="shared" si="10"/>
        <v>-0.25311924302869426</v>
      </c>
    </row>
    <row r="232" spans="1:12" x14ac:dyDescent="0.3">
      <c r="A232" s="2">
        <v>45343</v>
      </c>
      <c r="B232">
        <v>3240.4677734375</v>
      </c>
      <c r="C232">
        <f t="shared" si="11"/>
        <v>2.0431394483640269E-2</v>
      </c>
      <c r="K232">
        <f t="shared" si="9"/>
        <v>4418.10009765625</v>
      </c>
      <c r="L232" s="5">
        <f t="shared" si="10"/>
        <v>-0.26654722577323908</v>
      </c>
    </row>
    <row r="233" spans="1:12" x14ac:dyDescent="0.3">
      <c r="A233" s="2">
        <v>45344</v>
      </c>
      <c r="B233">
        <v>3306.675048828125</v>
      </c>
      <c r="C233">
        <f t="shared" si="11"/>
        <v>7.1943285292142192E-3</v>
      </c>
      <c r="K233">
        <f t="shared" si="9"/>
        <v>4418.10009765625</v>
      </c>
      <c r="L233" s="5">
        <f t="shared" si="10"/>
        <v>-0.25156176280789178</v>
      </c>
    </row>
    <row r="234" spans="1:12" x14ac:dyDescent="0.3">
      <c r="A234" s="2">
        <v>45345</v>
      </c>
      <c r="B234">
        <v>3330.46435546875</v>
      </c>
      <c r="C234">
        <f t="shared" si="11"/>
        <v>2.4262435251278042E-2</v>
      </c>
      <c r="K234">
        <f t="shared" si="9"/>
        <v>4418.10009765625</v>
      </c>
      <c r="L234" s="5">
        <f t="shared" si="10"/>
        <v>-0.24617725224570575</v>
      </c>
    </row>
    <row r="235" spans="1:12" x14ac:dyDescent="0.3">
      <c r="A235" s="2">
        <v>45348</v>
      </c>
      <c r="B235">
        <v>3411.26953125</v>
      </c>
      <c r="C235">
        <f t="shared" si="11"/>
        <v>1.0460645722759466E-2</v>
      </c>
      <c r="K235">
        <f t="shared" si="9"/>
        <v>4418.10009765625</v>
      </c>
      <c r="L235" s="5">
        <f t="shared" si="10"/>
        <v>-0.22788767663737675</v>
      </c>
    </row>
    <row r="236" spans="1:12" x14ac:dyDescent="0.3">
      <c r="A236" s="2">
        <v>45349</v>
      </c>
      <c r="B236">
        <v>3446.95361328125</v>
      </c>
      <c r="C236">
        <f t="shared" si="11"/>
        <v>-1.0338117005207694E-2</v>
      </c>
      <c r="K236">
        <f t="shared" si="9"/>
        <v>4418.10009765625</v>
      </c>
      <c r="L236" s="5">
        <f t="shared" si="10"/>
        <v>-0.21981088316450359</v>
      </c>
    </row>
    <row r="237" spans="1:12" x14ac:dyDescent="0.3">
      <c r="A237" s="2">
        <v>45350</v>
      </c>
      <c r="B237">
        <v>3411.318603515625</v>
      </c>
      <c r="C237">
        <f t="shared" si="11"/>
        <v>2.1181211072027928E-3</v>
      </c>
      <c r="K237">
        <f t="shared" si="9"/>
        <v>4418.10009765625</v>
      </c>
      <c r="L237" s="5">
        <f t="shared" si="10"/>
        <v>-0.22787656954053859</v>
      </c>
    </row>
    <row r="238" spans="1:12" x14ac:dyDescent="0.3">
      <c r="A238" s="2">
        <v>45351</v>
      </c>
      <c r="B238">
        <v>3418.544189453125</v>
      </c>
      <c r="C238">
        <f t="shared" si="11"/>
        <v>4.4844735782697154E-2</v>
      </c>
      <c r="K238">
        <f t="shared" si="9"/>
        <v>4418.10009765625</v>
      </c>
      <c r="L238" s="5">
        <f t="shared" si="10"/>
        <v>-0.22624111860511664</v>
      </c>
    </row>
    <row r="239" spans="1:12" x14ac:dyDescent="0.3">
      <c r="A239" s="2">
        <v>45352</v>
      </c>
      <c r="B239">
        <v>3571.847900390625</v>
      </c>
      <c r="C239">
        <f t="shared" si="11"/>
        <v>3.0136793606742834E-3</v>
      </c>
      <c r="K239">
        <f t="shared" si="9"/>
        <v>4418.10009765625</v>
      </c>
      <c r="L239" s="5">
        <f t="shared" si="10"/>
        <v>-0.19154210600944777</v>
      </c>
    </row>
    <row r="240" spans="1:12" x14ac:dyDescent="0.3">
      <c r="A240" s="2">
        <v>45355</v>
      </c>
      <c r="B240">
        <v>3582.6123046875</v>
      </c>
      <c r="C240">
        <f t="shared" si="11"/>
        <v>-8.7393130067505414E-3</v>
      </c>
      <c r="K240">
        <f t="shared" si="9"/>
        <v>4418.10009765625</v>
      </c>
      <c r="L240" s="5">
        <f t="shared" si="10"/>
        <v>-0.1891056731403542</v>
      </c>
    </row>
    <row r="241" spans="1:12" x14ac:dyDescent="0.3">
      <c r="A241" s="2">
        <v>45356</v>
      </c>
      <c r="B241">
        <v>3551.302734375</v>
      </c>
      <c r="C241">
        <f t="shared" si="11"/>
        <v>8.1935161337691326E-3</v>
      </c>
      <c r="K241">
        <f t="shared" si="9"/>
        <v>4418.10009765625</v>
      </c>
      <c r="L241" s="5">
        <f t="shared" si="10"/>
        <v>-0.19619233247817902</v>
      </c>
    </row>
    <row r="242" spans="1:12" x14ac:dyDescent="0.3">
      <c r="A242" s="2">
        <v>45357</v>
      </c>
      <c r="B242">
        <v>3580.400390625</v>
      </c>
      <c r="C242">
        <f t="shared" si="11"/>
        <v>9.54087602588965E-3</v>
      </c>
      <c r="K242">
        <f t="shared" si="9"/>
        <v>4418.10009765625</v>
      </c>
      <c r="L242" s="5">
        <f t="shared" si="10"/>
        <v>-0.18960632138589162</v>
      </c>
    </row>
    <row r="243" spans="1:12" x14ac:dyDescent="0.3">
      <c r="A243" s="2">
        <v>45358</v>
      </c>
      <c r="B243">
        <v>3614.560546875</v>
      </c>
      <c r="C243">
        <f t="shared" si="11"/>
        <v>-9.8857566645322876E-3</v>
      </c>
      <c r="K243">
        <f t="shared" si="9"/>
        <v>4418.10009765625</v>
      </c>
      <c r="L243" s="5">
        <f t="shared" si="10"/>
        <v>-0.18187445576606975</v>
      </c>
    </row>
    <row r="244" spans="1:12" x14ac:dyDescent="0.3">
      <c r="A244" s="2">
        <v>45362</v>
      </c>
      <c r="B244">
        <v>3578.827880859375</v>
      </c>
      <c r="C244">
        <f t="shared" si="11"/>
        <v>-5.2053093555107458E-3</v>
      </c>
      <c r="K244">
        <f t="shared" si="9"/>
        <v>4418.10009765625</v>
      </c>
      <c r="L244" s="5">
        <f t="shared" si="10"/>
        <v>-0.1899622458174044</v>
      </c>
    </row>
    <row r="245" spans="1:12" x14ac:dyDescent="0.3">
      <c r="A245" s="2">
        <v>45363</v>
      </c>
      <c r="B245">
        <v>3560.198974609375</v>
      </c>
      <c r="C245">
        <f t="shared" si="11"/>
        <v>-2.2945261725038274E-2</v>
      </c>
      <c r="K245">
        <f t="shared" si="9"/>
        <v>4418.10009765625</v>
      </c>
      <c r="L245" s="5">
        <f t="shared" si="10"/>
        <v>-0.19417874291756798</v>
      </c>
    </row>
    <row r="246" spans="1:12" x14ac:dyDescent="0.3">
      <c r="A246" s="2">
        <v>45364</v>
      </c>
      <c r="B246">
        <v>3478.50927734375</v>
      </c>
      <c r="C246">
        <f t="shared" si="11"/>
        <v>1.9683149337583014E-2</v>
      </c>
      <c r="K246">
        <f t="shared" si="9"/>
        <v>4418.10009765625</v>
      </c>
      <c r="L246" s="5">
        <f t="shared" si="10"/>
        <v>-0.21266852256492375</v>
      </c>
    </row>
    <row r="247" spans="1:12" x14ac:dyDescent="0.3">
      <c r="A247" s="2">
        <v>45365</v>
      </c>
      <c r="B247">
        <v>3546.977294921875</v>
      </c>
      <c r="C247">
        <f t="shared" si="11"/>
        <v>-1.9691268540644374E-2</v>
      </c>
      <c r="K247">
        <f t="shared" si="9"/>
        <v>4418.10009765625</v>
      </c>
      <c r="L247" s="5">
        <f t="shared" si="10"/>
        <v>-0.19717135951638931</v>
      </c>
    </row>
    <row r="248" spans="1:12" x14ac:dyDescent="0.3">
      <c r="A248" s="2">
        <v>45366</v>
      </c>
      <c r="B248">
        <v>3477.1328125</v>
      </c>
      <c r="C248">
        <f t="shared" si="11"/>
        <v>6.7992357433499673E-3</v>
      </c>
      <c r="K248">
        <f t="shared" si="9"/>
        <v>4418.10009765625</v>
      </c>
      <c r="L248" s="5">
        <f t="shared" si="10"/>
        <v>-0.21298007386827245</v>
      </c>
    </row>
    <row r="249" spans="1:12" x14ac:dyDescent="0.3">
      <c r="A249" s="2">
        <v>45369</v>
      </c>
      <c r="B249">
        <v>3500.774658203125</v>
      </c>
      <c r="C249">
        <f t="shared" si="11"/>
        <v>-1.6707797583584493E-2</v>
      </c>
      <c r="K249">
        <f t="shared" si="9"/>
        <v>4418.10009765625</v>
      </c>
      <c r="L249" s="5">
        <f t="shared" si="10"/>
        <v>-0.20762893985578901</v>
      </c>
    </row>
    <row r="250" spans="1:12" x14ac:dyDescent="0.3">
      <c r="A250" s="2">
        <v>45370</v>
      </c>
      <c r="B250">
        <v>3442.284423828125</v>
      </c>
      <c r="C250">
        <f t="shared" si="11"/>
        <v>2.2846043046478564E-3</v>
      </c>
      <c r="K250">
        <f t="shared" si="9"/>
        <v>4418.10009765625</v>
      </c>
      <c r="L250" s="5">
        <f t="shared" si="10"/>
        <v>-0.22086771513976877</v>
      </c>
    </row>
    <row r="251" spans="1:12" x14ac:dyDescent="0.3">
      <c r="A251" s="2">
        <v>45371</v>
      </c>
      <c r="B251">
        <v>3450.148681640625</v>
      </c>
      <c r="C251">
        <f t="shared" si="11"/>
        <v>1.4331710823433857E-2</v>
      </c>
      <c r="K251">
        <f t="shared" si="9"/>
        <v>4418.10009765625</v>
      </c>
      <c r="L251" s="5">
        <f t="shared" si="10"/>
        <v>-0.21908770616788686</v>
      </c>
    </row>
    <row r="252" spans="1:12" x14ac:dyDescent="0.3">
      <c r="A252" s="2">
        <v>45372</v>
      </c>
      <c r="B252">
        <v>3499.59521484375</v>
      </c>
      <c r="C252">
        <f t="shared" si="11"/>
        <v>1.6235973719616846E-2</v>
      </c>
      <c r="K252">
        <f t="shared" si="9"/>
        <v>4418.10009765625</v>
      </c>
      <c r="L252" s="5">
        <f t="shared" si="10"/>
        <v>-0.20789589699422062</v>
      </c>
    </row>
    <row r="253" spans="1:12" x14ac:dyDescent="0.3">
      <c r="A253" s="2">
        <v>45373</v>
      </c>
      <c r="B253">
        <v>3556.41455078125</v>
      </c>
      <c r="C253">
        <f t="shared" si="11"/>
        <v>1.4456300558368825E-2</v>
      </c>
      <c r="K253">
        <f t="shared" si="9"/>
        <v>4418.10009765625</v>
      </c>
      <c r="L253" s="5">
        <f t="shared" si="10"/>
        <v>-0.19503531559461817</v>
      </c>
    </row>
    <row r="254" spans="1:12" x14ac:dyDescent="0.3">
      <c r="A254" s="2">
        <v>45377</v>
      </c>
      <c r="B254">
        <v>3607.8271484375</v>
      </c>
      <c r="C254">
        <f t="shared" si="11"/>
        <v>9.8907404825933198E-3</v>
      </c>
      <c r="K254">
        <f t="shared" si="9"/>
        <v>4418.10009765625</v>
      </c>
      <c r="L254" s="5">
        <f t="shared" si="10"/>
        <v>-0.18339850417798143</v>
      </c>
    </row>
    <row r="255" spans="1:12" x14ac:dyDescent="0.3">
      <c r="A255" s="2">
        <v>45378</v>
      </c>
      <c r="B255">
        <v>3643.51123046875</v>
      </c>
      <c r="C255">
        <f t="shared" si="11"/>
        <v>1.5513653271929939E-2</v>
      </c>
      <c r="K255">
        <f t="shared" si="9"/>
        <v>4418.10009765625</v>
      </c>
      <c r="L255" s="5">
        <f t="shared" si="10"/>
        <v>-0.17532171070510838</v>
      </c>
    </row>
    <row r="256" spans="1:12" x14ac:dyDescent="0.3">
      <c r="A256" s="2">
        <v>45379</v>
      </c>
      <c r="B256">
        <v>3700.035400390625</v>
      </c>
      <c r="C256">
        <f t="shared" si="11"/>
        <v>1.9687047704951621E-2</v>
      </c>
      <c r="K256">
        <f t="shared" si="9"/>
        <v>4418.10009765625</v>
      </c>
      <c r="L256" s="5">
        <f t="shared" si="10"/>
        <v>-0.16252793766409912</v>
      </c>
    </row>
    <row r="257" spans="1:12" x14ac:dyDescent="0.3">
      <c r="A257" s="2">
        <v>45383</v>
      </c>
      <c r="B257">
        <v>3772.878173828125</v>
      </c>
      <c r="C257">
        <f t="shared" si="11"/>
        <v>-7.9729079925084656E-3</v>
      </c>
      <c r="K257">
        <f t="shared" si="9"/>
        <v>4418.10009765625</v>
      </c>
      <c r="L257" s="5">
        <f t="shared" si="10"/>
        <v>-0.14604058522132801</v>
      </c>
    </row>
    <row r="258" spans="1:12" x14ac:dyDescent="0.3">
      <c r="A258" s="2">
        <v>45384</v>
      </c>
      <c r="B258">
        <v>3742.79736328125</v>
      </c>
      <c r="C258">
        <f t="shared" si="11"/>
        <v>-6.5530160859745062E-3</v>
      </c>
      <c r="K258">
        <f t="shared" ref="K258:K321" si="12">MAX(B258:B997)</f>
        <v>4418.10009765625</v>
      </c>
      <c r="L258" s="5">
        <f t="shared" ref="L258:L321" si="13">B258/K258-1</f>
        <v>-0.15284912506469472</v>
      </c>
    </row>
    <row r="259" spans="1:12" x14ac:dyDescent="0.3">
      <c r="A259" s="2">
        <v>45385</v>
      </c>
      <c r="B259">
        <v>3718.270751953125</v>
      </c>
      <c r="C259">
        <f t="shared" ref="C259:C322" si="14">(B260-B259)/B259</f>
        <v>4.0714280602207331E-3</v>
      </c>
      <c r="K259">
        <f t="shared" si="12"/>
        <v>4418.10009765625</v>
      </c>
      <c r="L259" s="5">
        <f t="shared" si="13"/>
        <v>-0.15840051837539315</v>
      </c>
    </row>
    <row r="260" spans="1:12" x14ac:dyDescent="0.3">
      <c r="A260" s="2">
        <v>45386</v>
      </c>
      <c r="B260">
        <v>3733.409423828125</v>
      </c>
      <c r="C260">
        <f t="shared" si="14"/>
        <v>-1.4416057499176859E-2</v>
      </c>
      <c r="K260">
        <f t="shared" si="12"/>
        <v>4418.10009765625</v>
      </c>
      <c r="L260" s="5">
        <f t="shared" si="13"/>
        <v>-0.15497400663043948</v>
      </c>
    </row>
    <row r="261" spans="1:12" x14ac:dyDescent="0.3">
      <c r="A261" s="2">
        <v>45387</v>
      </c>
      <c r="B261">
        <v>3679.58837890625</v>
      </c>
      <c r="C261">
        <f t="shared" si="14"/>
        <v>1.7298568419504931E-2</v>
      </c>
      <c r="K261">
        <f t="shared" si="12"/>
        <v>4418.10009765625</v>
      </c>
      <c r="L261" s="5">
        <f t="shared" si="13"/>
        <v>-0.16715594993915406</v>
      </c>
    </row>
    <row r="262" spans="1:12" x14ac:dyDescent="0.3">
      <c r="A262" s="2">
        <v>45390</v>
      </c>
      <c r="B262">
        <v>3743.239990234375</v>
      </c>
      <c r="C262">
        <f t="shared" si="14"/>
        <v>-5.9351131085196487E-3</v>
      </c>
      <c r="K262">
        <f t="shared" si="12"/>
        <v>4418.10009765625</v>
      </c>
      <c r="L262" s="5">
        <f t="shared" si="13"/>
        <v>-0.15274894015639895</v>
      </c>
    </row>
    <row r="263" spans="1:12" x14ac:dyDescent="0.3">
      <c r="A263" s="2">
        <v>45391</v>
      </c>
      <c r="B263">
        <v>3721.0234375</v>
      </c>
      <c r="C263">
        <f t="shared" si="14"/>
        <v>-8.467184452362107E-3</v>
      </c>
      <c r="K263">
        <f t="shared" si="12"/>
        <v>4418.10009765625</v>
      </c>
      <c r="L263" s="5">
        <f t="shared" si="13"/>
        <v>-0.15777747102788386</v>
      </c>
    </row>
    <row r="264" spans="1:12" x14ac:dyDescent="0.3">
      <c r="A264" s="2">
        <v>45392</v>
      </c>
      <c r="B264">
        <v>3689.516845703125</v>
      </c>
      <c r="C264">
        <f t="shared" si="14"/>
        <v>-1.9703140383824765E-2</v>
      </c>
      <c r="K264">
        <f t="shared" si="12"/>
        <v>4418.10009765625</v>
      </c>
      <c r="L264" s="5">
        <f t="shared" si="13"/>
        <v>-0.16490872453062566</v>
      </c>
    </row>
    <row r="265" spans="1:12" x14ac:dyDescent="0.3">
      <c r="A265" s="2">
        <v>45394</v>
      </c>
      <c r="B265">
        <v>3616.82177734375</v>
      </c>
      <c r="C265">
        <f t="shared" si="14"/>
        <v>-2.1322282719999634E-2</v>
      </c>
      <c r="K265">
        <f t="shared" si="12"/>
        <v>4418.10009765625</v>
      </c>
      <c r="L265" s="5">
        <f t="shared" si="13"/>
        <v>-0.18136264516450606</v>
      </c>
    </row>
    <row r="266" spans="1:12" x14ac:dyDescent="0.3">
      <c r="A266" s="2">
        <v>45397</v>
      </c>
      <c r="B266">
        <v>3539.702880859375</v>
      </c>
      <c r="C266">
        <f t="shared" si="14"/>
        <v>-1.5927029759998587E-2</v>
      </c>
      <c r="K266">
        <f t="shared" si="12"/>
        <v>4418.10009765625</v>
      </c>
      <c r="L266" s="5">
        <f t="shared" si="13"/>
        <v>-0.19881786228946108</v>
      </c>
    </row>
    <row r="267" spans="1:12" x14ac:dyDescent="0.3">
      <c r="A267" s="2">
        <v>45398</v>
      </c>
      <c r="B267">
        <v>3483.325927734375</v>
      </c>
      <c r="C267">
        <f t="shared" si="14"/>
        <v>2.1165985863316611E-3</v>
      </c>
      <c r="K267">
        <f t="shared" si="12"/>
        <v>4418.10009765625</v>
      </c>
      <c r="L267" s="5">
        <f t="shared" si="13"/>
        <v>-0.21157831403995619</v>
      </c>
    </row>
    <row r="268" spans="1:12" x14ac:dyDescent="0.3">
      <c r="A268" s="2">
        <v>45400</v>
      </c>
      <c r="B268">
        <v>3490.69873046875</v>
      </c>
      <c r="C268">
        <f t="shared" si="14"/>
        <v>-9.180647622287522E-3</v>
      </c>
      <c r="K268">
        <f t="shared" si="12"/>
        <v>4418.10009765625</v>
      </c>
      <c r="L268" s="5">
        <f t="shared" si="13"/>
        <v>-0.20990954181401988</v>
      </c>
    </row>
    <row r="269" spans="1:12" x14ac:dyDescent="0.3">
      <c r="A269" s="2">
        <v>45401</v>
      </c>
      <c r="B269">
        <v>3458.65185546875</v>
      </c>
      <c r="C269">
        <f t="shared" si="14"/>
        <v>2.6816524852262054E-2</v>
      </c>
      <c r="K269">
        <f t="shared" si="12"/>
        <v>4418.10009765625</v>
      </c>
      <c r="L269" s="5">
        <f t="shared" si="13"/>
        <v>-0.2171630839003571</v>
      </c>
    </row>
    <row r="270" spans="1:12" x14ac:dyDescent="0.3">
      <c r="A270" s="2">
        <v>45404</v>
      </c>
      <c r="B270">
        <v>3551.40087890625</v>
      </c>
      <c r="C270">
        <f t="shared" si="14"/>
        <v>-7.0587242132801628E-4</v>
      </c>
      <c r="K270">
        <f t="shared" si="12"/>
        <v>4418.10009765625</v>
      </c>
      <c r="L270" s="5">
        <f t="shared" si="13"/>
        <v>-0.19617011828450281</v>
      </c>
    </row>
    <row r="271" spans="1:12" x14ac:dyDescent="0.3">
      <c r="A271" s="2">
        <v>45405</v>
      </c>
      <c r="B271">
        <v>3548.89404296875</v>
      </c>
      <c r="C271">
        <f t="shared" si="14"/>
        <v>6.8418514515759541E-3</v>
      </c>
      <c r="K271">
        <f t="shared" si="12"/>
        <v>4418.10009765625</v>
      </c>
      <c r="L271" s="5">
        <f t="shared" si="13"/>
        <v>-0.19673751962944519</v>
      </c>
    </row>
    <row r="272" spans="1:12" x14ac:dyDescent="0.3">
      <c r="A272" s="2">
        <v>45406</v>
      </c>
      <c r="B272">
        <v>3573.175048828125</v>
      </c>
      <c r="C272">
        <f t="shared" si="14"/>
        <v>4.8007871150899601E-3</v>
      </c>
      <c r="K272">
        <f t="shared" si="12"/>
        <v>4418.10009765625</v>
      </c>
      <c r="L272" s="5">
        <f t="shared" si="13"/>
        <v>-0.19124171706212534</v>
      </c>
    </row>
    <row r="273" spans="1:12" x14ac:dyDescent="0.3">
      <c r="A273" s="2">
        <v>45407</v>
      </c>
      <c r="B273">
        <v>3590.3291015625</v>
      </c>
      <c r="C273">
        <f t="shared" si="14"/>
        <v>-1.2895971355341783E-2</v>
      </c>
      <c r="K273">
        <f t="shared" si="12"/>
        <v>4418.10009765625</v>
      </c>
      <c r="L273" s="5">
        <f t="shared" si="13"/>
        <v>-0.18735904071817489</v>
      </c>
    </row>
    <row r="274" spans="1:12" x14ac:dyDescent="0.3">
      <c r="A274" s="2">
        <v>45408</v>
      </c>
      <c r="B274">
        <v>3544.0283203125</v>
      </c>
      <c r="C274">
        <f t="shared" si="14"/>
        <v>8.0716626918355457E-3</v>
      </c>
      <c r="K274">
        <f t="shared" si="12"/>
        <v>4418.10009765625</v>
      </c>
      <c r="L274" s="5">
        <f t="shared" si="13"/>
        <v>-0.19783883525125079</v>
      </c>
    </row>
    <row r="275" spans="1:12" x14ac:dyDescent="0.3">
      <c r="A275" s="2">
        <v>45411</v>
      </c>
      <c r="B275">
        <v>3572.634521484375</v>
      </c>
      <c r="C275">
        <f t="shared" si="14"/>
        <v>-1.1006244502771755E-2</v>
      </c>
      <c r="K275">
        <f t="shared" si="12"/>
        <v>4418.10009765625</v>
      </c>
      <c r="L275" s="5">
        <f t="shared" si="13"/>
        <v>-0.19136406090490898</v>
      </c>
    </row>
    <row r="276" spans="1:12" x14ac:dyDescent="0.3">
      <c r="A276" s="2">
        <v>45412</v>
      </c>
      <c r="B276">
        <v>3533.313232421875</v>
      </c>
      <c r="C276">
        <f t="shared" si="14"/>
        <v>1.4467487227975413E-3</v>
      </c>
      <c r="K276">
        <f t="shared" si="12"/>
        <v>4418.10009765625</v>
      </c>
      <c r="L276" s="5">
        <f t="shared" si="13"/>
        <v>-0.20026410576431797</v>
      </c>
    </row>
    <row r="277" spans="1:12" x14ac:dyDescent="0.3">
      <c r="A277" s="2">
        <v>45414</v>
      </c>
      <c r="B277">
        <v>3538.425048828125</v>
      </c>
      <c r="C277">
        <f t="shared" si="14"/>
        <v>-2.7698283679545205E-2</v>
      </c>
      <c r="K277">
        <f t="shared" si="12"/>
        <v>4418.10009765625</v>
      </c>
      <c r="L277" s="5">
        <f t="shared" si="13"/>
        <v>-0.19910708888075723</v>
      </c>
    </row>
    <row r="278" spans="1:12" x14ac:dyDescent="0.3">
      <c r="A278" s="2">
        <v>45415</v>
      </c>
      <c r="B278">
        <v>3440.416748046875</v>
      </c>
      <c r="C278">
        <f t="shared" si="14"/>
        <v>-1.042914793818058E-2</v>
      </c>
      <c r="K278">
        <f t="shared" si="12"/>
        <v>4418.10009765625</v>
      </c>
      <c r="L278" s="5">
        <f t="shared" si="13"/>
        <v>-0.22129044792987473</v>
      </c>
    </row>
    <row r="279" spans="1:12" x14ac:dyDescent="0.3">
      <c r="A279" s="2">
        <v>45418</v>
      </c>
      <c r="B279">
        <v>3404.5361328125</v>
      </c>
      <c r="C279">
        <f t="shared" si="14"/>
        <v>-1.0264769114046775E-2</v>
      </c>
      <c r="K279">
        <f t="shared" si="12"/>
        <v>4418.10009765625</v>
      </c>
      <c r="L279" s="5">
        <f t="shared" si="13"/>
        <v>-0.22941172504928842</v>
      </c>
    </row>
    <row r="280" spans="1:12" x14ac:dyDescent="0.3">
      <c r="A280" s="2">
        <v>45419</v>
      </c>
      <c r="B280">
        <v>3369.58935546875</v>
      </c>
      <c r="C280">
        <f t="shared" si="14"/>
        <v>1.7241616660041946E-2</v>
      </c>
      <c r="K280">
        <f t="shared" si="12"/>
        <v>4418.10009765625</v>
      </c>
      <c r="L280" s="5">
        <f t="shared" si="13"/>
        <v>-0.23732163577364906</v>
      </c>
    </row>
    <row r="281" spans="1:12" x14ac:dyDescent="0.3">
      <c r="A281" s="2">
        <v>45420</v>
      </c>
      <c r="B281">
        <v>3427.6865234375</v>
      </c>
      <c r="C281">
        <f t="shared" si="14"/>
        <v>-6.0627840673559259E-2</v>
      </c>
      <c r="K281">
        <f t="shared" si="12"/>
        <v>4418.10009765625</v>
      </c>
      <c r="L281" s="5">
        <f t="shared" si="13"/>
        <v>-0.22417182778275047</v>
      </c>
    </row>
    <row r="282" spans="1:12" x14ac:dyDescent="0.3">
      <c r="A282" s="2">
        <v>45421</v>
      </c>
      <c r="B282">
        <v>3219.873291015625</v>
      </c>
      <c r="C282">
        <f t="shared" si="14"/>
        <v>-1.2212061006319018E-3</v>
      </c>
      <c r="K282">
        <f t="shared" si="12"/>
        <v>4418.10009765625</v>
      </c>
      <c r="L282" s="5">
        <f t="shared" si="13"/>
        <v>-0.27120861459799661</v>
      </c>
    </row>
    <row r="283" spans="1:12" x14ac:dyDescent="0.3">
      <c r="A283" s="2">
        <v>45422</v>
      </c>
      <c r="B283">
        <v>3215.941162109375</v>
      </c>
      <c r="C283">
        <f t="shared" si="14"/>
        <v>6.8471462695563748E-3</v>
      </c>
      <c r="K283">
        <f t="shared" si="12"/>
        <v>4418.10009765625</v>
      </c>
      <c r="L283" s="5">
        <f t="shared" si="13"/>
        <v>-0.27209861908393751</v>
      </c>
    </row>
    <row r="284" spans="1:12" x14ac:dyDescent="0.3">
      <c r="A284" s="2">
        <v>45425</v>
      </c>
      <c r="B284">
        <v>3237.961181640625</v>
      </c>
      <c r="C284">
        <f t="shared" si="14"/>
        <v>2.5987791766812898E-2</v>
      </c>
      <c r="K284">
        <f t="shared" si="12"/>
        <v>4418.10009765625</v>
      </c>
      <c r="L284" s="5">
        <f t="shared" si="13"/>
        <v>-0.26711457185899312</v>
      </c>
    </row>
    <row r="285" spans="1:12" x14ac:dyDescent="0.3">
      <c r="A285" s="2">
        <v>45426</v>
      </c>
      <c r="B285">
        <v>3322.108642578125</v>
      </c>
      <c r="C285">
        <f t="shared" si="14"/>
        <v>9.4246075854407287E-3</v>
      </c>
      <c r="K285">
        <f t="shared" si="12"/>
        <v>4418.10009765625</v>
      </c>
      <c r="L285" s="5">
        <f t="shared" si="13"/>
        <v>-0.24806849796353314</v>
      </c>
    </row>
    <row r="286" spans="1:12" x14ac:dyDescent="0.3">
      <c r="A286" s="2">
        <v>45427</v>
      </c>
      <c r="B286">
        <v>3353.418212890625</v>
      </c>
      <c r="C286">
        <f t="shared" si="14"/>
        <v>1.4452006868865804E-2</v>
      </c>
      <c r="K286">
        <f t="shared" si="12"/>
        <v>4418.10009765625</v>
      </c>
      <c r="L286" s="5">
        <f t="shared" si="13"/>
        <v>-0.24098183862570843</v>
      </c>
    </row>
    <row r="287" spans="1:12" x14ac:dyDescent="0.3">
      <c r="A287" s="2">
        <v>45428</v>
      </c>
      <c r="B287">
        <v>3401.8818359375</v>
      </c>
      <c r="C287">
        <f t="shared" si="14"/>
        <v>-2.8463250033658417E-3</v>
      </c>
      <c r="K287">
        <f t="shared" si="12"/>
        <v>4418.10009765625</v>
      </c>
      <c r="L287" s="5">
        <f t="shared" si="13"/>
        <v>-0.23001250294393327</v>
      </c>
    </row>
    <row r="288" spans="1:12" x14ac:dyDescent="0.3">
      <c r="A288" s="2">
        <v>45429</v>
      </c>
      <c r="B288">
        <v>3392.198974609375</v>
      </c>
      <c r="C288">
        <f t="shared" si="14"/>
        <v>-2.839983484049419E-3</v>
      </c>
      <c r="K288">
        <f t="shared" si="12"/>
        <v>4418.10009765625</v>
      </c>
      <c r="L288" s="5">
        <f t="shared" si="13"/>
        <v>-0.23220413760908298</v>
      </c>
    </row>
    <row r="289" spans="1:12" x14ac:dyDescent="0.3">
      <c r="A289" s="2">
        <v>45433</v>
      </c>
      <c r="B289">
        <v>3382.565185546875</v>
      </c>
      <c r="C289">
        <f t="shared" si="14"/>
        <v>5.7833327450974876E-3</v>
      </c>
      <c r="K289">
        <f t="shared" si="12"/>
        <v>4418.10009765625</v>
      </c>
      <c r="L289" s="5">
        <f t="shared" si="13"/>
        <v>-0.23438466517739476</v>
      </c>
    </row>
    <row r="290" spans="1:12" x14ac:dyDescent="0.3">
      <c r="A290" s="2">
        <v>45434</v>
      </c>
      <c r="B290">
        <v>3402.127685546875</v>
      </c>
      <c r="C290">
        <f t="shared" si="14"/>
        <v>3.5988149362240644E-2</v>
      </c>
      <c r="K290">
        <f t="shared" si="12"/>
        <v>4418.10009765625</v>
      </c>
      <c r="L290" s="5">
        <f t="shared" si="13"/>
        <v>-0.22995685694136636</v>
      </c>
    </row>
    <row r="291" spans="1:12" x14ac:dyDescent="0.3">
      <c r="A291" s="2">
        <v>45435</v>
      </c>
      <c r="B291">
        <v>3524.56396484375</v>
      </c>
      <c r="C291">
        <f t="shared" si="14"/>
        <v>1.1295862035239012E-2</v>
      </c>
      <c r="K291">
        <f t="shared" si="12"/>
        <v>4418.10009765625</v>
      </c>
      <c r="L291" s="5">
        <f t="shared" si="13"/>
        <v>-0.20224442929360298</v>
      </c>
    </row>
    <row r="292" spans="1:12" x14ac:dyDescent="0.3">
      <c r="A292" s="2">
        <v>45436</v>
      </c>
      <c r="B292">
        <v>3564.376953125</v>
      </c>
      <c r="C292">
        <f t="shared" si="14"/>
        <v>7.1981675224840422E-3</v>
      </c>
      <c r="K292">
        <f t="shared" si="12"/>
        <v>4418.10009765625</v>
      </c>
      <c r="L292" s="5">
        <f t="shared" si="13"/>
        <v>-0.19323309242906017</v>
      </c>
    </row>
    <row r="293" spans="1:12" x14ac:dyDescent="0.3">
      <c r="A293" s="2">
        <v>45439</v>
      </c>
      <c r="B293">
        <v>3590.033935546875</v>
      </c>
      <c r="C293">
        <f t="shared" si="14"/>
        <v>1.6977473785903209E-3</v>
      </c>
      <c r="K293">
        <f t="shared" si="12"/>
        <v>4418.10009765625</v>
      </c>
      <c r="L293" s="5">
        <f t="shared" si="13"/>
        <v>-0.18742584907676818</v>
      </c>
    </row>
    <row r="294" spans="1:12" x14ac:dyDescent="0.3">
      <c r="A294" s="2">
        <v>45440</v>
      </c>
      <c r="B294">
        <v>3596.12890625</v>
      </c>
      <c r="C294">
        <f t="shared" si="14"/>
        <v>-6.3965809589087222E-3</v>
      </c>
      <c r="K294">
        <f t="shared" si="12"/>
        <v>4418.10009765625</v>
      </c>
      <c r="L294" s="5">
        <f t="shared" si="13"/>
        <v>-0.18604630344212802</v>
      </c>
    </row>
    <row r="295" spans="1:12" x14ac:dyDescent="0.3">
      <c r="A295" s="2">
        <v>45441</v>
      </c>
      <c r="B295">
        <v>3573.1259765625</v>
      </c>
      <c r="C295">
        <f t="shared" si="14"/>
        <v>-2.7535741118664424E-5</v>
      </c>
      <c r="K295">
        <f t="shared" si="12"/>
        <v>4418.10009765625</v>
      </c>
      <c r="L295" s="5">
        <f t="shared" si="13"/>
        <v>-0.1912528241589635</v>
      </c>
    </row>
    <row r="296" spans="1:12" x14ac:dyDescent="0.3">
      <c r="A296" s="2">
        <v>45442</v>
      </c>
      <c r="B296">
        <v>3573.027587890625</v>
      </c>
      <c r="C296">
        <f t="shared" si="14"/>
        <v>9.5194293234746735E-3</v>
      </c>
      <c r="K296">
        <f t="shared" si="12"/>
        <v>4418.10009765625</v>
      </c>
      <c r="L296" s="5">
        <f t="shared" si="13"/>
        <v>-0.19127509361182782</v>
      </c>
    </row>
    <row r="297" spans="1:12" x14ac:dyDescent="0.3">
      <c r="A297" s="2">
        <v>45443</v>
      </c>
      <c r="B297">
        <v>3607.040771484375</v>
      </c>
      <c r="C297">
        <f t="shared" si="14"/>
        <v>6.2096232554075322E-2</v>
      </c>
      <c r="K297">
        <f t="shared" si="12"/>
        <v>4418.10009765625</v>
      </c>
      <c r="L297" s="5">
        <f t="shared" si="13"/>
        <v>-0.18357649402333198</v>
      </c>
    </row>
    <row r="298" spans="1:12" x14ac:dyDescent="0.3">
      <c r="A298" s="2">
        <v>45446</v>
      </c>
      <c r="B298">
        <v>3831.0244140625</v>
      </c>
      <c r="C298">
        <f t="shared" si="14"/>
        <v>-0.12674647696680755</v>
      </c>
      <c r="K298">
        <f t="shared" si="12"/>
        <v>4418.10009765625</v>
      </c>
      <c r="L298" s="5">
        <f t="shared" si="13"/>
        <v>-0.13287967013359125</v>
      </c>
    </row>
    <row r="299" spans="1:12" x14ac:dyDescent="0.3">
      <c r="A299" s="2">
        <v>45447</v>
      </c>
      <c r="B299">
        <v>3345.45556640625</v>
      </c>
      <c r="C299">
        <f t="shared" si="14"/>
        <v>1.7043730468673031E-3</v>
      </c>
      <c r="K299">
        <f t="shared" si="12"/>
        <v>4418.10009765625</v>
      </c>
      <c r="L299" s="5">
        <f t="shared" si="13"/>
        <v>-0.24278411705045466</v>
      </c>
    </row>
    <row r="300" spans="1:12" x14ac:dyDescent="0.3">
      <c r="A300" s="2">
        <v>45448</v>
      </c>
      <c r="B300">
        <v>3351.157470703125</v>
      </c>
      <c r="C300">
        <f t="shared" si="14"/>
        <v>2.1575232612973845E-2</v>
      </c>
      <c r="K300">
        <f t="shared" si="12"/>
        <v>4418.10009765625</v>
      </c>
      <c r="L300" s="5">
        <f t="shared" si="13"/>
        <v>-0.24149353870889556</v>
      </c>
    </row>
    <row r="301" spans="1:12" x14ac:dyDescent="0.3">
      <c r="A301" s="2">
        <v>45449</v>
      </c>
      <c r="B301">
        <v>3423.45947265625</v>
      </c>
      <c r="C301">
        <f t="shared" si="14"/>
        <v>1.4342887746755391E-2</v>
      </c>
      <c r="K301">
        <f t="shared" si="12"/>
        <v>4418.10009765625</v>
      </c>
      <c r="L301" s="5">
        <f t="shared" si="13"/>
        <v>-0.22512858536809632</v>
      </c>
    </row>
    <row r="302" spans="1:12" x14ac:dyDescent="0.3">
      <c r="A302" s="2">
        <v>45450</v>
      </c>
      <c r="B302">
        <v>3472.561767578125</v>
      </c>
      <c r="C302">
        <f t="shared" si="14"/>
        <v>3.1847041957623564E-3</v>
      </c>
      <c r="K302">
        <f t="shared" si="12"/>
        <v>4418.10009765625</v>
      </c>
      <c r="L302" s="5">
        <f t="shared" si="13"/>
        <v>-0.21401469164986142</v>
      </c>
    </row>
    <row r="303" spans="1:12" x14ac:dyDescent="0.3">
      <c r="A303" s="2">
        <v>45453</v>
      </c>
      <c r="B303">
        <v>3483.620849609375</v>
      </c>
      <c r="C303">
        <f t="shared" si="14"/>
        <v>1.5506158809176118E-2</v>
      </c>
      <c r="K303">
        <f t="shared" si="12"/>
        <v>4418.10009765625</v>
      </c>
      <c r="L303" s="5">
        <f t="shared" si="13"/>
        <v>-0.21151156094055112</v>
      </c>
    </row>
    <row r="304" spans="1:12" x14ac:dyDescent="0.3">
      <c r="A304" s="2">
        <v>45454</v>
      </c>
      <c r="B304">
        <v>3537.638427734375</v>
      </c>
      <c r="C304">
        <f t="shared" si="14"/>
        <v>8.7809892046102709E-3</v>
      </c>
      <c r="K304">
        <f t="shared" si="12"/>
        <v>4418.10009765625</v>
      </c>
      <c r="L304" s="5">
        <f t="shared" si="13"/>
        <v>-0.19928513398529601</v>
      </c>
    </row>
    <row r="305" spans="1:12" x14ac:dyDescent="0.3">
      <c r="A305" s="2">
        <v>45455</v>
      </c>
      <c r="B305">
        <v>3568.702392578125</v>
      </c>
      <c r="C305">
        <f t="shared" si="14"/>
        <v>2.02048858877482E-2</v>
      </c>
      <c r="K305">
        <f t="shared" si="12"/>
        <v>4418.10009765625</v>
      </c>
      <c r="L305" s="5">
        <f t="shared" si="13"/>
        <v>-0.19225406539084988</v>
      </c>
    </row>
    <row r="306" spans="1:12" x14ac:dyDescent="0.3">
      <c r="A306" s="2">
        <v>45456</v>
      </c>
      <c r="B306">
        <v>3640.8076171875</v>
      </c>
      <c r="C306">
        <f t="shared" si="14"/>
        <v>-4.2794929546184244E-3</v>
      </c>
      <c r="K306">
        <f t="shared" si="12"/>
        <v>4418.10009765625</v>
      </c>
      <c r="L306" s="5">
        <f t="shared" si="13"/>
        <v>-0.17593365095577951</v>
      </c>
    </row>
    <row r="307" spans="1:12" x14ac:dyDescent="0.3">
      <c r="A307" s="2">
        <v>45457</v>
      </c>
      <c r="B307">
        <v>3625.226806640625</v>
      </c>
      <c r="C307">
        <f t="shared" si="14"/>
        <v>3.7955599356694346E-4</v>
      </c>
      <c r="K307">
        <f t="shared" si="12"/>
        <v>4418.10009765625</v>
      </c>
      <c r="L307" s="5">
        <f t="shared" si="13"/>
        <v>-0.1794602370906524</v>
      </c>
    </row>
    <row r="308" spans="1:12" x14ac:dyDescent="0.3">
      <c r="A308" s="2">
        <v>45461</v>
      </c>
      <c r="B308">
        <v>3626.602783203125</v>
      </c>
      <c r="C308">
        <f t="shared" si="14"/>
        <v>-2.6902773659141146E-2</v>
      </c>
      <c r="K308">
        <f t="shared" si="12"/>
        <v>4418.10009765625</v>
      </c>
      <c r="L308" s="5">
        <f t="shared" si="13"/>
        <v>-0.17914879630568015</v>
      </c>
    </row>
    <row r="309" spans="1:12" x14ac:dyDescent="0.3">
      <c r="A309" s="2">
        <v>45462</v>
      </c>
      <c r="B309">
        <v>3529.037109375</v>
      </c>
      <c r="C309">
        <f t="shared" si="14"/>
        <v>9.1241497022193658E-3</v>
      </c>
      <c r="K309">
        <f t="shared" si="12"/>
        <v>4418.10009765625</v>
      </c>
      <c r="L309" s="5">
        <f t="shared" si="13"/>
        <v>-0.20123197044650198</v>
      </c>
    </row>
    <row r="310" spans="1:12" x14ac:dyDescent="0.3">
      <c r="A310" s="2">
        <v>45463</v>
      </c>
      <c r="B310">
        <v>3561.236572265625</v>
      </c>
      <c r="C310">
        <f t="shared" si="14"/>
        <v>-1.6539308588400834E-2</v>
      </c>
      <c r="K310">
        <f t="shared" si="12"/>
        <v>4418.10009765625</v>
      </c>
      <c r="L310" s="5">
        <f t="shared" si="13"/>
        <v>-0.19394389136750911</v>
      </c>
    </row>
    <row r="311" spans="1:12" x14ac:dyDescent="0.3">
      <c r="A311" s="2">
        <v>45464</v>
      </c>
      <c r="B311">
        <v>3502.336181640625</v>
      </c>
      <c r="C311">
        <f t="shared" si="14"/>
        <v>-9.6183009541134267E-4</v>
      </c>
      <c r="K311">
        <f t="shared" si="12"/>
        <v>4418.10009765625</v>
      </c>
      <c r="L311" s="5">
        <f t="shared" si="13"/>
        <v>-0.20727550208774737</v>
      </c>
    </row>
    <row r="312" spans="1:12" x14ac:dyDescent="0.3">
      <c r="A312" s="2">
        <v>45467</v>
      </c>
      <c r="B312">
        <v>3498.967529296875</v>
      </c>
      <c r="C312">
        <f t="shared" si="14"/>
        <v>1.591345549688172E-2</v>
      </c>
      <c r="K312">
        <f t="shared" si="12"/>
        <v>4418.10009765625</v>
      </c>
      <c r="L312" s="5">
        <f t="shared" si="13"/>
        <v>-0.20803796836720923</v>
      </c>
    </row>
    <row r="313" spans="1:12" x14ac:dyDescent="0.3">
      <c r="A313" s="2">
        <v>45468</v>
      </c>
      <c r="B313">
        <v>3554.648193359375</v>
      </c>
      <c r="C313">
        <f t="shared" si="14"/>
        <v>4.2226428465314764E-3</v>
      </c>
      <c r="K313">
        <f t="shared" si="12"/>
        <v>4418.10009765625</v>
      </c>
      <c r="L313" s="5">
        <f t="shared" si="13"/>
        <v>-0.19543511582160078</v>
      </c>
    </row>
    <row r="314" spans="1:12" x14ac:dyDescent="0.3">
      <c r="A314" s="2">
        <v>45469</v>
      </c>
      <c r="B314">
        <v>3569.658203125</v>
      </c>
      <c r="C314">
        <f t="shared" si="14"/>
        <v>-1.0699581159566988E-2</v>
      </c>
      <c r="K314">
        <f t="shared" si="12"/>
        <v>4418.10009765625</v>
      </c>
      <c r="L314" s="5">
        <f t="shared" si="13"/>
        <v>-0.19203772566885446</v>
      </c>
    </row>
    <row r="315" spans="1:12" x14ac:dyDescent="0.3">
      <c r="A315" s="2">
        <v>45470</v>
      </c>
      <c r="B315">
        <v>3531.46435546875</v>
      </c>
      <c r="C315">
        <f t="shared" si="14"/>
        <v>-4.47483898585249E-3</v>
      </c>
      <c r="K315">
        <f t="shared" si="12"/>
        <v>4418.10009765625</v>
      </c>
      <c r="L315" s="5">
        <f t="shared" si="13"/>
        <v>-0.20068258359692892</v>
      </c>
    </row>
    <row r="316" spans="1:12" x14ac:dyDescent="0.3">
      <c r="A316" s="2">
        <v>45471</v>
      </c>
      <c r="B316">
        <v>3515.66162109375</v>
      </c>
      <c r="C316">
        <f t="shared" si="14"/>
        <v>-6.1716718228629567E-3</v>
      </c>
      <c r="K316">
        <f t="shared" si="12"/>
        <v>4418.10009765625</v>
      </c>
      <c r="L316" s="5">
        <f t="shared" si="13"/>
        <v>-0.2042594003339202</v>
      </c>
    </row>
    <row r="317" spans="1:12" x14ac:dyDescent="0.3">
      <c r="A317" s="2">
        <v>45474</v>
      </c>
      <c r="B317">
        <v>3493.964111328125</v>
      </c>
      <c r="C317">
        <f t="shared" si="14"/>
        <v>2.8342124885151757E-2</v>
      </c>
      <c r="K317">
        <f t="shared" si="12"/>
        <v>4418.10009765625</v>
      </c>
      <c r="L317" s="5">
        <f t="shared" si="13"/>
        <v>-0.20917045017118741</v>
      </c>
    </row>
    <row r="318" spans="1:12" x14ac:dyDescent="0.3">
      <c r="A318" s="2">
        <v>45475</v>
      </c>
      <c r="B318">
        <v>3592.990478515625</v>
      </c>
      <c r="C318">
        <f t="shared" si="14"/>
        <v>-3.3503004609194238E-3</v>
      </c>
      <c r="K318">
        <f t="shared" si="12"/>
        <v>4418.10009765625</v>
      </c>
      <c r="L318" s="5">
        <f t="shared" si="13"/>
        <v>-0.18675666030707094</v>
      </c>
    </row>
    <row r="319" spans="1:12" x14ac:dyDescent="0.3">
      <c r="A319" s="2">
        <v>45476</v>
      </c>
      <c r="B319">
        <v>3580.952880859375</v>
      </c>
      <c r="C319">
        <f t="shared" si="14"/>
        <v>-1.1357494960144422E-2</v>
      </c>
      <c r="K319">
        <f t="shared" si="12"/>
        <v>4418.10009765625</v>
      </c>
      <c r="L319" s="5">
        <f t="shared" si="13"/>
        <v>-0.18948126984288371</v>
      </c>
    </row>
    <row r="320" spans="1:12" x14ac:dyDescent="0.3">
      <c r="A320" s="2">
        <v>45477</v>
      </c>
      <c r="B320">
        <v>3540.2822265625</v>
      </c>
      <c r="C320">
        <f t="shared" si="14"/>
        <v>1.5070068290481565E-2</v>
      </c>
      <c r="K320">
        <f t="shared" si="12"/>
        <v>4418.10009765625</v>
      </c>
      <c r="L320" s="5">
        <f t="shared" si="13"/>
        <v>-0.19868673223574584</v>
      </c>
    </row>
    <row r="321" spans="1:12" x14ac:dyDescent="0.3">
      <c r="A321" s="2">
        <v>45478</v>
      </c>
      <c r="B321">
        <v>3593.634521484375</v>
      </c>
      <c r="C321">
        <f t="shared" si="14"/>
        <v>1.3371353576782732E-3</v>
      </c>
      <c r="K321">
        <f t="shared" si="12"/>
        <v>4418.10009765625</v>
      </c>
      <c r="L321" s="5">
        <f t="shared" si="13"/>
        <v>-0.18661088656846958</v>
      </c>
    </row>
    <row r="322" spans="1:12" x14ac:dyDescent="0.3">
      <c r="A322" s="2">
        <v>45481</v>
      </c>
      <c r="B322">
        <v>3598.439697265625</v>
      </c>
      <c r="C322">
        <f t="shared" si="14"/>
        <v>9.3888349096617058E-3</v>
      </c>
      <c r="K322">
        <f t="shared" ref="K322:K385" si="15">MAX(B322:B1061)</f>
        <v>4418.10009765625</v>
      </c>
      <c r="L322" s="5">
        <f t="shared" ref="L322:L385" si="16">B322/K322-1</f>
        <v>-0.18552327522534973</v>
      </c>
    </row>
    <row r="323" spans="1:12" x14ac:dyDescent="0.3">
      <c r="A323" s="2">
        <v>45482</v>
      </c>
      <c r="B323">
        <v>3632.224853515625</v>
      </c>
      <c r="C323">
        <f t="shared" ref="C323:C386" si="17">(B324-B323)/B323</f>
        <v>-4.3779931337011302E-3</v>
      </c>
      <c r="K323">
        <f t="shared" si="15"/>
        <v>4418.10009765625</v>
      </c>
      <c r="L323" s="5">
        <f t="shared" si="16"/>
        <v>-0.17787628771867858</v>
      </c>
    </row>
    <row r="324" spans="1:12" x14ac:dyDescent="0.3">
      <c r="A324" s="2">
        <v>45483</v>
      </c>
      <c r="B324">
        <v>3616.322998046875</v>
      </c>
      <c r="C324">
        <f t="shared" si="17"/>
        <v>-7.9313637256312412E-3</v>
      </c>
      <c r="K324">
        <f t="shared" si="15"/>
        <v>4418.10009765625</v>
      </c>
      <c r="L324" s="5">
        <f t="shared" si="16"/>
        <v>-0.18147553968609909</v>
      </c>
    </row>
    <row r="325" spans="1:12" x14ac:dyDescent="0.3">
      <c r="A325" s="2">
        <v>45484</v>
      </c>
      <c r="B325">
        <v>3587.640625</v>
      </c>
      <c r="C325">
        <f t="shared" si="17"/>
        <v>7.8015098493525951E-3</v>
      </c>
      <c r="K325">
        <f t="shared" si="15"/>
        <v>4418.10009765625</v>
      </c>
      <c r="L325" s="5">
        <f t="shared" si="16"/>
        <v>-0.1879675548991746</v>
      </c>
    </row>
    <row r="326" spans="1:12" x14ac:dyDescent="0.3">
      <c r="A326" s="2">
        <v>45485</v>
      </c>
      <c r="B326">
        <v>3615.629638671875</v>
      </c>
      <c r="C326">
        <f t="shared" si="17"/>
        <v>6.1649121425743638E-4</v>
      </c>
      <c r="K326">
        <f t="shared" si="15"/>
        <v>4418.10009765625</v>
      </c>
      <c r="L326" s="5">
        <f t="shared" si="16"/>
        <v>-0.18163247578072672</v>
      </c>
    </row>
    <row r="327" spans="1:12" x14ac:dyDescent="0.3">
      <c r="A327" s="2">
        <v>45488</v>
      </c>
      <c r="B327">
        <v>3617.858642578125</v>
      </c>
      <c r="C327">
        <f t="shared" si="17"/>
        <v>-4.1214680132580696E-3</v>
      </c>
      <c r="K327">
        <f t="shared" si="15"/>
        <v>4418.10009765625</v>
      </c>
      <c r="L327" s="5">
        <f t="shared" si="16"/>
        <v>-0.18112795939201187</v>
      </c>
    </row>
    <row r="328" spans="1:12" x14ac:dyDescent="0.3">
      <c r="A328" s="2">
        <v>45489</v>
      </c>
      <c r="B328">
        <v>3602.94775390625</v>
      </c>
      <c r="C328">
        <f t="shared" si="17"/>
        <v>5.4034260412582635E-3</v>
      </c>
      <c r="K328">
        <f t="shared" si="15"/>
        <v>4418.10009765625</v>
      </c>
      <c r="L328" s="5">
        <f t="shared" si="16"/>
        <v>-0.18450291431432908</v>
      </c>
    </row>
    <row r="329" spans="1:12" x14ac:dyDescent="0.3">
      <c r="A329" s="2">
        <v>45491</v>
      </c>
      <c r="B329">
        <v>3622.416015625</v>
      </c>
      <c r="C329">
        <f t="shared" si="17"/>
        <v>-1.0311229394660094E-2</v>
      </c>
      <c r="K329">
        <f t="shared" si="15"/>
        <v>4418.10009765625</v>
      </c>
      <c r="L329" s="5">
        <f t="shared" si="16"/>
        <v>-0.18009643612496484</v>
      </c>
    </row>
    <row r="330" spans="1:12" x14ac:dyDescent="0.3">
      <c r="A330" s="2">
        <v>45492</v>
      </c>
      <c r="B330">
        <v>3585.064453125</v>
      </c>
      <c r="C330">
        <f t="shared" si="17"/>
        <v>9.1059751475440921E-3</v>
      </c>
      <c r="K330">
        <f t="shared" si="15"/>
        <v>4418.10009765625</v>
      </c>
      <c r="L330" s="5">
        <f t="shared" si="16"/>
        <v>-0.18855064985357972</v>
      </c>
    </row>
    <row r="331" spans="1:12" x14ac:dyDescent="0.3">
      <c r="A331" s="2">
        <v>45495</v>
      </c>
      <c r="B331">
        <v>3617.7099609375</v>
      </c>
      <c r="C331">
        <f t="shared" si="17"/>
        <v>-3.1056124452866554E-2</v>
      </c>
      <c r="K331">
        <f t="shared" si="15"/>
        <v>4418.10009765625</v>
      </c>
      <c r="L331" s="5">
        <f t="shared" si="16"/>
        <v>-0.18116161223765559</v>
      </c>
    </row>
    <row r="332" spans="1:12" x14ac:dyDescent="0.3">
      <c r="A332" s="2">
        <v>45496</v>
      </c>
      <c r="B332">
        <v>3505.35791015625</v>
      </c>
      <c r="C332">
        <f t="shared" si="17"/>
        <v>-5.2571586492942655E-3</v>
      </c>
      <c r="K332">
        <f t="shared" si="15"/>
        <v>4418.10009765625</v>
      </c>
      <c r="L332" s="5">
        <f t="shared" si="16"/>
        <v>-0.20659155911478755</v>
      </c>
    </row>
    <row r="333" spans="1:12" x14ac:dyDescent="0.3">
      <c r="A333" s="2">
        <v>45497</v>
      </c>
      <c r="B333">
        <v>3486.9296875</v>
      </c>
      <c r="C333">
        <f t="shared" si="17"/>
        <v>2.8328305256011849E-2</v>
      </c>
      <c r="K333">
        <f t="shared" si="15"/>
        <v>4418.10009765625</v>
      </c>
      <c r="L333" s="5">
        <f t="shared" si="16"/>
        <v>-0.21076263316221033</v>
      </c>
    </row>
    <row r="334" spans="1:12" x14ac:dyDescent="0.3">
      <c r="A334" s="2">
        <v>45498</v>
      </c>
      <c r="B334">
        <v>3585.70849609375</v>
      </c>
      <c r="C334">
        <f t="shared" si="17"/>
        <v>1.6785658016559065E-2</v>
      </c>
      <c r="K334">
        <f t="shared" si="15"/>
        <v>4418.10009765625</v>
      </c>
      <c r="L334" s="5">
        <f t="shared" si="16"/>
        <v>-0.18840487611497847</v>
      </c>
    </row>
    <row r="335" spans="1:12" x14ac:dyDescent="0.3">
      <c r="A335" s="2">
        <v>45499</v>
      </c>
      <c r="B335">
        <v>3645.89697265625</v>
      </c>
      <c r="C335">
        <f t="shared" si="17"/>
        <v>2.5829549135994993E-2</v>
      </c>
      <c r="K335">
        <f t="shared" si="15"/>
        <v>4418.10009765625</v>
      </c>
      <c r="L335" s="5">
        <f t="shared" si="16"/>
        <v>-0.1747817179175376</v>
      </c>
    </row>
    <row r="336" spans="1:12" x14ac:dyDescent="0.3">
      <c r="A336" s="2">
        <v>45502</v>
      </c>
      <c r="B336">
        <v>3740.06884765625</v>
      </c>
      <c r="C336">
        <f t="shared" si="17"/>
        <v>2.5695654154929311E-3</v>
      </c>
      <c r="K336">
        <f t="shared" si="15"/>
        <v>4418.10009765625</v>
      </c>
      <c r="L336" s="5">
        <f t="shared" si="16"/>
        <v>-0.15346670175256727</v>
      </c>
    </row>
    <row r="337" spans="1:12" x14ac:dyDescent="0.3">
      <c r="A337" s="2">
        <v>45503</v>
      </c>
      <c r="B337">
        <v>3749.67919921875</v>
      </c>
      <c r="C337">
        <f t="shared" si="17"/>
        <v>8.0192407084824831E-3</v>
      </c>
      <c r="K337">
        <f t="shared" si="15"/>
        <v>4418.10009765625</v>
      </c>
      <c r="L337" s="5">
        <f t="shared" si="16"/>
        <v>-0.15129147906632745</v>
      </c>
    </row>
    <row r="338" spans="1:12" x14ac:dyDescent="0.3">
      <c r="A338" s="2">
        <v>45504</v>
      </c>
      <c r="B338">
        <v>3779.748779296875</v>
      </c>
      <c r="C338">
        <f t="shared" si="17"/>
        <v>-9.3577957829461093E-3</v>
      </c>
      <c r="K338">
        <f t="shared" si="15"/>
        <v>4418.10009765625</v>
      </c>
      <c r="L338" s="5">
        <f t="shared" si="16"/>
        <v>-0.14448548114562021</v>
      </c>
    </row>
    <row r="339" spans="1:12" x14ac:dyDescent="0.3">
      <c r="A339" s="2">
        <v>45505</v>
      </c>
      <c r="B339">
        <v>3744.378662109375</v>
      </c>
      <c r="C339">
        <f t="shared" si="17"/>
        <v>-3.0058469809072518E-2</v>
      </c>
      <c r="K339">
        <f t="shared" si="15"/>
        <v>4418.10009765625</v>
      </c>
      <c r="L339" s="5">
        <f t="shared" si="16"/>
        <v>-0.15249121130240495</v>
      </c>
    </row>
    <row r="340" spans="1:12" x14ac:dyDescent="0.3">
      <c r="A340" s="2">
        <v>45506</v>
      </c>
      <c r="B340">
        <v>3631.828369140625</v>
      </c>
      <c r="C340">
        <f t="shared" si="17"/>
        <v>-3.7564477312368692E-2</v>
      </c>
      <c r="K340">
        <f t="shared" si="15"/>
        <v>4418.10009765625</v>
      </c>
      <c r="L340" s="5">
        <f t="shared" si="16"/>
        <v>-0.17796602864039524</v>
      </c>
    </row>
    <row r="341" spans="1:12" x14ac:dyDescent="0.3">
      <c r="A341" s="2">
        <v>45509</v>
      </c>
      <c r="B341">
        <v>3495.400634765625</v>
      </c>
      <c r="C341">
        <f t="shared" si="17"/>
        <v>1.3662135949997349E-2</v>
      </c>
      <c r="K341">
        <f t="shared" si="15"/>
        <v>4418.10009765625</v>
      </c>
      <c r="L341" s="5">
        <f t="shared" si="16"/>
        <v>-0.20884530510752941</v>
      </c>
    </row>
    <row r="342" spans="1:12" x14ac:dyDescent="0.3">
      <c r="A342" s="2">
        <v>45510</v>
      </c>
      <c r="B342">
        <v>3543.1552734375</v>
      </c>
      <c r="C342">
        <f t="shared" si="17"/>
        <v>1.7350864383931276E-2</v>
      </c>
      <c r="K342">
        <f t="shared" si="15"/>
        <v>4418.10009765625</v>
      </c>
      <c r="L342" s="5">
        <f t="shared" si="16"/>
        <v>-0.19803644210842986</v>
      </c>
    </row>
    <row r="343" spans="1:12" x14ac:dyDescent="0.3">
      <c r="A343" s="2">
        <v>45511</v>
      </c>
      <c r="B343">
        <v>3604.632080078125</v>
      </c>
      <c r="C343">
        <f t="shared" si="17"/>
        <v>-2.3280456536061016E-2</v>
      </c>
      <c r="K343">
        <f t="shared" si="15"/>
        <v>4418.10009765625</v>
      </c>
      <c r="L343" s="5">
        <f t="shared" si="16"/>
        <v>-0.18412168117459815</v>
      </c>
    </row>
    <row r="344" spans="1:12" x14ac:dyDescent="0.3">
      <c r="A344" s="2">
        <v>45512</v>
      </c>
      <c r="B344">
        <v>3520.714599609375</v>
      </c>
      <c r="C344">
        <f t="shared" si="17"/>
        <v>1.0834245727730139E-2</v>
      </c>
      <c r="K344">
        <f t="shared" si="15"/>
        <v>4418.10009765625</v>
      </c>
      <c r="L344" s="5">
        <f t="shared" si="16"/>
        <v>-0.20311570091472742</v>
      </c>
    </row>
    <row r="345" spans="1:12" x14ac:dyDescent="0.3">
      <c r="A345" s="2">
        <v>45513</v>
      </c>
      <c r="B345">
        <v>3558.85888671875</v>
      </c>
      <c r="C345">
        <f t="shared" si="17"/>
        <v>-5.5956999910681737E-3</v>
      </c>
      <c r="K345">
        <f t="shared" si="15"/>
        <v>4418.10009765625</v>
      </c>
      <c r="L345" s="5">
        <f t="shared" si="16"/>
        <v>-0.19448206060186757</v>
      </c>
    </row>
    <row r="346" spans="1:12" x14ac:dyDescent="0.3">
      <c r="A346" s="2">
        <v>45516</v>
      </c>
      <c r="B346">
        <v>3538.944580078125</v>
      </c>
      <c r="C346">
        <f t="shared" si="17"/>
        <v>-5.6411233900798431E-3</v>
      </c>
      <c r="K346">
        <f t="shared" si="15"/>
        <v>4418.10009765625</v>
      </c>
      <c r="L346" s="5">
        <f t="shared" si="16"/>
        <v>-0.19898949732816296</v>
      </c>
    </row>
    <row r="347" spans="1:12" x14ac:dyDescent="0.3">
      <c r="A347" s="2">
        <v>45517</v>
      </c>
      <c r="B347">
        <v>3518.98095703125</v>
      </c>
      <c r="C347">
        <f t="shared" si="17"/>
        <v>-1.85829554648736E-3</v>
      </c>
      <c r="K347">
        <f t="shared" si="15"/>
        <v>4418.10009765625</v>
      </c>
      <c r="L347" s="5">
        <f t="shared" si="16"/>
        <v>-0.20350809641048473</v>
      </c>
    </row>
    <row r="348" spans="1:12" x14ac:dyDescent="0.3">
      <c r="A348" s="2">
        <v>45518</v>
      </c>
      <c r="B348">
        <v>3512.441650390625</v>
      </c>
      <c r="C348">
        <f t="shared" si="17"/>
        <v>6.530010055633014E-3</v>
      </c>
      <c r="K348">
        <f t="shared" si="15"/>
        <v>4418.10009765625</v>
      </c>
      <c r="L348" s="5">
        <f t="shared" si="16"/>
        <v>-0.20498821376773835</v>
      </c>
    </row>
    <row r="349" spans="1:12" x14ac:dyDescent="0.3">
      <c r="A349" s="2">
        <v>45520</v>
      </c>
      <c r="B349">
        <v>3535.3779296875</v>
      </c>
      <c r="C349">
        <f t="shared" si="17"/>
        <v>-3.7271834059024477E-3</v>
      </c>
      <c r="K349">
        <f t="shared" si="15"/>
        <v>4418.10009765625</v>
      </c>
      <c r="L349" s="5">
        <f t="shared" si="16"/>
        <v>-0.19979677880929492</v>
      </c>
    </row>
    <row r="350" spans="1:12" x14ac:dyDescent="0.3">
      <c r="A350" s="2">
        <v>45523</v>
      </c>
      <c r="B350">
        <v>3522.200927734375</v>
      </c>
      <c r="C350">
        <f t="shared" si="17"/>
        <v>4.9647412981343574E-3</v>
      </c>
      <c r="K350">
        <f t="shared" si="15"/>
        <v>4418.10009765625</v>
      </c>
      <c r="L350" s="5">
        <f t="shared" si="16"/>
        <v>-0.20277928297666659</v>
      </c>
    </row>
    <row r="351" spans="1:12" x14ac:dyDescent="0.3">
      <c r="A351" s="2">
        <v>45524</v>
      </c>
      <c r="B351">
        <v>3539.687744140625</v>
      </c>
      <c r="C351">
        <f t="shared" si="17"/>
        <v>6.5356830929635019E-3</v>
      </c>
      <c r="K351">
        <f t="shared" si="15"/>
        <v>4418.10009765625</v>
      </c>
      <c r="L351" s="5">
        <f t="shared" si="16"/>
        <v>-0.1988212883591326</v>
      </c>
    </row>
    <row r="352" spans="1:12" x14ac:dyDescent="0.3">
      <c r="A352" s="2">
        <v>45525</v>
      </c>
      <c r="B352">
        <v>3562.822021484375</v>
      </c>
      <c r="C352">
        <f t="shared" si="17"/>
        <v>2.9059187974990472E-3</v>
      </c>
      <c r="K352">
        <f t="shared" si="15"/>
        <v>4418.10009765625</v>
      </c>
      <c r="L352" s="5">
        <f t="shared" si="16"/>
        <v>-0.19358503819901907</v>
      </c>
    </row>
    <row r="353" spans="1:12" x14ac:dyDescent="0.3">
      <c r="A353" s="2">
        <v>45526</v>
      </c>
      <c r="B353">
        <v>3573.17529296875</v>
      </c>
      <c r="C353">
        <f t="shared" si="17"/>
        <v>-2.2043320570499887E-3</v>
      </c>
      <c r="K353">
        <f t="shared" si="15"/>
        <v>4418.10009765625</v>
      </c>
      <c r="L353" s="5">
        <f t="shared" si="16"/>
        <v>-0.19124166180293711</v>
      </c>
    </row>
    <row r="354" spans="1:12" x14ac:dyDescent="0.3">
      <c r="A354" s="2">
        <v>45527</v>
      </c>
      <c r="B354">
        <v>3565.298828125</v>
      </c>
      <c r="C354">
        <f t="shared" si="17"/>
        <v>1.2046525399727078E-2</v>
      </c>
      <c r="K354">
        <f t="shared" si="15"/>
        <v>4418.10009765625</v>
      </c>
      <c r="L354" s="5">
        <f t="shared" si="16"/>
        <v>-0.19302443373423139</v>
      </c>
    </row>
    <row r="355" spans="1:12" x14ac:dyDescent="0.3">
      <c r="A355" s="2">
        <v>45530</v>
      </c>
      <c r="B355">
        <v>3608.248291015625</v>
      </c>
      <c r="C355">
        <f t="shared" si="17"/>
        <v>1.6694537695580703E-2</v>
      </c>
      <c r="K355">
        <f t="shared" si="15"/>
        <v>4418.10009765625</v>
      </c>
      <c r="L355" s="5">
        <f t="shared" si="16"/>
        <v>-0.18330318207825169</v>
      </c>
    </row>
    <row r="356" spans="1:12" x14ac:dyDescent="0.3">
      <c r="A356" s="2">
        <v>45531</v>
      </c>
      <c r="B356">
        <v>3668.486328125</v>
      </c>
      <c r="C356">
        <f t="shared" si="17"/>
        <v>-3.6864473330440592E-3</v>
      </c>
      <c r="K356">
        <f t="shared" si="15"/>
        <v>4418.10009765625</v>
      </c>
      <c r="L356" s="5">
        <f t="shared" si="16"/>
        <v>-0.16966880626559622</v>
      </c>
    </row>
    <row r="357" spans="1:12" x14ac:dyDescent="0.3">
      <c r="A357" s="2">
        <v>45532</v>
      </c>
      <c r="B357">
        <v>3654.962646484375</v>
      </c>
      <c r="C357">
        <f t="shared" si="17"/>
        <v>-1.5180291511561195E-3</v>
      </c>
      <c r="K357">
        <f t="shared" si="15"/>
        <v>4418.10009765625</v>
      </c>
      <c r="L357" s="5">
        <f t="shared" si="16"/>
        <v>-0.1727297784802817</v>
      </c>
    </row>
    <row r="358" spans="1:12" x14ac:dyDescent="0.3">
      <c r="A358" s="2">
        <v>45533</v>
      </c>
      <c r="B358">
        <v>3649.414306640625</v>
      </c>
      <c r="C358">
        <f t="shared" si="17"/>
        <v>5.7554852986697021E-3</v>
      </c>
      <c r="K358">
        <f t="shared" si="15"/>
        <v>4418.10009765625</v>
      </c>
      <c r="L358" s="5">
        <f t="shared" si="16"/>
        <v>-0.17398559879243203</v>
      </c>
    </row>
    <row r="359" spans="1:12" x14ac:dyDescent="0.3">
      <c r="A359" s="2">
        <v>45534</v>
      </c>
      <c r="B359">
        <v>3670.41845703125</v>
      </c>
      <c r="C359">
        <f t="shared" si="17"/>
        <v>-5.8170016111444211E-3</v>
      </c>
      <c r="K359">
        <f t="shared" si="15"/>
        <v>4418.10009765625</v>
      </c>
      <c r="L359" s="5">
        <f t="shared" si="16"/>
        <v>-0.16923148504979235</v>
      </c>
    </row>
    <row r="360" spans="1:12" x14ac:dyDescent="0.3">
      <c r="A360" s="2">
        <v>45537</v>
      </c>
      <c r="B360">
        <v>3649.067626953125</v>
      </c>
      <c r="C360">
        <f t="shared" si="17"/>
        <v>1.9140832274618523E-3</v>
      </c>
      <c r="K360">
        <f t="shared" si="15"/>
        <v>4418.10009765625</v>
      </c>
      <c r="L360" s="5">
        <f t="shared" si="16"/>
        <v>-0.17406406683974585</v>
      </c>
    </row>
    <row r="361" spans="1:12" x14ac:dyDescent="0.3">
      <c r="A361" s="2">
        <v>45538</v>
      </c>
      <c r="B361">
        <v>3656.05224609375</v>
      </c>
      <c r="C361">
        <f t="shared" si="17"/>
        <v>-1.0663437325336107E-2</v>
      </c>
      <c r="K361">
        <f t="shared" si="15"/>
        <v>4418.10009765625</v>
      </c>
      <c r="L361" s="5">
        <f t="shared" si="16"/>
        <v>-0.17248315672312575</v>
      </c>
    </row>
    <row r="362" spans="1:12" x14ac:dyDescent="0.3">
      <c r="A362" s="2">
        <v>45539</v>
      </c>
      <c r="B362">
        <v>3617.066162109375</v>
      </c>
      <c r="C362">
        <f t="shared" si="17"/>
        <v>-7.2998534035597709E-3</v>
      </c>
      <c r="K362">
        <f t="shared" si="15"/>
        <v>4418.10009765625</v>
      </c>
      <c r="L362" s="5">
        <f t="shared" si="16"/>
        <v>-0.18130733071706862</v>
      </c>
    </row>
    <row r="363" spans="1:12" x14ac:dyDescent="0.3">
      <c r="A363" s="2">
        <v>45540</v>
      </c>
      <c r="B363">
        <v>3590.662109375</v>
      </c>
      <c r="C363">
        <f t="shared" si="17"/>
        <v>-1.3630733798987065E-2</v>
      </c>
      <c r="K363">
        <f t="shared" si="15"/>
        <v>4418.10009765625</v>
      </c>
      <c r="L363" s="5">
        <f t="shared" si="16"/>
        <v>-0.18728366718540312</v>
      </c>
    </row>
    <row r="364" spans="1:12" x14ac:dyDescent="0.3">
      <c r="A364" s="2">
        <v>45541</v>
      </c>
      <c r="B364">
        <v>3541.71875</v>
      </c>
      <c r="C364">
        <f t="shared" si="17"/>
        <v>9.931149909560154E-4</v>
      </c>
      <c r="K364">
        <f t="shared" si="15"/>
        <v>4418.10009765625</v>
      </c>
      <c r="L364" s="5">
        <f t="shared" si="16"/>
        <v>-0.19836158717208785</v>
      </c>
    </row>
    <row r="365" spans="1:12" x14ac:dyDescent="0.3">
      <c r="A365" s="2">
        <v>45544</v>
      </c>
      <c r="B365">
        <v>3545.236083984375</v>
      </c>
      <c r="C365">
        <f t="shared" si="17"/>
        <v>4.9883319570779095E-3</v>
      </c>
      <c r="K365">
        <f t="shared" si="15"/>
        <v>4418.10009765625</v>
      </c>
      <c r="L365" s="5">
        <f t="shared" si="16"/>
        <v>-0.19756546804698227</v>
      </c>
    </row>
    <row r="366" spans="1:12" x14ac:dyDescent="0.3">
      <c r="A366" s="2">
        <v>45545</v>
      </c>
      <c r="B366">
        <v>3562.9208984375</v>
      </c>
      <c r="C366">
        <f t="shared" si="17"/>
        <v>-1.6462007915183267E-2</v>
      </c>
      <c r="K366">
        <f t="shared" si="15"/>
        <v>4418.10009765625</v>
      </c>
      <c r="L366" s="5">
        <f t="shared" si="16"/>
        <v>-0.19356265822777818</v>
      </c>
    </row>
    <row r="367" spans="1:12" x14ac:dyDescent="0.3">
      <c r="A367" s="2">
        <v>45546</v>
      </c>
      <c r="B367">
        <v>3504.26806640625</v>
      </c>
      <c r="C367">
        <f t="shared" si="17"/>
        <v>2.4046151310183828E-2</v>
      </c>
      <c r="K367">
        <f t="shared" si="15"/>
        <v>4418.10009765625</v>
      </c>
      <c r="L367" s="5">
        <f t="shared" si="16"/>
        <v>-0.20683823613113184</v>
      </c>
    </row>
    <row r="368" spans="1:12" x14ac:dyDescent="0.3">
      <c r="A368" s="2">
        <v>45547</v>
      </c>
      <c r="B368">
        <v>3588.5322265625</v>
      </c>
      <c r="C368">
        <f t="shared" si="17"/>
        <v>-2.4848577703987067E-3</v>
      </c>
      <c r="K368">
        <f t="shared" si="15"/>
        <v>4418.10009765625</v>
      </c>
      <c r="L368" s="5">
        <f t="shared" si="16"/>
        <v>-0.18776574834368875</v>
      </c>
    </row>
    <row r="369" spans="1:12" x14ac:dyDescent="0.3">
      <c r="A369" s="2">
        <v>45548</v>
      </c>
      <c r="B369">
        <v>3579.615234375</v>
      </c>
      <c r="C369">
        <f t="shared" si="17"/>
        <v>1.3631331492396998E-2</v>
      </c>
      <c r="K369">
        <f t="shared" si="15"/>
        <v>4418.10009765625</v>
      </c>
      <c r="L369" s="5">
        <f t="shared" si="16"/>
        <v>-0.18978403493530094</v>
      </c>
    </row>
    <row r="370" spans="1:12" x14ac:dyDescent="0.3">
      <c r="A370" s="2">
        <v>45551</v>
      </c>
      <c r="B370">
        <v>3628.41015625</v>
      </c>
      <c r="C370">
        <f t="shared" si="17"/>
        <v>8.9971933730445385E-3</v>
      </c>
      <c r="K370">
        <f t="shared" si="15"/>
        <v>4418.10009765625</v>
      </c>
      <c r="L370" s="5">
        <f t="shared" si="16"/>
        <v>-0.17873971253507159</v>
      </c>
    </row>
    <row r="371" spans="1:12" x14ac:dyDescent="0.3">
      <c r="A371" s="2">
        <v>45552</v>
      </c>
      <c r="B371">
        <v>3661.0556640625</v>
      </c>
      <c r="C371">
        <f t="shared" si="17"/>
        <v>9.5394114733279248E-3</v>
      </c>
      <c r="K371">
        <f t="shared" si="15"/>
        <v>4418.10009765625</v>
      </c>
      <c r="L371" s="5">
        <f t="shared" si="16"/>
        <v>-0.17135067491914757</v>
      </c>
    </row>
    <row r="372" spans="1:12" x14ac:dyDescent="0.3">
      <c r="A372" s="2">
        <v>45553</v>
      </c>
      <c r="B372">
        <v>3695.97998046875</v>
      </c>
      <c r="C372">
        <f t="shared" si="17"/>
        <v>-1.2531959409551683E-2</v>
      </c>
      <c r="K372">
        <f t="shared" si="15"/>
        <v>4418.10009765625</v>
      </c>
      <c r="L372" s="5">
        <f t="shared" si="16"/>
        <v>-0.16344584804010576</v>
      </c>
    </row>
    <row r="373" spans="1:12" x14ac:dyDescent="0.3">
      <c r="A373" s="2">
        <v>45554</v>
      </c>
      <c r="B373">
        <v>3649.662109375</v>
      </c>
      <c r="C373">
        <f t="shared" si="17"/>
        <v>2.9915547618652626E-2</v>
      </c>
      <c r="K373">
        <f t="shared" si="15"/>
        <v>4418.10009765625</v>
      </c>
      <c r="L373" s="5">
        <f t="shared" si="16"/>
        <v>-0.17392951071635909</v>
      </c>
    </row>
    <row r="374" spans="1:12" x14ac:dyDescent="0.3">
      <c r="A374" s="2">
        <v>45555</v>
      </c>
      <c r="B374">
        <v>3758.84375</v>
      </c>
      <c r="C374">
        <f t="shared" si="17"/>
        <v>-1.6342318739971566E-3</v>
      </c>
      <c r="K374">
        <f t="shared" si="15"/>
        <v>4418.10009765625</v>
      </c>
      <c r="L374" s="5">
        <f t="shared" si="16"/>
        <v>-0.14921715965783067</v>
      </c>
    </row>
    <row r="375" spans="1:12" x14ac:dyDescent="0.3">
      <c r="A375" s="2">
        <v>45558</v>
      </c>
      <c r="B375">
        <v>3752.700927734375</v>
      </c>
      <c r="C375">
        <f t="shared" si="17"/>
        <v>1.0297270917437526E-3</v>
      </c>
      <c r="K375">
        <f t="shared" si="15"/>
        <v>4418.10009765625</v>
      </c>
      <c r="L375" s="5">
        <f t="shared" si="16"/>
        <v>-0.15060753609336774</v>
      </c>
    </row>
    <row r="376" spans="1:12" x14ac:dyDescent="0.3">
      <c r="A376" s="2">
        <v>45559</v>
      </c>
      <c r="B376">
        <v>3756.565185546875</v>
      </c>
      <c r="C376">
        <f t="shared" si="17"/>
        <v>5.9342722321227852E-4</v>
      </c>
      <c r="K376">
        <f t="shared" si="15"/>
        <v>4418.10009765625</v>
      </c>
      <c r="L376" s="5">
        <f t="shared" si="16"/>
        <v>-0.14973289366176001</v>
      </c>
    </row>
    <row r="377" spans="1:12" x14ac:dyDescent="0.3">
      <c r="A377" s="2">
        <v>45560</v>
      </c>
      <c r="B377">
        <v>3758.79443359375</v>
      </c>
      <c r="C377">
        <f t="shared" si="17"/>
        <v>-8.355729811246047E-3</v>
      </c>
      <c r="K377">
        <f t="shared" si="15"/>
        <v>4418.10009765625</v>
      </c>
      <c r="L377" s="5">
        <f t="shared" si="16"/>
        <v>-0.14922832201385705</v>
      </c>
    </row>
    <row r="378" spans="1:12" x14ac:dyDescent="0.3">
      <c r="A378" s="2">
        <v>45561</v>
      </c>
      <c r="B378">
        <v>3727.386962890625</v>
      </c>
      <c r="C378">
        <f t="shared" si="17"/>
        <v>-1.5017969360421244E-2</v>
      </c>
      <c r="K378">
        <f t="shared" si="15"/>
        <v>4418.10009765625</v>
      </c>
      <c r="L378" s="5">
        <f t="shared" si="16"/>
        <v>-0.15633714028616963</v>
      </c>
    </row>
    <row r="379" spans="1:12" x14ac:dyDescent="0.3">
      <c r="A379" s="2">
        <v>45562</v>
      </c>
      <c r="B379">
        <v>3671.4091796875</v>
      </c>
      <c r="C379">
        <f t="shared" si="17"/>
        <v>-8.1227059922229488E-3</v>
      </c>
      <c r="K379">
        <f t="shared" si="15"/>
        <v>4418.10009765625</v>
      </c>
      <c r="L379" s="5">
        <f t="shared" si="16"/>
        <v>-0.16900724326387728</v>
      </c>
    </row>
    <row r="380" spans="1:12" x14ac:dyDescent="0.3">
      <c r="A380" s="2">
        <v>45565</v>
      </c>
      <c r="B380">
        <v>3641.58740234375</v>
      </c>
      <c r="C380">
        <f t="shared" si="17"/>
        <v>-5.9990847376585402E-3</v>
      </c>
      <c r="K380">
        <f t="shared" si="15"/>
        <v>4418.10009765625</v>
      </c>
      <c r="L380" s="5">
        <f t="shared" si="16"/>
        <v>-0.1757571531085117</v>
      </c>
    </row>
    <row r="381" spans="1:12" x14ac:dyDescent="0.3">
      <c r="A381" s="2">
        <v>45566</v>
      </c>
      <c r="B381">
        <v>3619.7412109375</v>
      </c>
      <c r="C381">
        <f t="shared" si="17"/>
        <v>-4.2657788845078329E-2</v>
      </c>
      <c r="K381">
        <f t="shared" si="15"/>
        <v>4418.10009765625</v>
      </c>
      <c r="L381" s="5">
        <f t="shared" si="16"/>
        <v>-0.18070185579142262</v>
      </c>
    </row>
    <row r="382" spans="1:12" x14ac:dyDescent="0.3">
      <c r="A382" s="2">
        <v>45568</v>
      </c>
      <c r="B382">
        <v>3465.3310546875</v>
      </c>
      <c r="C382">
        <f t="shared" si="17"/>
        <v>-1.0578416395213863E-3</v>
      </c>
      <c r="K382">
        <f t="shared" si="15"/>
        <v>4418.10009765625</v>
      </c>
      <c r="L382" s="5">
        <f t="shared" si="16"/>
        <v>-0.21565130302823665</v>
      </c>
    </row>
    <row r="383" spans="1:12" x14ac:dyDescent="0.3">
      <c r="A383" s="2">
        <v>45569</v>
      </c>
      <c r="B383">
        <v>3461.665283203125</v>
      </c>
      <c r="C383">
        <f t="shared" si="17"/>
        <v>-7.3269017004818611E-3</v>
      </c>
      <c r="K383">
        <f t="shared" si="15"/>
        <v>4418.10009765625</v>
      </c>
      <c r="L383" s="5">
        <f t="shared" si="16"/>
        <v>-0.21648101973979772</v>
      </c>
    </row>
    <row r="384" spans="1:12" x14ac:dyDescent="0.3">
      <c r="A384" s="2">
        <v>45572</v>
      </c>
      <c r="B384">
        <v>3436.302001953125</v>
      </c>
      <c r="C384">
        <f t="shared" si="17"/>
        <v>1.8466947252142492E-2</v>
      </c>
      <c r="K384">
        <f t="shared" si="15"/>
        <v>4418.10009765625</v>
      </c>
      <c r="L384" s="5">
        <f t="shared" si="16"/>
        <v>-0.22222178628862599</v>
      </c>
    </row>
    <row r="385" spans="1:12" x14ac:dyDescent="0.3">
      <c r="A385" s="2">
        <v>45573</v>
      </c>
      <c r="B385">
        <v>3499.760009765625</v>
      </c>
      <c r="C385">
        <f t="shared" si="17"/>
        <v>-1.2824121520051215E-2</v>
      </c>
      <c r="K385">
        <f t="shared" si="15"/>
        <v>4418.10009765625</v>
      </c>
      <c r="L385" s="5">
        <f t="shared" si="16"/>
        <v>-0.20785859704215248</v>
      </c>
    </row>
    <row r="386" spans="1:12" x14ac:dyDescent="0.3">
      <c r="A386" s="2">
        <v>45574</v>
      </c>
      <c r="B386">
        <v>3454.878662109375</v>
      </c>
      <c r="C386">
        <f t="shared" si="17"/>
        <v>-7.6710901131022049E-3</v>
      </c>
      <c r="K386">
        <f t="shared" ref="K386:K449" si="18">MAX(B386:B1125)</f>
        <v>4418.10009765625</v>
      </c>
      <c r="L386" s="5">
        <f t="shared" ref="L386:L449" si="19">B386/K386-1</f>
        <v>-0.21801711465474782</v>
      </c>
    </row>
    <row r="387" spans="1:12" x14ac:dyDescent="0.3">
      <c r="A387" s="2">
        <v>45575</v>
      </c>
      <c r="B387">
        <v>3428.3759765625</v>
      </c>
      <c r="C387">
        <f t="shared" ref="C387:C450" si="20">(B388-B387)/B387</f>
        <v>6.4155370348057362E-3</v>
      </c>
      <c r="K387">
        <f t="shared" si="18"/>
        <v>4418.10009765625</v>
      </c>
      <c r="L387" s="5">
        <f t="shared" si="19"/>
        <v>-0.22401577583513488</v>
      </c>
    </row>
    <row r="388" spans="1:12" x14ac:dyDescent="0.3">
      <c r="A388" s="2">
        <v>45576</v>
      </c>
      <c r="B388">
        <v>3450.370849609375</v>
      </c>
      <c r="C388">
        <f t="shared" si="20"/>
        <v>2.0818074710181388E-2</v>
      </c>
      <c r="K388">
        <f t="shared" si="18"/>
        <v>4418.10009765625</v>
      </c>
      <c r="L388" s="5">
        <f t="shared" si="19"/>
        <v>-0.21903742030658013</v>
      </c>
    </row>
    <row r="389" spans="1:12" x14ac:dyDescent="0.3">
      <c r="A389" s="2">
        <v>45579</v>
      </c>
      <c r="B389">
        <v>3522.200927734375</v>
      </c>
      <c r="C389">
        <f t="shared" si="20"/>
        <v>-8.8612030206000093E-4</v>
      </c>
      <c r="K389">
        <f t="shared" si="18"/>
        <v>4418.10009765625</v>
      </c>
      <c r="L389" s="5">
        <f t="shared" si="19"/>
        <v>-0.20277928297666659</v>
      </c>
    </row>
    <row r="390" spans="1:12" x14ac:dyDescent="0.3">
      <c r="A390" s="2">
        <v>45580</v>
      </c>
      <c r="B390">
        <v>3519.079833984375</v>
      </c>
      <c r="C390">
        <f t="shared" si="20"/>
        <v>-5.4336880472530087E-3</v>
      </c>
      <c r="K390">
        <f t="shared" si="18"/>
        <v>4418.10009765625</v>
      </c>
      <c r="L390" s="5">
        <f t="shared" si="19"/>
        <v>-0.20348571643924385</v>
      </c>
    </row>
    <row r="391" spans="1:12" x14ac:dyDescent="0.3">
      <c r="A391" s="2">
        <v>45581</v>
      </c>
      <c r="B391">
        <v>3499.958251953125</v>
      </c>
      <c r="C391">
        <f t="shared" si="20"/>
        <v>1.0672072051082641E-2</v>
      </c>
      <c r="K391">
        <f t="shared" si="18"/>
        <v>4418.10009765625</v>
      </c>
      <c r="L391" s="5">
        <f t="shared" si="19"/>
        <v>-0.20781372658129416</v>
      </c>
    </row>
    <row r="392" spans="1:12" x14ac:dyDescent="0.3">
      <c r="A392" s="2">
        <v>45582</v>
      </c>
      <c r="B392">
        <v>3537.31005859375</v>
      </c>
      <c r="C392">
        <f t="shared" si="20"/>
        <v>2.1006538695830484E-3</v>
      </c>
      <c r="K392">
        <f t="shared" si="18"/>
        <v>4418.10009765625</v>
      </c>
      <c r="L392" s="5">
        <f t="shared" si="19"/>
        <v>-0.19935945759349105</v>
      </c>
    </row>
    <row r="393" spans="1:12" x14ac:dyDescent="0.3">
      <c r="A393" s="2">
        <v>45583</v>
      </c>
      <c r="B393">
        <v>3544.74072265625</v>
      </c>
      <c r="C393">
        <f t="shared" si="20"/>
        <v>2.1800700834712075E-3</v>
      </c>
      <c r="K393">
        <f t="shared" si="18"/>
        <v>4418.10009765625</v>
      </c>
      <c r="L393" s="5">
        <f t="shared" si="19"/>
        <v>-0.19767758893993981</v>
      </c>
    </row>
    <row r="394" spans="1:12" x14ac:dyDescent="0.3">
      <c r="A394" s="2">
        <v>45586</v>
      </c>
      <c r="B394">
        <v>3552.468505859375</v>
      </c>
      <c r="C394">
        <f t="shared" si="20"/>
        <v>-2.0554451882772152E-2</v>
      </c>
      <c r="K394">
        <f t="shared" si="18"/>
        <v>4418.10009765625</v>
      </c>
      <c r="L394" s="5">
        <f t="shared" si="19"/>
        <v>-0.19592846985428924</v>
      </c>
    </row>
    <row r="395" spans="1:12" x14ac:dyDescent="0.3">
      <c r="A395" s="2">
        <v>45587</v>
      </c>
      <c r="B395">
        <v>3479.449462890625</v>
      </c>
      <c r="C395">
        <f t="shared" si="20"/>
        <v>-1.6088185197334376E-2</v>
      </c>
      <c r="K395">
        <f t="shared" si="18"/>
        <v>4418.10009765625</v>
      </c>
      <c r="L395" s="5">
        <f t="shared" si="19"/>
        <v>-0.2124557194309763</v>
      </c>
    </row>
    <row r="396" spans="1:12" x14ac:dyDescent="0.3">
      <c r="A396" s="2">
        <v>45588</v>
      </c>
      <c r="B396">
        <v>3423.471435546875</v>
      </c>
      <c r="C396">
        <f t="shared" si="20"/>
        <v>-3.6898453268698343E-3</v>
      </c>
      <c r="K396">
        <f t="shared" si="18"/>
        <v>4418.10009765625</v>
      </c>
      <c r="L396" s="5">
        <f t="shared" si="19"/>
        <v>-0.22512587766787218</v>
      </c>
    </row>
    <row r="397" spans="1:12" x14ac:dyDescent="0.3">
      <c r="A397" s="2">
        <v>45589</v>
      </c>
      <c r="B397">
        <v>3410.83935546875</v>
      </c>
      <c r="C397">
        <f t="shared" si="20"/>
        <v>-3.3767577199240874E-2</v>
      </c>
      <c r="K397">
        <f t="shared" si="18"/>
        <v>4418.10009765625</v>
      </c>
      <c r="L397" s="5">
        <f t="shared" si="19"/>
        <v>-0.2279850433270717</v>
      </c>
    </row>
    <row r="398" spans="1:12" x14ac:dyDescent="0.3">
      <c r="A398" s="2">
        <v>45590</v>
      </c>
      <c r="B398">
        <v>3295.66357421875</v>
      </c>
      <c r="C398">
        <f t="shared" si="20"/>
        <v>4.3290492255818524E-3</v>
      </c>
      <c r="K398">
        <f t="shared" si="18"/>
        <v>4418.10009765625</v>
      </c>
      <c r="L398" s="5">
        <f t="shared" si="19"/>
        <v>-0.25405411797549349</v>
      </c>
    </row>
    <row r="399" spans="1:12" x14ac:dyDescent="0.3">
      <c r="A399" s="2">
        <v>45593</v>
      </c>
      <c r="B399">
        <v>3309.9306640625</v>
      </c>
      <c r="C399">
        <f t="shared" si="20"/>
        <v>1.2003045404616611E-2</v>
      </c>
      <c r="K399">
        <f t="shared" si="18"/>
        <v>4418.10009765625</v>
      </c>
      <c r="L399" s="5">
        <f t="shared" si="19"/>
        <v>-0.25082488153258931</v>
      </c>
    </row>
    <row r="400" spans="1:12" x14ac:dyDescent="0.3">
      <c r="A400" s="2">
        <v>45594</v>
      </c>
      <c r="B400">
        <v>3349.659912109375</v>
      </c>
      <c r="C400">
        <f t="shared" si="20"/>
        <v>8.1191923707856599E-3</v>
      </c>
      <c r="K400">
        <f t="shared" si="18"/>
        <v>4418.10009765625</v>
      </c>
      <c r="L400" s="5">
        <f t="shared" si="19"/>
        <v>-0.24183249856961586</v>
      </c>
    </row>
    <row r="401" spans="1:12" x14ac:dyDescent="0.3">
      <c r="A401" s="2">
        <v>45595</v>
      </c>
      <c r="B401">
        <v>3376.8564453125</v>
      </c>
      <c r="C401">
        <f t="shared" si="20"/>
        <v>6.2772256926962339E-2</v>
      </c>
      <c r="K401">
        <f t="shared" si="18"/>
        <v>4418.10009765625</v>
      </c>
      <c r="L401" s="5">
        <f t="shared" si="19"/>
        <v>-0.23567679077622472</v>
      </c>
    </row>
    <row r="402" spans="1:12" x14ac:dyDescent="0.3">
      <c r="A402" s="2">
        <v>45596</v>
      </c>
      <c r="B402">
        <v>3588.829345703125</v>
      </c>
      <c r="C402">
        <f t="shared" si="20"/>
        <v>1.1181070276591351E-3</v>
      </c>
      <c r="K402">
        <f t="shared" si="18"/>
        <v>4418.10009765625</v>
      </c>
      <c r="L402" s="5">
        <f t="shared" si="19"/>
        <v>-0.18769849791158955</v>
      </c>
    </row>
    <row r="403" spans="1:12" x14ac:dyDescent="0.3">
      <c r="A403" s="2">
        <v>45597</v>
      </c>
      <c r="B403">
        <v>3592.842041015625</v>
      </c>
      <c r="C403">
        <f t="shared" si="20"/>
        <v>-1.4311971890180679E-2</v>
      </c>
      <c r="K403">
        <f t="shared" si="18"/>
        <v>4418.10009765625</v>
      </c>
      <c r="L403" s="5">
        <f t="shared" si="19"/>
        <v>-0.18679025789352632</v>
      </c>
    </row>
    <row r="404" spans="1:12" x14ac:dyDescent="0.3">
      <c r="A404" s="2">
        <v>45600</v>
      </c>
      <c r="B404">
        <v>3541.42138671875</v>
      </c>
      <c r="C404">
        <f t="shared" si="20"/>
        <v>9.7961747626547482E-5</v>
      </c>
      <c r="K404">
        <f t="shared" si="18"/>
        <v>4418.10009765625</v>
      </c>
      <c r="L404" s="5">
        <f t="shared" si="19"/>
        <v>-0.19842889286337528</v>
      </c>
    </row>
    <row r="405" spans="1:12" x14ac:dyDescent="0.3">
      <c r="A405" s="2">
        <v>45601</v>
      </c>
      <c r="B405">
        <v>3541.768310546875</v>
      </c>
      <c r="C405">
        <f t="shared" si="20"/>
        <v>1.9763311480329986E-2</v>
      </c>
      <c r="K405">
        <f t="shared" si="18"/>
        <v>4418.10009765625</v>
      </c>
      <c r="L405" s="5">
        <f t="shared" si="19"/>
        <v>-0.19835036955687324</v>
      </c>
    </row>
    <row r="406" spans="1:12" x14ac:dyDescent="0.3">
      <c r="A406" s="2">
        <v>45602</v>
      </c>
      <c r="B406">
        <v>3611.765380859375</v>
      </c>
      <c r="C406">
        <f t="shared" si="20"/>
        <v>3.0181580907828157E-4</v>
      </c>
      <c r="K406">
        <f t="shared" si="18"/>
        <v>4418.10009765625</v>
      </c>
      <c r="L406" s="5">
        <f t="shared" si="19"/>
        <v>-0.18250711821233434</v>
      </c>
    </row>
    <row r="407" spans="1:12" x14ac:dyDescent="0.3">
      <c r="A407" s="2">
        <v>45603</v>
      </c>
      <c r="B407">
        <v>3612.85546875</v>
      </c>
      <c r="C407">
        <f t="shared" si="20"/>
        <v>3.7706470275956842E-3</v>
      </c>
      <c r="K407">
        <f t="shared" si="18"/>
        <v>4418.10009765625</v>
      </c>
      <c r="L407" s="5">
        <f t="shared" si="19"/>
        <v>-0.18226038593680183</v>
      </c>
    </row>
    <row r="408" spans="1:12" x14ac:dyDescent="0.3">
      <c r="A408" s="2">
        <v>45604</v>
      </c>
      <c r="B408">
        <v>3626.478271484375</v>
      </c>
      <c r="C408">
        <f t="shared" si="20"/>
        <v>-8.5921319128009158E-3</v>
      </c>
      <c r="K408">
        <f t="shared" si="18"/>
        <v>4418.10009765625</v>
      </c>
      <c r="L408" s="5">
        <f t="shared" si="19"/>
        <v>-0.17917697849168723</v>
      </c>
    </row>
    <row r="409" spans="1:12" x14ac:dyDescent="0.3">
      <c r="A409" s="2">
        <v>45607</v>
      </c>
      <c r="B409">
        <v>3595.319091796875</v>
      </c>
      <c r="C409">
        <f t="shared" si="20"/>
        <v>-1.0333871209900406E-2</v>
      </c>
      <c r="K409">
        <f t="shared" si="18"/>
        <v>4418.10009765625</v>
      </c>
      <c r="L409" s="5">
        <f t="shared" si="19"/>
        <v>-0.18622959816955043</v>
      </c>
    </row>
    <row r="410" spans="1:12" x14ac:dyDescent="0.3">
      <c r="A410" s="2">
        <v>45608</v>
      </c>
      <c r="B410">
        <v>3558.16552734375</v>
      </c>
      <c r="C410">
        <f t="shared" si="20"/>
        <v>-1.2084673196815807E-2</v>
      </c>
      <c r="K410">
        <f t="shared" si="18"/>
        <v>4418.10009765625</v>
      </c>
      <c r="L410" s="5">
        <f t="shared" si="19"/>
        <v>-0.1946389966964952</v>
      </c>
    </row>
    <row r="411" spans="1:12" x14ac:dyDescent="0.3">
      <c r="A411" s="2">
        <v>45609</v>
      </c>
      <c r="B411">
        <v>3515.166259765625</v>
      </c>
      <c r="C411">
        <f t="shared" si="20"/>
        <v>-6.1161452942366575E-3</v>
      </c>
      <c r="K411">
        <f t="shared" si="18"/>
        <v>4418.10009765625</v>
      </c>
      <c r="L411" s="5">
        <f t="shared" si="19"/>
        <v>-0.20437152122687774</v>
      </c>
    </row>
    <row r="412" spans="1:12" x14ac:dyDescent="0.3">
      <c r="A412" s="2">
        <v>45610</v>
      </c>
      <c r="B412">
        <v>3493.6669921875</v>
      </c>
      <c r="C412">
        <f t="shared" si="20"/>
        <v>4.508995769409772E-3</v>
      </c>
      <c r="K412">
        <f t="shared" si="18"/>
        <v>4418.10009765625</v>
      </c>
      <c r="L412" s="5">
        <f t="shared" si="19"/>
        <v>-0.20923770060328661</v>
      </c>
    </row>
    <row r="413" spans="1:12" x14ac:dyDescent="0.3">
      <c r="A413" s="2">
        <v>45614</v>
      </c>
      <c r="B413">
        <v>3509.419921875</v>
      </c>
      <c r="C413">
        <f t="shared" si="20"/>
        <v>-1.0233896160055832E-2</v>
      </c>
      <c r="K413">
        <f t="shared" si="18"/>
        <v>4418.10009765625</v>
      </c>
      <c r="L413" s="5">
        <f t="shared" si="19"/>
        <v>-0.20567215674069816</v>
      </c>
    </row>
    <row r="414" spans="1:12" x14ac:dyDescent="0.3">
      <c r="A414" s="2">
        <v>45615</v>
      </c>
      <c r="B414">
        <v>3473.5048828125</v>
      </c>
      <c r="C414">
        <f t="shared" si="20"/>
        <v>-6.3891866695118659E-3</v>
      </c>
      <c r="K414">
        <f t="shared" si="18"/>
        <v>4418.10009765625</v>
      </c>
      <c r="L414" s="5">
        <f t="shared" si="19"/>
        <v>-0.21380122540565494</v>
      </c>
    </row>
    <row r="415" spans="1:12" x14ac:dyDescent="0.3">
      <c r="A415" s="2">
        <v>45617</v>
      </c>
      <c r="B415">
        <v>3451.31201171875</v>
      </c>
      <c r="C415">
        <f t="shared" si="20"/>
        <v>3.4448091878555583E-2</v>
      </c>
      <c r="K415">
        <f t="shared" si="18"/>
        <v>4418.10009765625</v>
      </c>
      <c r="L415" s="5">
        <f t="shared" si="19"/>
        <v>-0.21882439613587967</v>
      </c>
    </row>
    <row r="416" spans="1:12" x14ac:dyDescent="0.3">
      <c r="A416" s="2">
        <v>45618</v>
      </c>
      <c r="B416">
        <v>3570.203125</v>
      </c>
      <c r="C416">
        <f t="shared" si="20"/>
        <v>4.1487458040290075E-2</v>
      </c>
      <c r="K416">
        <f t="shared" si="18"/>
        <v>4418.10009765625</v>
      </c>
      <c r="L416" s="5">
        <f t="shared" si="19"/>
        <v>-0.19191438716068232</v>
      </c>
    </row>
    <row r="417" spans="1:12" x14ac:dyDescent="0.3">
      <c r="A417" s="2">
        <v>45621</v>
      </c>
      <c r="B417">
        <v>3718.32177734375</v>
      </c>
      <c r="C417">
        <f t="shared" si="20"/>
        <v>-1.3429264373011441E-2</v>
      </c>
      <c r="K417">
        <f t="shared" si="18"/>
        <v>4418.10009765625</v>
      </c>
      <c r="L417" s="5">
        <f t="shared" si="19"/>
        <v>-0.15838896920504908</v>
      </c>
    </row>
    <row r="418" spans="1:12" x14ac:dyDescent="0.3">
      <c r="A418" s="2">
        <v>45622</v>
      </c>
      <c r="B418">
        <v>3668.387451171875</v>
      </c>
      <c r="C418">
        <f t="shared" si="20"/>
        <v>-1.0533275787541559E-3</v>
      </c>
      <c r="K418">
        <f t="shared" si="18"/>
        <v>4418.10009765625</v>
      </c>
      <c r="L418" s="5">
        <f t="shared" si="19"/>
        <v>-0.1696911862368371</v>
      </c>
    </row>
    <row r="419" spans="1:12" x14ac:dyDescent="0.3">
      <c r="A419" s="2">
        <v>45623</v>
      </c>
      <c r="B419">
        <v>3664.5234375</v>
      </c>
      <c r="C419">
        <f t="shared" si="20"/>
        <v>-8.8273809904510954E-3</v>
      </c>
      <c r="K419">
        <f t="shared" si="18"/>
        <v>4418.10009765625</v>
      </c>
      <c r="L419" s="5">
        <f t="shared" si="19"/>
        <v>-0.17056577340925649</v>
      </c>
    </row>
    <row r="420" spans="1:12" x14ac:dyDescent="0.3">
      <c r="A420" s="2">
        <v>45624</v>
      </c>
      <c r="B420">
        <v>3632.17529296875</v>
      </c>
      <c r="C420">
        <f t="shared" si="20"/>
        <v>1.6025391550534066E-2</v>
      </c>
      <c r="K420">
        <f t="shared" si="18"/>
        <v>4418.10009765625</v>
      </c>
      <c r="L420" s="5">
        <f t="shared" si="19"/>
        <v>-0.17788750533389319</v>
      </c>
    </row>
    <row r="421" spans="1:12" x14ac:dyDescent="0.3">
      <c r="A421" s="2">
        <v>45625</v>
      </c>
      <c r="B421">
        <v>3690.38232421875</v>
      </c>
      <c r="C421">
        <f t="shared" si="20"/>
        <v>-5.5707912631321145E-3</v>
      </c>
      <c r="K421">
        <f t="shared" si="18"/>
        <v>4418.10009765625</v>
      </c>
      <c r="L421" s="5">
        <f t="shared" si="19"/>
        <v>-0.16471283070828246</v>
      </c>
    </row>
    <row r="422" spans="1:12" x14ac:dyDescent="0.3">
      <c r="A422" s="2">
        <v>45628</v>
      </c>
      <c r="B422">
        <v>3669.823974609375</v>
      </c>
      <c r="C422">
        <f t="shared" si="20"/>
        <v>2.2407928790543177E-2</v>
      </c>
      <c r="K422">
        <f t="shared" si="18"/>
        <v>4418.10009765625</v>
      </c>
      <c r="L422" s="5">
        <f t="shared" si="19"/>
        <v>-0.1693660411731791</v>
      </c>
    </row>
    <row r="423" spans="1:12" x14ac:dyDescent="0.3">
      <c r="A423" s="2">
        <v>45629</v>
      </c>
      <c r="B423">
        <v>3752.05712890625</v>
      </c>
      <c r="C423">
        <f t="shared" si="20"/>
        <v>7.5251688103908625E-4</v>
      </c>
      <c r="K423">
        <f t="shared" si="18"/>
        <v>4418.10009765625</v>
      </c>
      <c r="L423" s="5">
        <f t="shared" si="19"/>
        <v>-0.15075325457278077</v>
      </c>
    </row>
    <row r="424" spans="1:12" x14ac:dyDescent="0.3">
      <c r="A424" s="2">
        <v>45630</v>
      </c>
      <c r="B424">
        <v>3754.880615234375</v>
      </c>
      <c r="C424">
        <f t="shared" si="20"/>
        <v>1.0989798368542608E-2</v>
      </c>
      <c r="K424">
        <f t="shared" si="18"/>
        <v>4418.10009765625</v>
      </c>
      <c r="L424" s="5">
        <f t="shared" si="19"/>
        <v>-0.15011418206067928</v>
      </c>
    </row>
    <row r="425" spans="1:12" x14ac:dyDescent="0.3">
      <c r="A425" s="2">
        <v>45631</v>
      </c>
      <c r="B425">
        <v>3796.14599609375</v>
      </c>
      <c r="C425">
        <f t="shared" si="20"/>
        <v>9.1737649731359165E-3</v>
      </c>
      <c r="K425">
        <f t="shared" si="18"/>
        <v>4418.10009765625</v>
      </c>
      <c r="L425" s="5">
        <f t="shared" si="19"/>
        <v>-0.14077410828524217</v>
      </c>
    </row>
    <row r="426" spans="1:12" x14ac:dyDescent="0.3">
      <c r="A426" s="2">
        <v>45632</v>
      </c>
      <c r="B426">
        <v>3830.970947265625</v>
      </c>
      <c r="C426">
        <f t="shared" si="20"/>
        <v>2.0844707477355642E-2</v>
      </c>
      <c r="K426">
        <f t="shared" si="18"/>
        <v>4418.10009765625</v>
      </c>
      <c r="L426" s="5">
        <f t="shared" si="19"/>
        <v>-0.13289177189581791</v>
      </c>
    </row>
    <row r="427" spans="1:12" x14ac:dyDescent="0.3">
      <c r="A427" s="2">
        <v>45635</v>
      </c>
      <c r="B427">
        <v>3910.826416015625</v>
      </c>
      <c r="C427">
        <f t="shared" si="20"/>
        <v>-6.1181447110869175E-3</v>
      </c>
      <c r="K427">
        <f t="shared" si="18"/>
        <v>4418.10009765625</v>
      </c>
      <c r="L427" s="5">
        <f t="shared" si="19"/>
        <v>-0.11481715452977803</v>
      </c>
    </row>
    <row r="428" spans="1:12" x14ac:dyDescent="0.3">
      <c r="A428" s="2">
        <v>45636</v>
      </c>
      <c r="B428">
        <v>3886.8994140625</v>
      </c>
      <c r="C428">
        <f t="shared" si="20"/>
        <v>-1.6313312069665103E-3</v>
      </c>
      <c r="K428">
        <f t="shared" si="18"/>
        <v>4418.10009765625</v>
      </c>
      <c r="L428" s="5">
        <f t="shared" si="19"/>
        <v>-0.12023283127413653</v>
      </c>
    </row>
    <row r="429" spans="1:12" x14ac:dyDescent="0.3">
      <c r="A429" s="2">
        <v>45637</v>
      </c>
      <c r="B429">
        <v>3880.55859375</v>
      </c>
      <c r="C429">
        <f t="shared" si="20"/>
        <v>-1.4514587441603426E-2</v>
      </c>
      <c r="K429">
        <f t="shared" si="18"/>
        <v>4418.10009765625</v>
      </c>
      <c r="L429" s="5">
        <f t="shared" si="19"/>
        <v>-0.1216680229113436</v>
      </c>
    </row>
    <row r="430" spans="1:12" x14ac:dyDescent="0.3">
      <c r="A430" s="2">
        <v>45638</v>
      </c>
      <c r="B430">
        <v>3824.23388671875</v>
      </c>
      <c r="C430">
        <f t="shared" si="20"/>
        <v>7.0209119448071643E-3</v>
      </c>
      <c r="K430">
        <f t="shared" si="18"/>
        <v>4418.10009765625</v>
      </c>
      <c r="L430" s="5">
        <f t="shared" si="19"/>
        <v>-0.13441664919555329</v>
      </c>
    </row>
    <row r="431" spans="1:12" x14ac:dyDescent="0.3">
      <c r="A431" s="2">
        <v>45639</v>
      </c>
      <c r="B431">
        <v>3851.08349609375</v>
      </c>
      <c r="C431">
        <f t="shared" si="20"/>
        <v>-2.3539945827441267E-3</v>
      </c>
      <c r="K431">
        <f t="shared" si="18"/>
        <v>4418.10009765625</v>
      </c>
      <c r="L431" s="5">
        <f t="shared" si="19"/>
        <v>-0.1283394647086642</v>
      </c>
    </row>
    <row r="432" spans="1:12" x14ac:dyDescent="0.3">
      <c r="A432" s="2">
        <v>45642</v>
      </c>
      <c r="B432">
        <v>3842.01806640625</v>
      </c>
      <c r="C432">
        <f t="shared" si="20"/>
        <v>-1.8218892582824095E-2</v>
      </c>
      <c r="K432">
        <f t="shared" si="18"/>
        <v>4418.10009765625</v>
      </c>
      <c r="L432" s="5">
        <f t="shared" si="19"/>
        <v>-0.13039134888673176</v>
      </c>
    </row>
    <row r="433" spans="1:12" x14ac:dyDescent="0.3">
      <c r="A433" s="2">
        <v>45643</v>
      </c>
      <c r="B433">
        <v>3772.020751953125</v>
      </c>
      <c r="C433">
        <f t="shared" si="20"/>
        <v>-1.2883460320926653E-2</v>
      </c>
      <c r="K433">
        <f t="shared" si="18"/>
        <v>4418.10009765625</v>
      </c>
      <c r="L433" s="5">
        <f t="shared" si="19"/>
        <v>-0.146234655490459</v>
      </c>
    </row>
    <row r="434" spans="1:12" x14ac:dyDescent="0.3">
      <c r="A434" s="2">
        <v>45644</v>
      </c>
      <c r="B434">
        <v>3723.424072265625</v>
      </c>
      <c r="C434">
        <f t="shared" si="20"/>
        <v>-1.1122443593579367E-2</v>
      </c>
      <c r="K434">
        <f t="shared" si="18"/>
        <v>4418.10009765625</v>
      </c>
      <c r="L434" s="5">
        <f t="shared" si="19"/>
        <v>-0.15723410742982991</v>
      </c>
    </row>
    <row r="435" spans="1:12" x14ac:dyDescent="0.3">
      <c r="A435" s="2">
        <v>45645</v>
      </c>
      <c r="B435">
        <v>3682.010498046875</v>
      </c>
      <c r="C435">
        <f t="shared" si="20"/>
        <v>-2.3275513103292341E-2</v>
      </c>
      <c r="K435">
        <f t="shared" si="18"/>
        <v>4418.10009765625</v>
      </c>
      <c r="L435" s="5">
        <f t="shared" si="19"/>
        <v>-0.16660772353253428</v>
      </c>
    </row>
    <row r="436" spans="1:12" x14ac:dyDescent="0.3">
      <c r="A436" s="2">
        <v>45646</v>
      </c>
      <c r="B436">
        <v>3596.309814453125</v>
      </c>
      <c r="C436">
        <f t="shared" si="20"/>
        <v>2.9339835042770145E-3</v>
      </c>
      <c r="K436">
        <f t="shared" si="18"/>
        <v>4418.10009765625</v>
      </c>
      <c r="L436" s="5">
        <f t="shared" si="19"/>
        <v>-0.18600535638363536</v>
      </c>
    </row>
    <row r="437" spans="1:12" x14ac:dyDescent="0.3">
      <c r="A437" s="2">
        <v>45649</v>
      </c>
      <c r="B437">
        <v>3606.861328125</v>
      </c>
      <c r="C437">
        <f t="shared" si="20"/>
        <v>-2.0604176176807116E-4</v>
      </c>
      <c r="K437">
        <f t="shared" si="18"/>
        <v>4418.10009765625</v>
      </c>
      <c r="L437" s="5">
        <f t="shared" si="19"/>
        <v>-0.18361710952669508</v>
      </c>
    </row>
    <row r="438" spans="1:12" x14ac:dyDescent="0.3">
      <c r="A438" s="2">
        <v>45650</v>
      </c>
      <c r="B438">
        <v>3606.1181640625</v>
      </c>
      <c r="C438">
        <f t="shared" si="20"/>
        <v>-2.8161233147333971E-3</v>
      </c>
      <c r="K438">
        <f t="shared" si="18"/>
        <v>4418.10009765625</v>
      </c>
      <c r="L438" s="5">
        <f t="shared" si="19"/>
        <v>-0.18378531849572555</v>
      </c>
    </row>
    <row r="439" spans="1:12" x14ac:dyDescent="0.3">
      <c r="A439" s="2">
        <v>45652</v>
      </c>
      <c r="B439">
        <v>3595.962890625</v>
      </c>
      <c r="C439">
        <f t="shared" si="20"/>
        <v>-5.896097674638388E-3</v>
      </c>
      <c r="K439">
        <f t="shared" si="18"/>
        <v>4418.10009765625</v>
      </c>
      <c r="L439" s="5">
        <f t="shared" si="19"/>
        <v>-0.1860838796901374</v>
      </c>
    </row>
    <row r="440" spans="1:12" x14ac:dyDescent="0.3">
      <c r="A440" s="2">
        <v>45653</v>
      </c>
      <c r="B440">
        <v>3574.7607421875</v>
      </c>
      <c r="C440">
        <f t="shared" si="20"/>
        <v>-8.079102759007856E-3</v>
      </c>
      <c r="K440">
        <f t="shared" si="18"/>
        <v>4418.10009765625</v>
      </c>
      <c r="L440" s="5">
        <f t="shared" si="19"/>
        <v>-0.19088280863444707</v>
      </c>
    </row>
    <row r="441" spans="1:12" x14ac:dyDescent="0.3">
      <c r="A441" s="2">
        <v>45656</v>
      </c>
      <c r="B441">
        <v>3545.8798828125</v>
      </c>
      <c r="C441">
        <f t="shared" si="20"/>
        <v>8.0191138427879415E-3</v>
      </c>
      <c r="K441">
        <f t="shared" si="18"/>
        <v>4418.10009765625</v>
      </c>
      <c r="L441" s="5">
        <f t="shared" si="19"/>
        <v>-0.19741974956756925</v>
      </c>
    </row>
    <row r="442" spans="1:12" x14ac:dyDescent="0.3">
      <c r="A442" s="2">
        <v>45657</v>
      </c>
      <c r="B442">
        <v>3574.314697265625</v>
      </c>
      <c r="C442">
        <f t="shared" si="20"/>
        <v>1.65897868998462E-2</v>
      </c>
      <c r="K442">
        <f t="shared" si="18"/>
        <v>4418.10009765625</v>
      </c>
      <c r="L442" s="5">
        <f t="shared" si="19"/>
        <v>-0.19098376717137833</v>
      </c>
    </row>
    <row r="443" spans="1:12" x14ac:dyDescent="0.3">
      <c r="A443" s="2">
        <v>45658</v>
      </c>
      <c r="B443">
        <v>3633.61181640625</v>
      </c>
      <c r="C443">
        <f t="shared" si="20"/>
        <v>1.2542603193356516E-2</v>
      </c>
      <c r="K443">
        <f t="shared" si="18"/>
        <v>4418.10009765625</v>
      </c>
      <c r="L443" s="5">
        <f t="shared" si="19"/>
        <v>-0.17756236027023509</v>
      </c>
    </row>
    <row r="444" spans="1:12" x14ac:dyDescent="0.3">
      <c r="A444" s="2">
        <v>45659</v>
      </c>
      <c r="B444">
        <v>3679.186767578125</v>
      </c>
      <c r="C444">
        <f t="shared" si="20"/>
        <v>-1.4433890917613591E-2</v>
      </c>
      <c r="K444">
        <f t="shared" si="18"/>
        <v>4418.10009765625</v>
      </c>
      <c r="L444" s="5">
        <f t="shared" si="19"/>
        <v>-0.167246851303824</v>
      </c>
    </row>
    <row r="445" spans="1:12" x14ac:dyDescent="0.3">
      <c r="A445" s="2">
        <v>45660</v>
      </c>
      <c r="B445">
        <v>3626.081787109375</v>
      </c>
      <c r="C445">
        <f t="shared" si="20"/>
        <v>-1.5492211342372168E-2</v>
      </c>
      <c r="K445">
        <f t="shared" si="18"/>
        <v>4418.10009765625</v>
      </c>
      <c r="L445" s="5">
        <f t="shared" si="19"/>
        <v>-0.17926671941340377</v>
      </c>
    </row>
    <row r="446" spans="1:12" x14ac:dyDescent="0.3">
      <c r="A446" s="2">
        <v>45663</v>
      </c>
      <c r="B446">
        <v>3569.90576171875</v>
      </c>
      <c r="C446">
        <f t="shared" si="20"/>
        <v>1.1129071460137622E-2</v>
      </c>
      <c r="K446">
        <f t="shared" si="18"/>
        <v>4418.10009765625</v>
      </c>
      <c r="L446" s="5">
        <f t="shared" si="19"/>
        <v>-0.19198169285196975</v>
      </c>
    </row>
    <row r="447" spans="1:12" x14ac:dyDescent="0.3">
      <c r="A447" s="2">
        <v>45664</v>
      </c>
      <c r="B447">
        <v>3609.635498046875</v>
      </c>
      <c r="C447">
        <f t="shared" si="20"/>
        <v>-1.2886651105470133E-2</v>
      </c>
      <c r="K447">
        <f t="shared" si="18"/>
        <v>4418.10009765625</v>
      </c>
      <c r="L447" s="5">
        <f t="shared" si="19"/>
        <v>-0.18298919937061997</v>
      </c>
    </row>
    <row r="448" spans="1:12" x14ac:dyDescent="0.3">
      <c r="A448" s="2">
        <v>45665</v>
      </c>
      <c r="B448">
        <v>3563.119384765625</v>
      </c>
      <c r="C448">
        <f t="shared" si="20"/>
        <v>-1.9033286222098034E-2</v>
      </c>
      <c r="K448">
        <f t="shared" si="18"/>
        <v>4418.10009765625</v>
      </c>
      <c r="L448" s="5">
        <f t="shared" si="19"/>
        <v>-0.19351773250773163</v>
      </c>
    </row>
    <row r="449" spans="1:12" x14ac:dyDescent="0.3">
      <c r="A449" s="2">
        <v>45666</v>
      </c>
      <c r="B449">
        <v>3495.301513671875</v>
      </c>
      <c r="C449">
        <f t="shared" si="20"/>
        <v>2.3385187495350728E-3</v>
      </c>
      <c r="K449">
        <f t="shared" si="18"/>
        <v>4418.10009765625</v>
      </c>
      <c r="L449" s="5">
        <f t="shared" si="19"/>
        <v>-0.20886774033795852</v>
      </c>
    </row>
    <row r="450" spans="1:12" x14ac:dyDescent="0.3">
      <c r="A450" s="2">
        <v>45667</v>
      </c>
      <c r="B450">
        <v>3503.475341796875</v>
      </c>
      <c r="C450">
        <f t="shared" si="20"/>
        <v>-2.0318691645119402E-2</v>
      </c>
      <c r="K450">
        <f t="shared" ref="K450:K513" si="21">MAX(B450:B1189)</f>
        <v>4418.10009765625</v>
      </c>
      <c r="L450" s="5">
        <f t="shared" ref="L450:L513" si="22">B450/K450-1</f>
        <v>-0.2070176627153768</v>
      </c>
    </row>
    <row r="451" spans="1:12" x14ac:dyDescent="0.3">
      <c r="A451" s="2">
        <v>45670</v>
      </c>
      <c r="B451">
        <v>3432.289306640625</v>
      </c>
      <c r="C451">
        <f t="shared" ref="C451:C514" si="23">(B452-B451)/B451</f>
        <v>-4.9065853160796223E-4</v>
      </c>
      <c r="K451">
        <f t="shared" si="21"/>
        <v>4418.10009765625</v>
      </c>
      <c r="L451" s="5">
        <f t="shared" si="22"/>
        <v>-0.22313002630668921</v>
      </c>
    </row>
    <row r="452" spans="1:12" x14ac:dyDescent="0.3">
      <c r="A452" s="2">
        <v>45671</v>
      </c>
      <c r="B452">
        <v>3430.605224609375</v>
      </c>
      <c r="C452">
        <f t="shared" si="23"/>
        <v>1.1205358702778776E-2</v>
      </c>
      <c r="K452">
        <f t="shared" si="21"/>
        <v>4418.10009765625</v>
      </c>
      <c r="L452" s="5">
        <f t="shared" si="22"/>
        <v>-0.2235112041872318</v>
      </c>
    </row>
    <row r="453" spans="1:12" x14ac:dyDescent="0.3">
      <c r="A453" s="2">
        <v>45672</v>
      </c>
      <c r="B453">
        <v>3469.04638671875</v>
      </c>
      <c r="C453">
        <f t="shared" si="23"/>
        <v>1.8564010648301869E-3</v>
      </c>
      <c r="K453">
        <f t="shared" si="21"/>
        <v>4418.10009765625</v>
      </c>
      <c r="L453" s="5">
        <f t="shared" si="22"/>
        <v>-0.21481036870146097</v>
      </c>
    </row>
    <row r="454" spans="1:12" x14ac:dyDescent="0.3">
      <c r="A454" s="2">
        <v>45673</v>
      </c>
      <c r="B454">
        <v>3475.486328125</v>
      </c>
      <c r="C454">
        <f t="shared" si="23"/>
        <v>1.7318071492917191E-2</v>
      </c>
      <c r="K454">
        <f t="shared" si="21"/>
        <v>4418.10009765625</v>
      </c>
      <c r="L454" s="5">
        <f t="shared" si="22"/>
        <v>-0.2133527418338248</v>
      </c>
    </row>
    <row r="455" spans="1:12" x14ac:dyDescent="0.3">
      <c r="A455" s="2">
        <v>45674</v>
      </c>
      <c r="B455">
        <v>3535.675048828125</v>
      </c>
      <c r="C455">
        <f t="shared" si="23"/>
        <v>6.823308043536429E-3</v>
      </c>
      <c r="K455">
        <f t="shared" si="21"/>
        <v>4418.10009765625</v>
      </c>
      <c r="L455" s="5">
        <f t="shared" si="22"/>
        <v>-0.19972952837719571</v>
      </c>
    </row>
    <row r="456" spans="1:12" x14ac:dyDescent="0.3">
      <c r="A456" s="2">
        <v>45677</v>
      </c>
      <c r="B456">
        <v>3559.800048828125</v>
      </c>
      <c r="C456">
        <f t="shared" si="23"/>
        <v>-1.4444678158974787E-2</v>
      </c>
      <c r="K456">
        <f t="shared" si="21"/>
        <v>4418.10009765625</v>
      </c>
      <c r="L456" s="5">
        <f t="shared" si="22"/>
        <v>-0.19426903643116711</v>
      </c>
    </row>
    <row r="457" spans="1:12" x14ac:dyDescent="0.3">
      <c r="A457" s="2">
        <v>45678</v>
      </c>
      <c r="B457">
        <v>3508.3798828125</v>
      </c>
      <c r="C457">
        <f t="shared" si="23"/>
        <v>-6.4670079811700839E-3</v>
      </c>
      <c r="K457">
        <f t="shared" si="21"/>
        <v>4418.10009765625</v>
      </c>
      <c r="L457" s="5">
        <f t="shared" si="22"/>
        <v>-0.20590756088263951</v>
      </c>
    </row>
    <row r="458" spans="1:12" x14ac:dyDescent="0.3">
      <c r="A458" s="2">
        <v>45679</v>
      </c>
      <c r="B458">
        <v>3485.691162109375</v>
      </c>
      <c r="C458">
        <f t="shared" si="23"/>
        <v>-4.2493057730225358E-3</v>
      </c>
      <c r="K458">
        <f t="shared" si="21"/>
        <v>4418.10009765625</v>
      </c>
      <c r="L458" s="5">
        <f t="shared" si="22"/>
        <v>-0.21104296302419834</v>
      </c>
    </row>
    <row r="459" spans="1:12" x14ac:dyDescent="0.3">
      <c r="A459" s="2">
        <v>45680</v>
      </c>
      <c r="B459">
        <v>3470.87939453125</v>
      </c>
      <c r="C459">
        <f t="shared" si="23"/>
        <v>-1.2859504462421085E-2</v>
      </c>
      <c r="K459">
        <f t="shared" si="21"/>
        <v>4418.10009765625</v>
      </c>
      <c r="L459" s="5">
        <f t="shared" si="22"/>
        <v>-0.21439548271608633</v>
      </c>
    </row>
    <row r="460" spans="1:12" x14ac:dyDescent="0.3">
      <c r="A460" s="2">
        <v>45681</v>
      </c>
      <c r="B460">
        <v>3426.24560546875</v>
      </c>
      <c r="C460">
        <f t="shared" si="23"/>
        <v>-1.5904343638711458E-4</v>
      </c>
      <c r="K460">
        <f t="shared" si="21"/>
        <v>4418.10009765625</v>
      </c>
      <c r="L460" s="5">
        <f t="shared" si="22"/>
        <v>-0.22449796751179696</v>
      </c>
    </row>
    <row r="461" spans="1:12" x14ac:dyDescent="0.3">
      <c r="A461" s="2">
        <v>45684</v>
      </c>
      <c r="B461">
        <v>3425.70068359375</v>
      </c>
      <c r="C461">
        <f t="shared" si="23"/>
        <v>-1.2653091185867398E-2</v>
      </c>
      <c r="K461">
        <f t="shared" si="21"/>
        <v>4418.10009765625</v>
      </c>
      <c r="L461" s="5">
        <f t="shared" si="22"/>
        <v>-0.2246213060199691</v>
      </c>
    </row>
    <row r="462" spans="1:12" x14ac:dyDescent="0.3">
      <c r="A462" s="2">
        <v>45685</v>
      </c>
      <c r="B462">
        <v>3382.35498046875</v>
      </c>
      <c r="C462">
        <f t="shared" si="23"/>
        <v>1.0486551082327388E-2</v>
      </c>
      <c r="K462">
        <f t="shared" si="21"/>
        <v>4418.10009765625</v>
      </c>
      <c r="L462" s="5">
        <f t="shared" si="22"/>
        <v>-0.23443224333847723</v>
      </c>
    </row>
    <row r="463" spans="1:12" x14ac:dyDescent="0.3">
      <c r="A463" s="2">
        <v>45686</v>
      </c>
      <c r="B463">
        <v>3417.82421875</v>
      </c>
      <c r="C463">
        <f t="shared" si="23"/>
        <v>-8.3340666976775019E-3</v>
      </c>
      <c r="K463">
        <f t="shared" si="21"/>
        <v>4418.10009765625</v>
      </c>
      <c r="L463" s="5">
        <f t="shared" si="22"/>
        <v>-0.22640407795126338</v>
      </c>
    </row>
    <row r="464" spans="1:12" x14ac:dyDescent="0.3">
      <c r="A464" s="2">
        <v>45687</v>
      </c>
      <c r="B464">
        <v>3389.33984375</v>
      </c>
      <c r="C464">
        <f t="shared" si="23"/>
        <v>4.2809717047129617E-2</v>
      </c>
      <c r="K464">
        <f t="shared" si="21"/>
        <v>4418.10009765625</v>
      </c>
      <c r="L464" s="5">
        <f t="shared" si="22"/>
        <v>-0.23285127796266891</v>
      </c>
    </row>
    <row r="465" spans="1:12" x14ac:dyDescent="0.3">
      <c r="A465" s="2">
        <v>45688</v>
      </c>
      <c r="B465">
        <v>3534.4365234375</v>
      </c>
      <c r="C465">
        <f t="shared" si="23"/>
        <v>-3.3609881348771839E-2</v>
      </c>
      <c r="K465">
        <f t="shared" si="21"/>
        <v>4418.10009765625</v>
      </c>
      <c r="L465" s="5">
        <f t="shared" si="22"/>
        <v>-0.2000098582391836</v>
      </c>
    </row>
    <row r="466" spans="1:12" x14ac:dyDescent="0.3">
      <c r="A466" s="2">
        <v>45689</v>
      </c>
      <c r="B466">
        <v>3415.64453125</v>
      </c>
      <c r="C466">
        <f t="shared" si="23"/>
        <v>-4.5917366666476063E-2</v>
      </c>
      <c r="K466">
        <f t="shared" si="21"/>
        <v>4418.10009765625</v>
      </c>
      <c r="L466" s="5">
        <f t="shared" si="22"/>
        <v>-0.22689743198395185</v>
      </c>
    </row>
    <row r="467" spans="1:12" x14ac:dyDescent="0.3">
      <c r="A467" s="2">
        <v>45691</v>
      </c>
      <c r="B467">
        <v>3258.80712890625</v>
      </c>
      <c r="C467">
        <f t="shared" si="23"/>
        <v>4.5588599523796465E-2</v>
      </c>
      <c r="K467">
        <f t="shared" si="21"/>
        <v>4418.10009765625</v>
      </c>
      <c r="L467" s="5">
        <f t="shared" si="22"/>
        <v>-0.26239626607033895</v>
      </c>
    </row>
    <row r="468" spans="1:12" x14ac:dyDescent="0.3">
      <c r="A468" s="2">
        <v>45692</v>
      </c>
      <c r="B468">
        <v>3407.37158203125</v>
      </c>
      <c r="C468">
        <f t="shared" si="23"/>
        <v>-1.6268510784221424E-2</v>
      </c>
      <c r="K468">
        <f t="shared" si="21"/>
        <v>4418.10009765625</v>
      </c>
      <c r="L468" s="5">
        <f t="shared" si="22"/>
        <v>-0.22876994483696278</v>
      </c>
    </row>
    <row r="469" spans="1:12" x14ac:dyDescent="0.3">
      <c r="A469" s="2">
        <v>45693</v>
      </c>
      <c r="B469">
        <v>3351.938720703125</v>
      </c>
      <c r="C469">
        <f t="shared" si="23"/>
        <v>-9.0003737197041044E-3</v>
      </c>
      <c r="K469">
        <f t="shared" si="21"/>
        <v>4418.10009765625</v>
      </c>
      <c r="L469" s="5">
        <f t="shared" si="22"/>
        <v>-0.24131670930649829</v>
      </c>
    </row>
    <row r="470" spans="1:12" x14ac:dyDescent="0.3">
      <c r="A470" s="2">
        <v>45694</v>
      </c>
      <c r="B470">
        <v>3321.77001953125</v>
      </c>
      <c r="C470">
        <f t="shared" si="23"/>
        <v>-4.7274835972738434E-3</v>
      </c>
      <c r="K470">
        <f t="shared" si="21"/>
        <v>4418.10009765625</v>
      </c>
      <c r="L470" s="5">
        <f t="shared" si="22"/>
        <v>-0.24814514245763475</v>
      </c>
    </row>
    <row r="471" spans="1:12" x14ac:dyDescent="0.3">
      <c r="A471" s="2">
        <v>45695</v>
      </c>
      <c r="B471">
        <v>3306.06640625</v>
      </c>
      <c r="C471">
        <f t="shared" si="23"/>
        <v>-2.4723726388398222E-3</v>
      </c>
      <c r="K471">
        <f t="shared" si="21"/>
        <v>4418.10009765625</v>
      </c>
      <c r="L471" s="5">
        <f t="shared" si="22"/>
        <v>-0.25169952396419693</v>
      </c>
    </row>
    <row r="472" spans="1:12" x14ac:dyDescent="0.3">
      <c r="A472" s="2">
        <v>45698</v>
      </c>
      <c r="B472">
        <v>3297.892578125</v>
      </c>
      <c r="C472">
        <f t="shared" si="23"/>
        <v>-2.6737526509886464E-2</v>
      </c>
      <c r="K472">
        <f t="shared" si="21"/>
        <v>4418.10009765625</v>
      </c>
      <c r="L472" s="5">
        <f t="shared" si="22"/>
        <v>-0.25354960158677864</v>
      </c>
    </row>
    <row r="473" spans="1:12" x14ac:dyDescent="0.3">
      <c r="A473" s="2">
        <v>45699</v>
      </c>
      <c r="B473">
        <v>3209.715087890625</v>
      </c>
      <c r="C473">
        <f t="shared" si="23"/>
        <v>1.5433719330344209E-2</v>
      </c>
      <c r="K473">
        <f t="shared" si="21"/>
        <v>4418.10009765625</v>
      </c>
      <c r="L473" s="5">
        <f t="shared" si="22"/>
        <v>-0.2735078389026675</v>
      </c>
    </row>
    <row r="474" spans="1:12" x14ac:dyDescent="0.3">
      <c r="A474" s="2">
        <v>45700</v>
      </c>
      <c r="B474">
        <v>3259.2529296875</v>
      </c>
      <c r="C474">
        <f t="shared" si="23"/>
        <v>-7.9035048951677546E-3</v>
      </c>
      <c r="K474">
        <f t="shared" si="21"/>
        <v>4418.10009765625</v>
      </c>
      <c r="L474" s="5">
        <f t="shared" si="22"/>
        <v>-0.26229536279259602</v>
      </c>
    </row>
    <row r="475" spans="1:12" x14ac:dyDescent="0.3">
      <c r="A475" s="2">
        <v>45701</v>
      </c>
      <c r="B475">
        <v>3233.493408203125</v>
      </c>
      <c r="C475">
        <f t="shared" si="23"/>
        <v>-7.9665434169896403E-3</v>
      </c>
      <c r="K475">
        <f t="shared" si="21"/>
        <v>4418.10009765625</v>
      </c>
      <c r="L475" s="5">
        <f t="shared" si="22"/>
        <v>-0.26812581500395272</v>
      </c>
    </row>
    <row r="476" spans="1:12" x14ac:dyDescent="0.3">
      <c r="A476" s="2">
        <v>45702</v>
      </c>
      <c r="B476">
        <v>3207.733642578125</v>
      </c>
      <c r="C476">
        <f t="shared" si="23"/>
        <v>-4.8800213290679257E-3</v>
      </c>
      <c r="K476">
        <f t="shared" si="21"/>
        <v>4418.10009765625</v>
      </c>
      <c r="L476" s="5">
        <f t="shared" si="22"/>
        <v>-0.27395632247449764</v>
      </c>
    </row>
    <row r="477" spans="1:12" x14ac:dyDescent="0.3">
      <c r="A477" s="2">
        <v>45705</v>
      </c>
      <c r="B477">
        <v>3192.079833984375</v>
      </c>
      <c r="C477">
        <f t="shared" si="23"/>
        <v>-5.2773439265687422E-4</v>
      </c>
      <c r="K477">
        <f t="shared" si="21"/>
        <v>4418.10009765625</v>
      </c>
      <c r="L477" s="5">
        <f t="shared" si="22"/>
        <v>-0.27749943110665698</v>
      </c>
    </row>
    <row r="478" spans="1:12" x14ac:dyDescent="0.3">
      <c r="A478" s="2">
        <v>45706</v>
      </c>
      <c r="B478">
        <v>3190.395263671875</v>
      </c>
      <c r="C478">
        <f t="shared" si="23"/>
        <v>1.7312858977128542E-2</v>
      </c>
      <c r="K478">
        <f t="shared" si="21"/>
        <v>4418.10009765625</v>
      </c>
      <c r="L478" s="5">
        <f t="shared" si="22"/>
        <v>-0.27788071950557613</v>
      </c>
    </row>
    <row r="479" spans="1:12" x14ac:dyDescent="0.3">
      <c r="A479" s="2">
        <v>45707</v>
      </c>
      <c r="B479">
        <v>3245.630126953125</v>
      </c>
      <c r="C479">
        <f t="shared" si="23"/>
        <v>-3.0464639918111049E-5</v>
      </c>
      <c r="K479">
        <f t="shared" si="21"/>
        <v>4418.10009765625</v>
      </c>
      <c r="L479" s="5">
        <f t="shared" si="22"/>
        <v>-0.26537877023771062</v>
      </c>
    </row>
    <row r="480" spans="1:12" x14ac:dyDescent="0.3">
      <c r="A480" s="2">
        <v>45708</v>
      </c>
      <c r="B480">
        <v>3245.53125</v>
      </c>
      <c r="C480">
        <f t="shared" si="23"/>
        <v>1.1997039799917194E-2</v>
      </c>
      <c r="K480">
        <f t="shared" si="21"/>
        <v>4418.10009765625</v>
      </c>
      <c r="L480" s="5">
        <f t="shared" si="22"/>
        <v>-0.26540115020895161</v>
      </c>
    </row>
    <row r="481" spans="1:12" x14ac:dyDescent="0.3">
      <c r="A481" s="2">
        <v>45709</v>
      </c>
      <c r="B481">
        <v>3284.468017578125</v>
      </c>
      <c r="C481">
        <f t="shared" si="23"/>
        <v>-1.7314715382183588E-2</v>
      </c>
      <c r="K481">
        <f t="shared" si="21"/>
        <v>4418.10009765625</v>
      </c>
      <c r="L481" s="5">
        <f t="shared" si="22"/>
        <v>-0.25658813857103502</v>
      </c>
    </row>
    <row r="482" spans="1:12" x14ac:dyDescent="0.3">
      <c r="A482" s="2">
        <v>45712</v>
      </c>
      <c r="B482">
        <v>3227.598388671875</v>
      </c>
      <c r="C482">
        <f t="shared" si="23"/>
        <v>-9.7615452302956904E-3</v>
      </c>
      <c r="K482">
        <f t="shared" si="21"/>
        <v>4418.10009765625</v>
      </c>
      <c r="L482" s="5">
        <f t="shared" si="22"/>
        <v>-0.26946010336341686</v>
      </c>
    </row>
    <row r="483" spans="1:12" x14ac:dyDescent="0.3">
      <c r="A483" s="2">
        <v>45713</v>
      </c>
      <c r="B483">
        <v>3196.092041015625</v>
      </c>
      <c r="C483">
        <f t="shared" si="23"/>
        <v>-5.0837994673212745E-3</v>
      </c>
      <c r="K483">
        <f t="shared" si="21"/>
        <v>4418.10009765625</v>
      </c>
      <c r="L483" s="5">
        <f t="shared" si="22"/>
        <v>-0.27659130160697032</v>
      </c>
    </row>
    <row r="484" spans="1:12" x14ac:dyDescent="0.3">
      <c r="A484" s="2">
        <v>45715</v>
      </c>
      <c r="B484">
        <v>3179.84375</v>
      </c>
      <c r="C484">
        <f t="shared" si="23"/>
        <v>-1.422334897548032E-2</v>
      </c>
      <c r="K484">
        <f t="shared" si="21"/>
        <v>4418.10009765625</v>
      </c>
      <c r="L484" s="5">
        <f t="shared" si="22"/>
        <v>-0.28026896636251641</v>
      </c>
    </row>
    <row r="485" spans="1:12" x14ac:dyDescent="0.3">
      <c r="A485" s="2">
        <v>45716</v>
      </c>
      <c r="B485">
        <v>3134.61572265625</v>
      </c>
      <c r="C485">
        <f t="shared" si="23"/>
        <v>1.057254607034947E-2</v>
      </c>
      <c r="K485">
        <f t="shared" si="21"/>
        <v>4418.10009765625</v>
      </c>
      <c r="L485" s="5">
        <f t="shared" si="22"/>
        <v>-0.29050595202242546</v>
      </c>
    </row>
    <row r="486" spans="1:12" x14ac:dyDescent="0.3">
      <c r="A486" s="2">
        <v>45719</v>
      </c>
      <c r="B486">
        <v>3167.756591796875</v>
      </c>
      <c r="C486">
        <f t="shared" si="23"/>
        <v>4.9103165124113196E-3</v>
      </c>
      <c r="K486">
        <f t="shared" si="21"/>
        <v>4418.10009765625</v>
      </c>
      <c r="L486" s="5">
        <f t="shared" si="22"/>
        <v>-0.28300479351354391</v>
      </c>
    </row>
    <row r="487" spans="1:12" x14ac:dyDescent="0.3">
      <c r="A487" s="2">
        <v>45720</v>
      </c>
      <c r="B487">
        <v>3183.311279296875</v>
      </c>
      <c r="C487">
        <f t="shared" si="23"/>
        <v>8.2944475978428446E-3</v>
      </c>
      <c r="K487">
        <f t="shared" si="21"/>
        <v>4418.10009765625</v>
      </c>
      <c r="L487" s="5">
        <f t="shared" si="22"/>
        <v>-0.27948412011181367</v>
      </c>
    </row>
    <row r="488" spans="1:12" x14ac:dyDescent="0.3">
      <c r="A488" s="2">
        <v>45721</v>
      </c>
      <c r="B488">
        <v>3209.715087890625</v>
      </c>
      <c r="C488">
        <f t="shared" si="23"/>
        <v>6.2506308476774882E-3</v>
      </c>
      <c r="K488">
        <f t="shared" si="21"/>
        <v>4418.10009765625</v>
      </c>
      <c r="L488" s="5">
        <f t="shared" si="22"/>
        <v>-0.2735078389026675</v>
      </c>
    </row>
    <row r="489" spans="1:12" x14ac:dyDescent="0.3">
      <c r="A489" s="2">
        <v>45722</v>
      </c>
      <c r="B489">
        <v>3229.77783203125</v>
      </c>
      <c r="C489">
        <f t="shared" si="23"/>
        <v>-4.6626507936627926E-3</v>
      </c>
      <c r="K489">
        <f t="shared" si="21"/>
        <v>4418.10009765625</v>
      </c>
      <c r="L489" s="5">
        <f t="shared" si="22"/>
        <v>-0.26896680458991662</v>
      </c>
    </row>
    <row r="490" spans="1:12" x14ac:dyDescent="0.3">
      <c r="A490" s="2">
        <v>45723</v>
      </c>
      <c r="B490">
        <v>3214.718505859375</v>
      </c>
      <c r="C490">
        <f t="shared" si="23"/>
        <v>-2.0649042600155976E-2</v>
      </c>
      <c r="K490">
        <f t="shared" si="21"/>
        <v>4418.10009765625</v>
      </c>
      <c r="L490" s="5">
        <f t="shared" si="22"/>
        <v>-0.27237535709868921</v>
      </c>
    </row>
    <row r="491" spans="1:12" x14ac:dyDescent="0.3">
      <c r="A491" s="2">
        <v>45726</v>
      </c>
      <c r="B491">
        <v>3148.337646484375</v>
      </c>
      <c r="C491">
        <f t="shared" si="23"/>
        <v>5.5857850950762943E-3</v>
      </c>
      <c r="K491">
        <f t="shared" si="21"/>
        <v>4418.10009765625</v>
      </c>
      <c r="L491" s="5">
        <f t="shared" si="22"/>
        <v>-0.28740010934688176</v>
      </c>
    </row>
    <row r="492" spans="1:12" x14ac:dyDescent="0.3">
      <c r="A492" s="2">
        <v>45727</v>
      </c>
      <c r="B492">
        <v>3165.923583984375</v>
      </c>
      <c r="C492">
        <f t="shared" si="23"/>
        <v>-5.6332606214724162E-4</v>
      </c>
      <c r="K492">
        <f t="shared" si="21"/>
        <v>4418.10009765625</v>
      </c>
      <c r="L492" s="5">
        <f t="shared" si="22"/>
        <v>-0.28341967949891855</v>
      </c>
    </row>
    <row r="493" spans="1:12" x14ac:dyDescent="0.3">
      <c r="A493" s="2">
        <v>45728</v>
      </c>
      <c r="B493">
        <v>3164.14013671875</v>
      </c>
      <c r="C493">
        <f t="shared" si="23"/>
        <v>-1.9882999784418872E-3</v>
      </c>
      <c r="K493">
        <f t="shared" si="21"/>
        <v>4418.10009765625</v>
      </c>
      <c r="L493" s="5">
        <f t="shared" si="22"/>
        <v>-0.28382334786907859</v>
      </c>
    </row>
    <row r="494" spans="1:12" x14ac:dyDescent="0.3">
      <c r="A494" s="2">
        <v>45729</v>
      </c>
      <c r="B494">
        <v>3157.848876953125</v>
      </c>
      <c r="C494">
        <f t="shared" si="23"/>
        <v>-4.3454162955353136E-3</v>
      </c>
      <c r="K494">
        <f t="shared" si="21"/>
        <v>4418.10009765625</v>
      </c>
      <c r="L494" s="5">
        <f t="shared" si="22"/>
        <v>-0.28524732189107105</v>
      </c>
    </row>
    <row r="495" spans="1:12" x14ac:dyDescent="0.3">
      <c r="A495" s="2">
        <v>45733</v>
      </c>
      <c r="B495">
        <v>3144.126708984375</v>
      </c>
      <c r="C495">
        <f t="shared" si="23"/>
        <v>0</v>
      </c>
      <c r="K495">
        <f t="shared" si="21"/>
        <v>4418.10009765625</v>
      </c>
      <c r="L495" s="5">
        <f t="shared" si="22"/>
        <v>-0.2883532198258032</v>
      </c>
    </row>
    <row r="496" spans="1:12" x14ac:dyDescent="0.3">
      <c r="A496" s="2">
        <v>45734</v>
      </c>
      <c r="B496">
        <v>3144.126708984375</v>
      </c>
      <c r="C496">
        <f t="shared" si="23"/>
        <v>4.6038298560614511E-2</v>
      </c>
      <c r="K496">
        <f t="shared" si="21"/>
        <v>4418.10009765625</v>
      </c>
      <c r="L496" s="5">
        <f t="shared" si="22"/>
        <v>-0.2883532198258032</v>
      </c>
    </row>
    <row r="497" spans="1:12" x14ac:dyDescent="0.3">
      <c r="A497" s="2">
        <v>45735</v>
      </c>
      <c r="B497">
        <v>3288.876953125</v>
      </c>
      <c r="C497">
        <f t="shared" si="23"/>
        <v>9.4892526597403059E-3</v>
      </c>
      <c r="K497">
        <f t="shared" si="21"/>
        <v>4418.10009765625</v>
      </c>
      <c r="L497" s="5">
        <f t="shared" si="22"/>
        <v>-0.25559021289044348</v>
      </c>
    </row>
    <row r="498" spans="1:12" x14ac:dyDescent="0.3">
      <c r="A498" s="2">
        <v>45736</v>
      </c>
      <c r="B498">
        <v>3320.0859375</v>
      </c>
      <c r="C498">
        <f t="shared" si="23"/>
        <v>1.9366983276505927E-2</v>
      </c>
      <c r="K498">
        <f t="shared" si="21"/>
        <v>4418.10009765625</v>
      </c>
      <c r="L498" s="5">
        <f t="shared" si="22"/>
        <v>-0.24852632033817734</v>
      </c>
    </row>
    <row r="499" spans="1:12" x14ac:dyDescent="0.3">
      <c r="A499" s="2">
        <v>45737</v>
      </c>
      <c r="B499">
        <v>3384.385986328125</v>
      </c>
      <c r="C499">
        <f t="shared" si="23"/>
        <v>1.9291907019288443E-2</v>
      </c>
      <c r="K499">
        <f t="shared" si="21"/>
        <v>4418.10009765625</v>
      </c>
      <c r="L499" s="5">
        <f t="shared" si="22"/>
        <v>-0.23397254215143248</v>
      </c>
    </row>
    <row r="500" spans="1:12" x14ac:dyDescent="0.3">
      <c r="A500" s="2">
        <v>45740</v>
      </c>
      <c r="B500">
        <v>3449.67724609375</v>
      </c>
      <c r="C500">
        <f t="shared" si="23"/>
        <v>-3.5182186286392566E-3</v>
      </c>
      <c r="K500">
        <f t="shared" si="21"/>
        <v>4418.10009765625</v>
      </c>
      <c r="L500" s="5">
        <f t="shared" si="22"/>
        <v>-0.21919441166039599</v>
      </c>
    </row>
    <row r="501" spans="1:12" x14ac:dyDescent="0.3">
      <c r="A501" s="2">
        <v>45741</v>
      </c>
      <c r="B501">
        <v>3437.54052734375</v>
      </c>
      <c r="C501">
        <f t="shared" si="23"/>
        <v>-7.1478560693105462E-3</v>
      </c>
      <c r="K501">
        <f t="shared" si="21"/>
        <v>4418.10009765625</v>
      </c>
      <c r="L501" s="5">
        <f t="shared" si="22"/>
        <v>-0.2219414564266381</v>
      </c>
    </row>
    <row r="502" spans="1:12" x14ac:dyDescent="0.3">
      <c r="A502" s="2">
        <v>45742</v>
      </c>
      <c r="B502">
        <v>3412.969482421875</v>
      </c>
      <c r="C502">
        <f t="shared" si="23"/>
        <v>1.6488688491016468E-2</v>
      </c>
      <c r="K502">
        <f t="shared" si="21"/>
        <v>4418.10009765625</v>
      </c>
      <c r="L502" s="5">
        <f t="shared" si="22"/>
        <v>-0.22750290690959785</v>
      </c>
    </row>
    <row r="503" spans="1:12" x14ac:dyDescent="0.3">
      <c r="A503" s="2">
        <v>45743</v>
      </c>
      <c r="B503">
        <v>3469.244873046875</v>
      </c>
      <c r="C503">
        <f t="shared" si="23"/>
        <v>-2.6559414700619501E-3</v>
      </c>
      <c r="K503">
        <f t="shared" si="21"/>
        <v>4418.10009765625</v>
      </c>
      <c r="L503" s="5">
        <f t="shared" si="22"/>
        <v>-0.21476544298141442</v>
      </c>
    </row>
    <row r="504" spans="1:12" x14ac:dyDescent="0.3">
      <c r="A504" s="2">
        <v>45744</v>
      </c>
      <c r="B504">
        <v>3460.03076171875</v>
      </c>
      <c r="C504">
        <f t="shared" si="23"/>
        <v>-1.5892143299958805E-2</v>
      </c>
      <c r="K504">
        <f t="shared" si="21"/>
        <v>4418.10009765625</v>
      </c>
      <c r="L504" s="5">
        <f t="shared" si="22"/>
        <v>-0.21685098000512582</v>
      </c>
    </row>
    <row r="505" spans="1:12" x14ac:dyDescent="0.3">
      <c r="A505" s="2">
        <v>45748</v>
      </c>
      <c r="B505">
        <v>3405.04345703125</v>
      </c>
      <c r="C505">
        <f t="shared" si="23"/>
        <v>-4.9173811423168954E-3</v>
      </c>
      <c r="K505">
        <f t="shared" si="21"/>
        <v>4418.10009765625</v>
      </c>
      <c r="L505" s="5">
        <f t="shared" si="22"/>
        <v>-0.22929689645610674</v>
      </c>
    </row>
    <row r="506" spans="1:12" x14ac:dyDescent="0.3">
      <c r="A506" s="2">
        <v>45749</v>
      </c>
      <c r="B506">
        <v>3388.299560546875</v>
      </c>
      <c r="C506">
        <f t="shared" si="23"/>
        <v>7.3062782474299235E-5</v>
      </c>
      <c r="K506">
        <f t="shared" si="21"/>
        <v>4418.10009765625</v>
      </c>
      <c r="L506" s="5">
        <f t="shared" si="22"/>
        <v>-0.23308673736379848</v>
      </c>
    </row>
    <row r="507" spans="1:12" x14ac:dyDescent="0.3">
      <c r="A507" s="2">
        <v>45750</v>
      </c>
      <c r="B507">
        <v>3388.547119140625</v>
      </c>
      <c r="C507">
        <f t="shared" si="23"/>
        <v>-4.6781549378366885E-2</v>
      </c>
      <c r="K507">
        <f t="shared" si="21"/>
        <v>4418.10009765625</v>
      </c>
      <c r="L507" s="5">
        <f t="shared" si="22"/>
        <v>-0.23303070454691388</v>
      </c>
    </row>
    <row r="508" spans="1:12" x14ac:dyDescent="0.3">
      <c r="A508" s="2">
        <v>45751</v>
      </c>
      <c r="B508">
        <v>3230.025634765625</v>
      </c>
      <c r="C508">
        <f t="shared" si="23"/>
        <v>-5.8785648122078413E-2</v>
      </c>
      <c r="K508">
        <f t="shared" si="21"/>
        <v>4418.10009765625</v>
      </c>
      <c r="L508" s="5">
        <f t="shared" si="22"/>
        <v>-0.26891071651384368</v>
      </c>
    </row>
    <row r="509" spans="1:12" x14ac:dyDescent="0.3">
      <c r="A509" s="2">
        <v>45754</v>
      </c>
      <c r="B509">
        <v>3040.146484375</v>
      </c>
      <c r="C509">
        <f t="shared" si="23"/>
        <v>3.0177700113391433E-2</v>
      </c>
      <c r="K509">
        <f t="shared" si="21"/>
        <v>4418.10009765625</v>
      </c>
      <c r="L509" s="5">
        <f t="shared" si="22"/>
        <v>-0.31188827387868334</v>
      </c>
    </row>
    <row r="510" spans="1:12" x14ac:dyDescent="0.3">
      <c r="A510" s="2">
        <v>45755</v>
      </c>
      <c r="B510">
        <v>3131.89111328125</v>
      </c>
      <c r="C510">
        <f t="shared" si="23"/>
        <v>-3.3833204996544339E-2</v>
      </c>
      <c r="K510">
        <f t="shared" si="21"/>
        <v>4418.10009765625</v>
      </c>
      <c r="L510" s="5">
        <f t="shared" si="22"/>
        <v>-0.29112264456328607</v>
      </c>
    </row>
    <row r="511" spans="1:12" x14ac:dyDescent="0.3">
      <c r="A511" s="2">
        <v>45756</v>
      </c>
      <c r="B511">
        <v>3025.92919921875</v>
      </c>
      <c r="C511">
        <f t="shared" si="23"/>
        <v>2.0234777443589369E-2</v>
      </c>
      <c r="K511">
        <f t="shared" si="21"/>
        <v>4418.10009765625</v>
      </c>
      <c r="L511" s="5">
        <f t="shared" si="22"/>
        <v>-0.31510623744718469</v>
      </c>
    </row>
    <row r="512" spans="1:12" x14ac:dyDescent="0.3">
      <c r="A512" s="2">
        <v>45758</v>
      </c>
      <c r="B512">
        <v>3087.158203125</v>
      </c>
      <c r="C512">
        <f t="shared" si="23"/>
        <v>4.5459628311585606E-2</v>
      </c>
      <c r="K512">
        <f t="shared" si="21"/>
        <v>4418.10009765625</v>
      </c>
      <c r="L512" s="5">
        <f t="shared" si="22"/>
        <v>-0.30124756458942592</v>
      </c>
    </row>
    <row r="513" spans="1:12" x14ac:dyDescent="0.3">
      <c r="A513" s="2">
        <v>45762</v>
      </c>
      <c r="B513">
        <v>3227.499267578125</v>
      </c>
      <c r="C513">
        <f t="shared" si="23"/>
        <v>-9.178554924693853E-3</v>
      </c>
      <c r="K513">
        <f t="shared" si="21"/>
        <v>4418.10009765625</v>
      </c>
      <c r="L513" s="5">
        <f t="shared" si="22"/>
        <v>-0.26948253859384597</v>
      </c>
    </row>
    <row r="514" spans="1:12" x14ac:dyDescent="0.3">
      <c r="A514" s="2">
        <v>45763</v>
      </c>
      <c r="B514">
        <v>3197.87548828125</v>
      </c>
      <c r="C514">
        <f t="shared" si="23"/>
        <v>6.0724519712107451E-3</v>
      </c>
      <c r="K514">
        <f t="shared" ref="K514:K577" si="24">MAX(B514:B1253)</f>
        <v>4418.10009765625</v>
      </c>
      <c r="L514" s="5">
        <f t="shared" ref="L514:L577" si="25">B514/K514-1</f>
        <v>-0.27618763323681028</v>
      </c>
    </row>
    <row r="515" spans="1:12" x14ac:dyDescent="0.3">
      <c r="A515" s="2">
        <v>45764</v>
      </c>
      <c r="B515">
        <v>3217.29443359375</v>
      </c>
      <c r="C515">
        <f t="shared" ref="C515:C578" si="26">(B516-B515)/B515</f>
        <v>1.0223904347521231E-2</v>
      </c>
      <c r="K515">
        <f t="shared" si="24"/>
        <v>4418.10009765625</v>
      </c>
      <c r="L515" s="5">
        <f t="shared" si="25"/>
        <v>-0.27179231740347243</v>
      </c>
    </row>
    <row r="516" spans="1:12" x14ac:dyDescent="0.3">
      <c r="A516" s="2">
        <v>45768</v>
      </c>
      <c r="B516">
        <v>3250.187744140625</v>
      </c>
      <c r="C516">
        <f t="shared" si="26"/>
        <v>-6.9196723837092041E-3</v>
      </c>
      <c r="K516">
        <f t="shared" si="24"/>
        <v>4418.10009765625</v>
      </c>
      <c r="L516" s="5">
        <f t="shared" si="25"/>
        <v>-0.26434719171147547</v>
      </c>
    </row>
    <row r="517" spans="1:12" x14ac:dyDescent="0.3">
      <c r="A517" s="2">
        <v>45769</v>
      </c>
      <c r="B517">
        <v>3227.697509765625</v>
      </c>
      <c r="C517">
        <f t="shared" si="26"/>
        <v>1.3260468529192477E-2</v>
      </c>
      <c r="K517">
        <f t="shared" si="24"/>
        <v>4418.10009765625</v>
      </c>
      <c r="L517" s="5">
        <f t="shared" si="25"/>
        <v>-0.26943766813298764</v>
      </c>
    </row>
    <row r="518" spans="1:12" x14ac:dyDescent="0.3">
      <c r="A518" s="2">
        <v>45770</v>
      </c>
      <c r="B518">
        <v>3270.498291015625</v>
      </c>
      <c r="C518">
        <f t="shared" si="26"/>
        <v>-1.2115592154978654E-4</v>
      </c>
      <c r="K518">
        <f t="shared" si="24"/>
        <v>4418.10009765625</v>
      </c>
      <c r="L518" s="5">
        <f t="shared" si="25"/>
        <v>-0.25975006932265166</v>
      </c>
    </row>
    <row r="519" spans="1:12" x14ac:dyDescent="0.3">
      <c r="A519" s="2">
        <v>45771</v>
      </c>
      <c r="B519">
        <v>3270.10205078125</v>
      </c>
      <c r="C519">
        <f t="shared" si="26"/>
        <v>-8.6347679146218347E-3</v>
      </c>
      <c r="K519">
        <f t="shared" si="24"/>
        <v>4418.10009765625</v>
      </c>
      <c r="L519" s="5">
        <f t="shared" si="25"/>
        <v>-0.25983975498518008</v>
      </c>
    </row>
    <row r="520" spans="1:12" x14ac:dyDescent="0.3">
      <c r="A520" s="2">
        <v>45772</v>
      </c>
      <c r="B520">
        <v>3241.865478515625</v>
      </c>
      <c r="C520">
        <f t="shared" si="26"/>
        <v>1.6869823139813358E-2</v>
      </c>
      <c r="K520">
        <f t="shared" si="24"/>
        <v>4418.10009765625</v>
      </c>
      <c r="L520" s="5">
        <f t="shared" si="25"/>
        <v>-0.26623086692051268</v>
      </c>
    </row>
    <row r="521" spans="1:12" x14ac:dyDescent="0.3">
      <c r="A521" s="2">
        <v>45775</v>
      </c>
      <c r="B521">
        <v>3296.55517578125</v>
      </c>
      <c r="C521">
        <f t="shared" si="26"/>
        <v>-1.5026635433384014E-3</v>
      </c>
      <c r="K521">
        <f t="shared" si="24"/>
        <v>4418.10009765625</v>
      </c>
      <c r="L521" s="5">
        <f t="shared" si="25"/>
        <v>-0.25385231142000753</v>
      </c>
    </row>
    <row r="522" spans="1:12" x14ac:dyDescent="0.3">
      <c r="A522" s="2">
        <v>45776</v>
      </c>
      <c r="B522">
        <v>3291.6015625</v>
      </c>
      <c r="C522">
        <f t="shared" si="26"/>
        <v>5.6285972823829581E-3</v>
      </c>
      <c r="K522">
        <f t="shared" si="24"/>
        <v>4418.10009765625</v>
      </c>
      <c r="L522" s="5">
        <f t="shared" si="25"/>
        <v>-0.25497352034958287</v>
      </c>
    </row>
    <row r="523" spans="1:12" x14ac:dyDescent="0.3">
      <c r="A523" s="2">
        <v>45777</v>
      </c>
      <c r="B523">
        <v>3310.128662109375</v>
      </c>
      <c r="C523">
        <f t="shared" si="26"/>
        <v>-1.8258206217348844E-3</v>
      </c>
      <c r="K523">
        <f t="shared" si="24"/>
        <v>4418.10009765625</v>
      </c>
      <c r="L523" s="5">
        <f t="shared" si="25"/>
        <v>-0.2507800663309192</v>
      </c>
    </row>
    <row r="524" spans="1:12" x14ac:dyDescent="0.3">
      <c r="A524" s="2">
        <v>45779</v>
      </c>
      <c r="B524">
        <v>3304.0849609375</v>
      </c>
      <c r="C524">
        <f t="shared" si="26"/>
        <v>-1.4093142869134236E-3</v>
      </c>
      <c r="K524">
        <f t="shared" si="24"/>
        <v>4418.10009765625</v>
      </c>
      <c r="L524" s="5">
        <f t="shared" si="25"/>
        <v>-0.25214800753602706</v>
      </c>
    </row>
    <row r="525" spans="1:12" x14ac:dyDescent="0.3">
      <c r="A525" s="2">
        <v>45782</v>
      </c>
      <c r="B525">
        <v>3299.428466796875</v>
      </c>
      <c r="C525">
        <f t="shared" si="26"/>
        <v>1.1410741636050691E-3</v>
      </c>
      <c r="K525">
        <f t="shared" si="24"/>
        <v>4418.10009765625</v>
      </c>
      <c r="L525" s="5">
        <f t="shared" si="25"/>
        <v>-0.2532019660335032</v>
      </c>
    </row>
    <row r="526" spans="1:12" x14ac:dyDescent="0.3">
      <c r="A526" s="2">
        <v>45783</v>
      </c>
      <c r="B526">
        <v>3303.193359375</v>
      </c>
      <c r="C526">
        <f t="shared" si="26"/>
        <v>-3.7792648567466971E-3</v>
      </c>
      <c r="K526">
        <f t="shared" si="24"/>
        <v>4418.10009765625</v>
      </c>
      <c r="L526" s="5">
        <f t="shared" si="25"/>
        <v>-0.25234981409151303</v>
      </c>
    </row>
    <row r="527" spans="1:12" x14ac:dyDescent="0.3">
      <c r="A527" s="2">
        <v>45784</v>
      </c>
      <c r="B527">
        <v>3290.709716796875</v>
      </c>
      <c r="C527">
        <f t="shared" si="26"/>
        <v>7.5266640140956719E-4</v>
      </c>
      <c r="K527">
        <f t="shared" si="24"/>
        <v>4418.10009765625</v>
      </c>
      <c r="L527" s="5">
        <f t="shared" si="25"/>
        <v>-0.25517538216425706</v>
      </c>
    </row>
    <row r="528" spans="1:12" x14ac:dyDescent="0.3">
      <c r="A528" s="2">
        <v>45785</v>
      </c>
      <c r="B528">
        <v>3293.1865234375</v>
      </c>
      <c r="C528">
        <f t="shared" si="26"/>
        <v>3.6102149828169727E-2</v>
      </c>
      <c r="K528">
        <f t="shared" si="24"/>
        <v>4418.10009765625</v>
      </c>
      <c r="L528" s="5">
        <f t="shared" si="25"/>
        <v>-0.25461477769946939</v>
      </c>
    </row>
    <row r="529" spans="1:12" x14ac:dyDescent="0.3">
      <c r="A529" s="2">
        <v>45786</v>
      </c>
      <c r="B529">
        <v>3412.07763671875</v>
      </c>
      <c r="C529">
        <f t="shared" si="26"/>
        <v>4.1609860423716019E-2</v>
      </c>
      <c r="K529">
        <f t="shared" si="24"/>
        <v>4418.10009765625</v>
      </c>
      <c r="L529" s="5">
        <f t="shared" si="25"/>
        <v>-0.22770476872427203</v>
      </c>
    </row>
    <row r="530" spans="1:12" x14ac:dyDescent="0.3">
      <c r="A530" s="2">
        <v>45789</v>
      </c>
      <c r="B530">
        <v>3554.0537109375</v>
      </c>
      <c r="C530">
        <f t="shared" si="26"/>
        <v>-5.6311551152939078E-3</v>
      </c>
      <c r="K530">
        <f t="shared" si="24"/>
        <v>4418.10009765625</v>
      </c>
      <c r="L530" s="5">
        <f t="shared" si="25"/>
        <v>-0.19556967194498753</v>
      </c>
    </row>
    <row r="531" spans="1:12" x14ac:dyDescent="0.3">
      <c r="A531" s="2">
        <v>45790</v>
      </c>
      <c r="B531">
        <v>3534.040283203125</v>
      </c>
      <c r="C531">
        <f t="shared" si="26"/>
        <v>1.7102083813889039E-3</v>
      </c>
      <c r="K531">
        <f t="shared" si="24"/>
        <v>4418.10009765625</v>
      </c>
      <c r="L531" s="5">
        <f t="shared" si="25"/>
        <v>-0.20009954390171203</v>
      </c>
    </row>
    <row r="532" spans="1:12" x14ac:dyDescent="0.3">
      <c r="A532" s="2">
        <v>45791</v>
      </c>
      <c r="B532">
        <v>3540.084228515625</v>
      </c>
      <c r="C532">
        <f t="shared" si="26"/>
        <v>1.2622045856656312E-2</v>
      </c>
      <c r="K532">
        <f t="shared" si="24"/>
        <v>4418.10009765625</v>
      </c>
      <c r="L532" s="5">
        <f t="shared" si="25"/>
        <v>-0.19873154743741595</v>
      </c>
    </row>
    <row r="533" spans="1:12" x14ac:dyDescent="0.3">
      <c r="A533" s="2">
        <v>45792</v>
      </c>
      <c r="B533">
        <v>3584.767333984375</v>
      </c>
      <c r="C533">
        <f t="shared" si="26"/>
        <v>-3.7311331237106444E-3</v>
      </c>
      <c r="K533">
        <f t="shared" si="24"/>
        <v>4418.10009765625</v>
      </c>
      <c r="L533" s="5">
        <f t="shared" si="25"/>
        <v>-0.18861790028567893</v>
      </c>
    </row>
    <row r="534" spans="1:12" x14ac:dyDescent="0.3">
      <c r="A534" s="2">
        <v>45793</v>
      </c>
      <c r="B534">
        <v>3571.39208984375</v>
      </c>
      <c r="C534">
        <f t="shared" si="26"/>
        <v>-1.2483916583757291E-3</v>
      </c>
      <c r="K534">
        <f t="shared" si="24"/>
        <v>4418.10009765625</v>
      </c>
      <c r="L534" s="5">
        <f t="shared" si="25"/>
        <v>-0.19164527491390893</v>
      </c>
    </row>
    <row r="535" spans="1:12" x14ac:dyDescent="0.3">
      <c r="A535" s="2">
        <v>45796</v>
      </c>
      <c r="B535">
        <v>3566.93359375</v>
      </c>
      <c r="C535">
        <f t="shared" si="26"/>
        <v>-8.9994907653304281E-3</v>
      </c>
      <c r="K535">
        <f t="shared" si="24"/>
        <v>4418.10009765625</v>
      </c>
      <c r="L535" s="5">
        <f t="shared" si="25"/>
        <v>-0.19265441820971507</v>
      </c>
    </row>
    <row r="536" spans="1:12" x14ac:dyDescent="0.3">
      <c r="A536" s="2">
        <v>45797</v>
      </c>
      <c r="B536">
        <v>3534.8330078125</v>
      </c>
      <c r="C536">
        <f t="shared" si="26"/>
        <v>5.9420488447976877E-3</v>
      </c>
      <c r="K536">
        <f t="shared" si="24"/>
        <v>4418.10009765625</v>
      </c>
      <c r="L536" s="5">
        <f t="shared" si="25"/>
        <v>-0.19992011731746706</v>
      </c>
    </row>
    <row r="537" spans="1:12" x14ac:dyDescent="0.3">
      <c r="A537" s="2">
        <v>45798</v>
      </c>
      <c r="B537">
        <v>3555.837158203125</v>
      </c>
      <c r="C537">
        <f t="shared" si="26"/>
        <v>-1.0476488064402796E-2</v>
      </c>
      <c r="K537">
        <f t="shared" si="24"/>
        <v>4418.10009765625</v>
      </c>
      <c r="L537" s="5">
        <f t="shared" si="25"/>
        <v>-0.19516600357482738</v>
      </c>
    </row>
    <row r="538" spans="1:12" x14ac:dyDescent="0.3">
      <c r="A538" s="2">
        <v>45799</v>
      </c>
      <c r="B538">
        <v>3518.58447265625</v>
      </c>
      <c r="C538">
        <f t="shared" si="26"/>
        <v>1.3656559387992968E-2</v>
      </c>
      <c r="K538">
        <f t="shared" si="24"/>
        <v>4418.10009765625</v>
      </c>
      <c r="L538" s="5">
        <f t="shared" si="25"/>
        <v>-0.20359783733220138</v>
      </c>
    </row>
    <row r="539" spans="1:12" x14ac:dyDescent="0.3">
      <c r="A539" s="2">
        <v>45800</v>
      </c>
      <c r="B539">
        <v>3566.63623046875</v>
      </c>
      <c r="C539">
        <f t="shared" si="26"/>
        <v>1.3555944023872502E-2</v>
      </c>
      <c r="K539">
        <f t="shared" si="24"/>
        <v>4418.10009765625</v>
      </c>
      <c r="L539" s="5">
        <f t="shared" si="25"/>
        <v>-0.19272172390100251</v>
      </c>
    </row>
    <row r="540" spans="1:12" x14ac:dyDescent="0.3">
      <c r="A540" s="2">
        <v>45803</v>
      </c>
      <c r="B540">
        <v>3614.9853515625</v>
      </c>
      <c r="C540">
        <f t="shared" si="26"/>
        <v>-2.3843484626844907E-3</v>
      </c>
      <c r="K540">
        <f t="shared" si="24"/>
        <v>4418.10009765625</v>
      </c>
      <c r="L540" s="5">
        <f t="shared" si="25"/>
        <v>-0.1817783047785162</v>
      </c>
    </row>
    <row r="541" spans="1:12" x14ac:dyDescent="0.3">
      <c r="A541" s="2">
        <v>45804</v>
      </c>
      <c r="B541">
        <v>3606.365966796875</v>
      </c>
      <c r="C541">
        <f t="shared" si="26"/>
        <v>1.7307448207464623E-3</v>
      </c>
      <c r="K541">
        <f t="shared" si="24"/>
        <v>4418.10009765625</v>
      </c>
      <c r="L541" s="5">
        <f t="shared" si="25"/>
        <v>-0.18372923041965261</v>
      </c>
    </row>
    <row r="542" spans="1:12" x14ac:dyDescent="0.3">
      <c r="A542" s="2">
        <v>45805</v>
      </c>
      <c r="B542">
        <v>3612.607666015625</v>
      </c>
      <c r="C542">
        <f t="shared" si="26"/>
        <v>2.4682303951121701E-3</v>
      </c>
      <c r="K542">
        <f t="shared" si="24"/>
        <v>4418.10009765625</v>
      </c>
      <c r="L542" s="5">
        <f t="shared" si="25"/>
        <v>-0.18231647401287476</v>
      </c>
    </row>
    <row r="543" spans="1:12" x14ac:dyDescent="0.3">
      <c r="A543" s="2">
        <v>45806</v>
      </c>
      <c r="B543">
        <v>3621.5244140625</v>
      </c>
      <c r="C543">
        <f t="shared" si="26"/>
        <v>5.4168314933418114E-3</v>
      </c>
      <c r="K543">
        <f t="shared" si="24"/>
        <v>4418.10009765625</v>
      </c>
      <c r="L543" s="5">
        <f t="shared" si="25"/>
        <v>-0.1802982426804508</v>
      </c>
    </row>
    <row r="544" spans="1:12" x14ac:dyDescent="0.3">
      <c r="A544" s="2">
        <v>45807</v>
      </c>
      <c r="B544">
        <v>3641.1416015625</v>
      </c>
      <c r="C544">
        <f t="shared" si="26"/>
        <v>1.2244775352424509E-3</v>
      </c>
      <c r="K544">
        <f t="shared" si="24"/>
        <v>4418.10009765625</v>
      </c>
      <c r="L544" s="5">
        <f t="shared" si="25"/>
        <v>-0.17585805638625462</v>
      </c>
    </row>
    <row r="545" spans="1:12" x14ac:dyDescent="0.3">
      <c r="A545" s="2">
        <v>45810</v>
      </c>
      <c r="B545">
        <v>3645.60009765625</v>
      </c>
      <c r="C545">
        <f t="shared" si="26"/>
        <v>-2.1945600359165834E-4</v>
      </c>
      <c r="K545">
        <f t="shared" si="24"/>
        <v>4418.10009765625</v>
      </c>
      <c r="L545" s="5">
        <f t="shared" si="25"/>
        <v>-0.17484891309044859</v>
      </c>
    </row>
    <row r="546" spans="1:12" x14ac:dyDescent="0.3">
      <c r="A546" s="2">
        <v>45811</v>
      </c>
      <c r="B546">
        <v>3644.800048828125</v>
      </c>
      <c r="C546">
        <f t="shared" si="26"/>
        <v>-5.0208649536231283E-3</v>
      </c>
      <c r="K546">
        <f t="shared" si="24"/>
        <v>4418.10009765625</v>
      </c>
      <c r="L546" s="5">
        <f t="shared" si="25"/>
        <v>-0.17502999745034109</v>
      </c>
    </row>
    <row r="547" spans="1:12" x14ac:dyDescent="0.3">
      <c r="A547" s="2">
        <v>45812</v>
      </c>
      <c r="B547">
        <v>3626.5</v>
      </c>
      <c r="C547">
        <f t="shared" si="26"/>
        <v>4.4395691868881846E-3</v>
      </c>
      <c r="K547">
        <f t="shared" si="24"/>
        <v>4418.10009765625</v>
      </c>
      <c r="L547" s="5">
        <f t="shared" si="25"/>
        <v>-0.17917206042393297</v>
      </c>
    </row>
    <row r="548" spans="1:12" x14ac:dyDescent="0.3">
      <c r="A548" s="2">
        <v>45813</v>
      </c>
      <c r="B548">
        <v>3642.60009765625</v>
      </c>
      <c r="C548">
        <f t="shared" si="26"/>
        <v>3.7610362940169932E-3</v>
      </c>
      <c r="K548">
        <f t="shared" si="24"/>
        <v>4418.10009765625</v>
      </c>
      <c r="L548" s="5">
        <f t="shared" si="25"/>
        <v>-0.17552793799565425</v>
      </c>
    </row>
    <row r="549" spans="1:12" x14ac:dyDescent="0.3">
      <c r="A549" s="2">
        <v>45814</v>
      </c>
      <c r="B549">
        <v>3656.300048828125</v>
      </c>
      <c r="C549">
        <f t="shared" si="26"/>
        <v>6.1810719070685798E-3</v>
      </c>
      <c r="K549">
        <f t="shared" si="24"/>
        <v>4418.10009765625</v>
      </c>
      <c r="L549" s="5">
        <f t="shared" si="25"/>
        <v>-0.17242706864705282</v>
      </c>
    </row>
    <row r="550" spans="1:12" x14ac:dyDescent="0.3">
      <c r="A550" s="2">
        <v>45817</v>
      </c>
      <c r="B550">
        <v>3678.89990234375</v>
      </c>
      <c r="C550">
        <f t="shared" si="26"/>
        <v>2.4467816691656533E-4</v>
      </c>
      <c r="K550">
        <f t="shared" si="24"/>
        <v>4418.10009765625</v>
      </c>
      <c r="L550" s="5">
        <f t="shared" si="25"/>
        <v>-0.16731178085001674</v>
      </c>
    </row>
    <row r="551" spans="1:12" x14ac:dyDescent="0.3">
      <c r="A551" s="2">
        <v>45818</v>
      </c>
      <c r="B551">
        <v>3679.800048828125</v>
      </c>
      <c r="C551">
        <f t="shared" si="26"/>
        <v>1.3587694803124718E-3</v>
      </c>
      <c r="K551">
        <f t="shared" si="24"/>
        <v>4418.10009765625</v>
      </c>
      <c r="L551" s="5">
        <f t="shared" si="25"/>
        <v>-0.16710804022294212</v>
      </c>
    </row>
    <row r="552" spans="1:12" x14ac:dyDescent="0.3">
      <c r="A552" s="2">
        <v>45819</v>
      </c>
      <c r="B552">
        <v>3684.800048828125</v>
      </c>
      <c r="C552">
        <f t="shared" si="26"/>
        <v>-2.1955098081944402E-2</v>
      </c>
      <c r="K552">
        <f t="shared" si="24"/>
        <v>4418.10009765625</v>
      </c>
      <c r="L552" s="5">
        <f t="shared" si="25"/>
        <v>-0.16597633204759943</v>
      </c>
    </row>
    <row r="553" spans="1:12" x14ac:dyDescent="0.3">
      <c r="A553" s="2">
        <v>45820</v>
      </c>
      <c r="B553">
        <v>3603.89990234375</v>
      </c>
      <c r="C553">
        <f t="shared" si="26"/>
        <v>-4.578373552847413E-3</v>
      </c>
      <c r="K553">
        <f t="shared" si="24"/>
        <v>4418.10009765625</v>
      </c>
      <c r="L553" s="5">
        <f t="shared" si="25"/>
        <v>-0.18428740348015737</v>
      </c>
    </row>
    <row r="554" spans="1:12" x14ac:dyDescent="0.3">
      <c r="A554" s="2">
        <v>45821</v>
      </c>
      <c r="B554">
        <v>3587.39990234375</v>
      </c>
      <c r="C554">
        <f t="shared" si="26"/>
        <v>1.1512529952722167E-2</v>
      </c>
      <c r="K554">
        <f t="shared" si="24"/>
        <v>4418.10009765625</v>
      </c>
      <c r="L554" s="5">
        <f t="shared" si="25"/>
        <v>-0.18802204045878834</v>
      </c>
    </row>
    <row r="555" spans="1:12" x14ac:dyDescent="0.3">
      <c r="A555" s="2">
        <v>45824</v>
      </c>
      <c r="B555">
        <v>3628.699951171875</v>
      </c>
      <c r="C555">
        <f t="shared" si="26"/>
        <v>-1.7636901451946105E-3</v>
      </c>
      <c r="K555">
        <f t="shared" si="24"/>
        <v>4418.10009765625</v>
      </c>
      <c r="L555" s="5">
        <f t="shared" si="25"/>
        <v>-0.17867411987861992</v>
      </c>
    </row>
    <row r="556" spans="1:12" x14ac:dyDescent="0.3">
      <c r="A556" s="2">
        <v>45825</v>
      </c>
      <c r="B556">
        <v>3622.300048828125</v>
      </c>
      <c r="C556">
        <f t="shared" si="26"/>
        <v>-5.742221391862379E-3</v>
      </c>
      <c r="K556">
        <f t="shared" si="24"/>
        <v>4418.10009765625</v>
      </c>
      <c r="L556" s="5">
        <f t="shared" si="25"/>
        <v>-0.18012268423938327</v>
      </c>
    </row>
    <row r="557" spans="1:12" x14ac:dyDescent="0.3">
      <c r="A557" s="2">
        <v>45826</v>
      </c>
      <c r="B557">
        <v>3601.5</v>
      </c>
      <c r="C557">
        <f t="shared" si="26"/>
        <v>5.4422039861863111E-3</v>
      </c>
      <c r="K557">
        <f t="shared" si="24"/>
        <v>4418.10009765625</v>
      </c>
      <c r="L557" s="5">
        <f t="shared" si="25"/>
        <v>-0.18483060130064655</v>
      </c>
    </row>
    <row r="558" spans="1:12" x14ac:dyDescent="0.3">
      <c r="A558" s="2">
        <v>45827</v>
      </c>
      <c r="B558">
        <v>3621.10009765625</v>
      </c>
      <c r="C558">
        <f t="shared" si="26"/>
        <v>1.1294883113068976E-2</v>
      </c>
      <c r="K558">
        <f t="shared" si="24"/>
        <v>4418.10009765625</v>
      </c>
      <c r="L558" s="5">
        <f t="shared" si="25"/>
        <v>-0.1803942831496278</v>
      </c>
    </row>
    <row r="559" spans="1:12" x14ac:dyDescent="0.3">
      <c r="A559" s="2">
        <v>45828</v>
      </c>
      <c r="B559">
        <v>3662</v>
      </c>
      <c r="C559">
        <f t="shared" si="26"/>
        <v>-2.1381771935588476E-2</v>
      </c>
      <c r="K559">
        <f t="shared" si="24"/>
        <v>4418.10009765625</v>
      </c>
      <c r="L559" s="5">
        <f t="shared" si="25"/>
        <v>-0.17113693237899974</v>
      </c>
    </row>
    <row r="560" spans="1:12" x14ac:dyDescent="0.3">
      <c r="A560" s="2">
        <v>45831</v>
      </c>
      <c r="B560">
        <v>3583.699951171875</v>
      </c>
      <c r="C560">
        <f t="shared" si="26"/>
        <v>5.8877969539135773E-3</v>
      </c>
      <c r="K560">
        <f t="shared" si="24"/>
        <v>4418.10009765625</v>
      </c>
      <c r="L560" s="5">
        <f t="shared" si="25"/>
        <v>-0.18885949345670427</v>
      </c>
    </row>
    <row r="561" spans="1:12" x14ac:dyDescent="0.3">
      <c r="A561" s="2">
        <v>45832</v>
      </c>
      <c r="B561">
        <v>3604.800048828125</v>
      </c>
      <c r="C561">
        <f t="shared" si="26"/>
        <v>4.1611184522914969E-3</v>
      </c>
      <c r="K561">
        <f t="shared" si="24"/>
        <v>4418.10009765625</v>
      </c>
      <c r="L561" s="5">
        <f t="shared" si="25"/>
        <v>-0.18408366285308275</v>
      </c>
    </row>
    <row r="562" spans="1:12" x14ac:dyDescent="0.3">
      <c r="A562" s="2">
        <v>45833</v>
      </c>
      <c r="B562">
        <v>3619.800048828125</v>
      </c>
      <c r="C562">
        <f t="shared" si="26"/>
        <v>1.0995095942111465E-2</v>
      </c>
      <c r="K562">
        <f t="shared" si="24"/>
        <v>4418.10009765625</v>
      </c>
      <c r="L562" s="5">
        <f t="shared" si="25"/>
        <v>-0.18068853832705456</v>
      </c>
    </row>
    <row r="563" spans="1:12" x14ac:dyDescent="0.3">
      <c r="A563" s="2">
        <v>45834</v>
      </c>
      <c r="B563">
        <v>3659.60009765625</v>
      </c>
      <c r="C563">
        <f t="shared" si="26"/>
        <v>5.3557364172597734E-3</v>
      </c>
      <c r="K563">
        <f t="shared" si="24"/>
        <v>4418.10009765625</v>
      </c>
      <c r="L563" s="5">
        <f t="shared" si="25"/>
        <v>-0.17168013019948902</v>
      </c>
    </row>
    <row r="564" spans="1:12" x14ac:dyDescent="0.3">
      <c r="A564" s="2">
        <v>45835</v>
      </c>
      <c r="B564">
        <v>3679.199951171875</v>
      </c>
      <c r="C564">
        <f t="shared" si="26"/>
        <v>-2.5548767309469017E-3</v>
      </c>
      <c r="K564">
        <f t="shared" si="24"/>
        <v>4418.10009765625</v>
      </c>
      <c r="L564" s="5">
        <f t="shared" si="25"/>
        <v>-0.1672438673076585</v>
      </c>
    </row>
    <row r="565" spans="1:12" x14ac:dyDescent="0.3">
      <c r="A565" s="2">
        <v>45838</v>
      </c>
      <c r="B565">
        <v>3669.800048828125</v>
      </c>
      <c r="C565">
        <f t="shared" si="26"/>
        <v>-8.4475928252275003E-4</v>
      </c>
      <c r="K565">
        <f t="shared" si="24"/>
        <v>4418.10009765625</v>
      </c>
      <c r="L565" s="5">
        <f t="shared" si="25"/>
        <v>-0.16937145657362751</v>
      </c>
    </row>
    <row r="566" spans="1:12" x14ac:dyDescent="0.3">
      <c r="A566" s="2">
        <v>45839</v>
      </c>
      <c r="B566">
        <v>3666.699951171875</v>
      </c>
      <c r="C566">
        <f t="shared" si="26"/>
        <v>-1.9063436680007054E-2</v>
      </c>
      <c r="K566">
        <f t="shared" si="24"/>
        <v>4418.10009765625</v>
      </c>
      <c r="L566" s="5">
        <f t="shared" si="25"/>
        <v>-0.17007313774601529</v>
      </c>
    </row>
    <row r="567" spans="1:12" x14ac:dyDescent="0.3">
      <c r="A567" s="2">
        <v>45840</v>
      </c>
      <c r="B567">
        <v>3596.800048828125</v>
      </c>
      <c r="C567">
        <f t="shared" si="26"/>
        <v>-3.8645869371870733E-3</v>
      </c>
      <c r="K567">
        <f t="shared" si="24"/>
        <v>4418.10009765625</v>
      </c>
      <c r="L567" s="5">
        <f t="shared" si="25"/>
        <v>-0.18589439593363111</v>
      </c>
    </row>
    <row r="568" spans="1:12" x14ac:dyDescent="0.3">
      <c r="A568" s="2">
        <v>45841</v>
      </c>
      <c r="B568">
        <v>3582.89990234375</v>
      </c>
      <c r="C568">
        <f t="shared" si="26"/>
        <v>3.2655657795090313E-3</v>
      </c>
      <c r="K568">
        <f t="shared" si="24"/>
        <v>4418.10009765625</v>
      </c>
      <c r="L568" s="5">
        <f t="shared" si="25"/>
        <v>-0.18904057781659678</v>
      </c>
    </row>
    <row r="569" spans="1:12" x14ac:dyDescent="0.3">
      <c r="A569" s="2">
        <v>45842</v>
      </c>
      <c r="B569">
        <v>3594.60009765625</v>
      </c>
      <c r="C569">
        <f t="shared" si="26"/>
        <v>-3.672229164269702E-3</v>
      </c>
      <c r="K569">
        <f t="shared" si="24"/>
        <v>4418.10009765625</v>
      </c>
      <c r="L569" s="5">
        <f t="shared" si="25"/>
        <v>-0.18639233647894415</v>
      </c>
    </row>
    <row r="570" spans="1:12" x14ac:dyDescent="0.3">
      <c r="A570" s="2">
        <v>45845</v>
      </c>
      <c r="B570">
        <v>3581.39990234375</v>
      </c>
      <c r="C570">
        <f t="shared" si="26"/>
        <v>6.9805106052634415E-3</v>
      </c>
      <c r="K570">
        <f t="shared" si="24"/>
        <v>4418.10009765625</v>
      </c>
      <c r="L570" s="5">
        <f t="shared" si="25"/>
        <v>-0.18938009026919955</v>
      </c>
    </row>
    <row r="571" spans="1:12" x14ac:dyDescent="0.3">
      <c r="A571" s="2">
        <v>45846</v>
      </c>
      <c r="B571">
        <v>3606.39990234375</v>
      </c>
      <c r="C571">
        <f t="shared" si="26"/>
        <v>-7.4034915413909216E-3</v>
      </c>
      <c r="K571">
        <f t="shared" si="24"/>
        <v>4418.10009765625</v>
      </c>
      <c r="L571" s="5">
        <f t="shared" si="25"/>
        <v>-0.18372154939248597</v>
      </c>
    </row>
    <row r="572" spans="1:12" x14ac:dyDescent="0.3">
      <c r="A572" s="2">
        <v>45847</v>
      </c>
      <c r="B572">
        <v>3579.699951171875</v>
      </c>
      <c r="C572">
        <f t="shared" si="26"/>
        <v>-1.3967651110990925E-3</v>
      </c>
      <c r="K572">
        <f t="shared" si="24"/>
        <v>4418.10009765625</v>
      </c>
      <c r="L572" s="5">
        <f t="shared" si="25"/>
        <v>-0.18976485999697845</v>
      </c>
    </row>
    <row r="573" spans="1:12" x14ac:dyDescent="0.3">
      <c r="A573" s="2">
        <v>45848</v>
      </c>
      <c r="B573">
        <v>3574.699951171875</v>
      </c>
      <c r="C573">
        <f t="shared" si="26"/>
        <v>-9.539221188185662E-3</v>
      </c>
      <c r="K573">
        <f t="shared" si="24"/>
        <v>4418.10009765625</v>
      </c>
      <c r="L573" s="5">
        <f t="shared" si="25"/>
        <v>-0.19089656817232115</v>
      </c>
    </row>
    <row r="574" spans="1:12" x14ac:dyDescent="0.3">
      <c r="A574" s="2">
        <v>45849</v>
      </c>
      <c r="B574">
        <v>3540.60009765625</v>
      </c>
      <c r="C574">
        <f t="shared" si="26"/>
        <v>-1.2625033632600847E-2</v>
      </c>
      <c r="K574">
        <f t="shared" si="24"/>
        <v>4418.10009765625</v>
      </c>
      <c r="L574" s="5">
        <f t="shared" si="25"/>
        <v>-0.19861478477264549</v>
      </c>
    </row>
    <row r="575" spans="1:12" x14ac:dyDescent="0.3">
      <c r="A575" s="2">
        <v>45852</v>
      </c>
      <c r="B575">
        <v>3495.89990234375</v>
      </c>
      <c r="C575">
        <f t="shared" si="26"/>
        <v>-5.4346588770355002E-4</v>
      </c>
      <c r="K575">
        <f t="shared" si="24"/>
        <v>4418.10009765625</v>
      </c>
      <c r="L575" s="5">
        <f t="shared" si="25"/>
        <v>-0.20873230006755983</v>
      </c>
    </row>
    <row r="576" spans="1:12" x14ac:dyDescent="0.3">
      <c r="A576" s="2">
        <v>45853</v>
      </c>
      <c r="B576">
        <v>3494</v>
      </c>
      <c r="C576">
        <f t="shared" si="26"/>
        <v>2.8048222175515169E-3</v>
      </c>
      <c r="K576">
        <f t="shared" si="24"/>
        <v>4418.10009765625</v>
      </c>
      <c r="L576" s="5">
        <f t="shared" si="25"/>
        <v>-0.20916232707051485</v>
      </c>
    </row>
    <row r="577" spans="1:12" x14ac:dyDescent="0.3">
      <c r="A577" s="2">
        <v>45854</v>
      </c>
      <c r="B577">
        <v>3503.800048828125</v>
      </c>
      <c r="C577">
        <f t="shared" si="26"/>
        <v>-8.5050654754376953E-3</v>
      </c>
      <c r="K577">
        <f t="shared" si="24"/>
        <v>4418.10009765625</v>
      </c>
      <c r="L577" s="5">
        <f t="shared" si="25"/>
        <v>-0.20694416799500548</v>
      </c>
    </row>
    <row r="578" spans="1:12" x14ac:dyDescent="0.3">
      <c r="A578" s="2">
        <v>45855</v>
      </c>
      <c r="B578">
        <v>3474</v>
      </c>
      <c r="C578">
        <f t="shared" si="26"/>
        <v>-2.6482300437176164E-3</v>
      </c>
      <c r="K578">
        <f t="shared" ref="K578:K641" si="27">MAX(B578:B1317)</f>
        <v>4418.10009765625</v>
      </c>
      <c r="L578" s="5">
        <f t="shared" ref="L578:L641" si="28">B578/K578-1</f>
        <v>-0.21368915977188563</v>
      </c>
    </row>
    <row r="579" spans="1:12" x14ac:dyDescent="0.3">
      <c r="A579" s="2">
        <v>45856</v>
      </c>
      <c r="B579">
        <v>3464.800048828125</v>
      </c>
      <c r="C579">
        <f t="shared" ref="C579:C642" si="29">(B580-B579)/B579</f>
        <v>1.0967443853752101E-2</v>
      </c>
      <c r="K579">
        <f t="shared" si="27"/>
        <v>4418.10009765625</v>
      </c>
      <c r="L579" s="5">
        <f t="shared" si="28"/>
        <v>-0.21577149176267862</v>
      </c>
    </row>
    <row r="580" spans="1:12" x14ac:dyDescent="0.3">
      <c r="A580" s="2">
        <v>45859</v>
      </c>
      <c r="B580">
        <v>3502.800048828125</v>
      </c>
      <c r="C580">
        <f t="shared" si="29"/>
        <v>-1.0905547173511927E-2</v>
      </c>
      <c r="K580">
        <f t="shared" si="27"/>
        <v>4418.10009765625</v>
      </c>
      <c r="L580" s="5">
        <f t="shared" si="28"/>
        <v>-0.207170509630074</v>
      </c>
    </row>
    <row r="581" spans="1:12" x14ac:dyDescent="0.3">
      <c r="A581" s="2">
        <v>45860</v>
      </c>
      <c r="B581">
        <v>3464.60009765625</v>
      </c>
      <c r="C581">
        <f t="shared" si="29"/>
        <v>5.8592057135923173E-3</v>
      </c>
      <c r="K581">
        <f t="shared" si="27"/>
        <v>4418.10009765625</v>
      </c>
      <c r="L581" s="5">
        <f t="shared" si="28"/>
        <v>-0.21581674903785464</v>
      </c>
    </row>
    <row r="582" spans="1:12" x14ac:dyDescent="0.3">
      <c r="A582" s="2">
        <v>45861</v>
      </c>
      <c r="B582">
        <v>3484.89990234375</v>
      </c>
      <c r="C582">
        <f t="shared" si="29"/>
        <v>-2.1234189076057069E-3</v>
      </c>
      <c r="K582">
        <f t="shared" si="27"/>
        <v>4418.10009765625</v>
      </c>
      <c r="L582" s="5">
        <f t="shared" si="28"/>
        <v>-0.21122205805331384</v>
      </c>
    </row>
    <row r="583" spans="1:12" x14ac:dyDescent="0.3">
      <c r="A583" s="2">
        <v>45862</v>
      </c>
      <c r="B583">
        <v>3477.5</v>
      </c>
      <c r="C583">
        <f t="shared" si="29"/>
        <v>-9.9497045740474487E-3</v>
      </c>
      <c r="K583">
        <f t="shared" si="27"/>
        <v>4418.10009765625</v>
      </c>
      <c r="L583" s="5">
        <f t="shared" si="28"/>
        <v>-0.21289696404914571</v>
      </c>
    </row>
    <row r="584" spans="1:12" x14ac:dyDescent="0.3">
      <c r="A584" s="2">
        <v>45863</v>
      </c>
      <c r="B584">
        <v>3442.89990234375</v>
      </c>
      <c r="C584">
        <f t="shared" si="29"/>
        <v>-6.012359278230405E-3</v>
      </c>
      <c r="K584">
        <f t="shared" si="27"/>
        <v>4418.10009765625</v>
      </c>
      <c r="L584" s="5">
        <f t="shared" si="28"/>
        <v>-0.22072840672619265</v>
      </c>
    </row>
    <row r="585" spans="1:12" x14ac:dyDescent="0.3">
      <c r="A585" s="2">
        <v>45866</v>
      </c>
      <c r="B585">
        <v>3422.199951171875</v>
      </c>
      <c r="C585">
        <f t="shared" si="29"/>
        <v>2.1448234332199188E-2</v>
      </c>
      <c r="K585">
        <f t="shared" si="27"/>
        <v>4418.10009765625</v>
      </c>
      <c r="L585" s="5">
        <f t="shared" si="28"/>
        <v>-0.22541366752027381</v>
      </c>
    </row>
    <row r="586" spans="1:12" x14ac:dyDescent="0.3">
      <c r="A586" s="2">
        <v>45867</v>
      </c>
      <c r="B586">
        <v>3495.60009765625</v>
      </c>
      <c r="C586">
        <f t="shared" si="29"/>
        <v>4.8489528339825637E-2</v>
      </c>
      <c r="K586">
        <f t="shared" si="27"/>
        <v>4418.10009765625</v>
      </c>
      <c r="L586" s="5">
        <f t="shared" si="28"/>
        <v>-0.20880015835072985</v>
      </c>
    </row>
    <row r="587" spans="1:12" x14ac:dyDescent="0.3">
      <c r="A587" s="2">
        <v>45868</v>
      </c>
      <c r="B587">
        <v>3665.10009765625</v>
      </c>
      <c r="C587">
        <f t="shared" si="29"/>
        <v>-7.8033605888524369E-3</v>
      </c>
      <c r="K587">
        <f t="shared" si="27"/>
        <v>4418.10009765625</v>
      </c>
      <c r="L587" s="5">
        <f t="shared" si="28"/>
        <v>-0.17043525120661196</v>
      </c>
    </row>
    <row r="588" spans="1:12" x14ac:dyDescent="0.3">
      <c r="A588" s="2">
        <v>45869</v>
      </c>
      <c r="B588">
        <v>3636.5</v>
      </c>
      <c r="C588">
        <f t="shared" si="29"/>
        <v>-1.3529479216794996E-2</v>
      </c>
      <c r="K588">
        <f t="shared" si="27"/>
        <v>4418.10009765625</v>
      </c>
      <c r="L588" s="5">
        <f t="shared" si="28"/>
        <v>-0.17690864407324758</v>
      </c>
    </row>
    <row r="589" spans="1:12" x14ac:dyDescent="0.3">
      <c r="A589" s="2">
        <v>45870</v>
      </c>
      <c r="B589">
        <v>3587.300048828125</v>
      </c>
      <c r="C589">
        <f t="shared" si="29"/>
        <v>1.2209753361008456E-2</v>
      </c>
      <c r="K589">
        <f t="shared" si="27"/>
        <v>4418.10009765625</v>
      </c>
      <c r="L589" s="5">
        <f t="shared" si="28"/>
        <v>-0.18804464146678224</v>
      </c>
    </row>
    <row r="590" spans="1:12" x14ac:dyDescent="0.3">
      <c r="A590" s="2">
        <v>45873</v>
      </c>
      <c r="B590">
        <v>3631.10009765625</v>
      </c>
      <c r="C590">
        <f t="shared" si="29"/>
        <v>5.921070590666864E-3</v>
      </c>
      <c r="K590">
        <f t="shared" si="27"/>
        <v>4418.10009765625</v>
      </c>
      <c r="L590" s="5">
        <f t="shared" si="28"/>
        <v>-0.17813086679894241</v>
      </c>
    </row>
    <row r="591" spans="1:12" x14ac:dyDescent="0.3">
      <c r="A591" s="2">
        <v>45874</v>
      </c>
      <c r="B591">
        <v>3652.60009765625</v>
      </c>
      <c r="C591">
        <f t="shared" si="29"/>
        <v>-6.6254708058592141E-3</v>
      </c>
      <c r="K591">
        <f t="shared" si="27"/>
        <v>4418.10009765625</v>
      </c>
      <c r="L591" s="5">
        <f t="shared" si="28"/>
        <v>-0.17326452164496875</v>
      </c>
    </row>
    <row r="592" spans="1:12" x14ac:dyDescent="0.3">
      <c r="A592" s="2">
        <v>45875</v>
      </c>
      <c r="B592">
        <v>3628.39990234375</v>
      </c>
      <c r="C592">
        <f t="shared" si="29"/>
        <v>3.6380210747920558E-3</v>
      </c>
      <c r="K592">
        <f t="shared" si="27"/>
        <v>4418.10009765625</v>
      </c>
      <c r="L592" s="5">
        <f t="shared" si="28"/>
        <v>-0.17874203342097805</v>
      </c>
    </row>
    <row r="593" spans="1:12" x14ac:dyDescent="0.3">
      <c r="A593" s="2">
        <v>45876</v>
      </c>
      <c r="B593">
        <v>3641.60009765625</v>
      </c>
      <c r="C593">
        <f t="shared" si="29"/>
        <v>-9.3365551099041742E-3</v>
      </c>
      <c r="K593">
        <f t="shared" si="27"/>
        <v>4418.10009765625</v>
      </c>
      <c r="L593" s="5">
        <f t="shared" si="28"/>
        <v>-0.17575427963072277</v>
      </c>
    </row>
    <row r="594" spans="1:12" x14ac:dyDescent="0.3">
      <c r="A594" s="2">
        <v>45877</v>
      </c>
      <c r="B594">
        <v>3607.60009765625</v>
      </c>
      <c r="C594">
        <f t="shared" si="29"/>
        <v>1.6853255084176268E-2</v>
      </c>
      <c r="K594">
        <f t="shared" si="27"/>
        <v>4418.10009765625</v>
      </c>
      <c r="L594" s="5">
        <f t="shared" si="28"/>
        <v>-0.18344989522305311</v>
      </c>
    </row>
    <row r="595" spans="1:12" x14ac:dyDescent="0.3">
      <c r="A595" s="2">
        <v>45880</v>
      </c>
      <c r="B595">
        <v>3668.39990234375</v>
      </c>
      <c r="C595">
        <f t="shared" si="29"/>
        <v>4.8250451923715571E-3</v>
      </c>
      <c r="K595">
        <f t="shared" si="27"/>
        <v>4418.10009765625</v>
      </c>
      <c r="L595" s="5">
        <f t="shared" si="28"/>
        <v>-0.16968836801823639</v>
      </c>
    </row>
    <row r="596" spans="1:12" x14ac:dyDescent="0.3">
      <c r="A596" s="2">
        <v>45881</v>
      </c>
      <c r="B596">
        <v>3686.10009765625</v>
      </c>
      <c r="C596">
        <f t="shared" si="29"/>
        <v>2.0617599398500466E-3</v>
      </c>
      <c r="K596">
        <f t="shared" si="27"/>
        <v>4418.10009765625</v>
      </c>
      <c r="L596" s="5">
        <f t="shared" si="28"/>
        <v>-0.16568207687017267</v>
      </c>
    </row>
    <row r="597" spans="1:12" x14ac:dyDescent="0.3">
      <c r="A597" s="2">
        <v>45882</v>
      </c>
      <c r="B597">
        <v>3693.699951171875</v>
      </c>
      <c r="C597">
        <f t="shared" si="29"/>
        <v>-4.5211986335210366E-3</v>
      </c>
      <c r="K597">
        <f t="shared" si="27"/>
        <v>4418.10009765625</v>
      </c>
      <c r="L597" s="5">
        <f t="shared" si="28"/>
        <v>-0.16396191359916468</v>
      </c>
    </row>
    <row r="598" spans="1:12" x14ac:dyDescent="0.3">
      <c r="A598" s="2">
        <v>45883</v>
      </c>
      <c r="B598">
        <v>3677</v>
      </c>
      <c r="C598">
        <f t="shared" si="29"/>
        <v>-1.1395132538414468E-2</v>
      </c>
      <c r="K598">
        <f t="shared" si="27"/>
        <v>4418.10009765625</v>
      </c>
      <c r="L598" s="5">
        <f t="shared" si="28"/>
        <v>-0.16774180785297166</v>
      </c>
    </row>
    <row r="599" spans="1:12" x14ac:dyDescent="0.3">
      <c r="A599" s="2">
        <v>45887</v>
      </c>
      <c r="B599">
        <v>3635.10009765625</v>
      </c>
      <c r="C599">
        <f t="shared" si="29"/>
        <v>-6.0796393668771749E-3</v>
      </c>
      <c r="K599">
        <f t="shared" si="27"/>
        <v>4418.10009765625</v>
      </c>
      <c r="L599" s="5">
        <f t="shared" si="28"/>
        <v>-0.17722550025866823</v>
      </c>
    </row>
    <row r="600" spans="1:12" x14ac:dyDescent="0.3">
      <c r="A600" s="2">
        <v>45888</v>
      </c>
      <c r="B600">
        <v>3613</v>
      </c>
      <c r="C600">
        <f t="shared" si="29"/>
        <v>-5.7292973074660946E-3</v>
      </c>
      <c r="K600">
        <f t="shared" si="27"/>
        <v>4418.10009765625</v>
      </c>
      <c r="L600" s="5">
        <f t="shared" si="28"/>
        <v>-0.18222767249735838</v>
      </c>
    </row>
    <row r="601" spans="1:12" x14ac:dyDescent="0.3">
      <c r="A601" s="2">
        <v>45889</v>
      </c>
      <c r="B601">
        <v>3592.300048828125</v>
      </c>
      <c r="C601">
        <f t="shared" si="29"/>
        <v>5.6509892136508066E-3</v>
      </c>
      <c r="K601">
        <f t="shared" si="27"/>
        <v>4418.10009765625</v>
      </c>
      <c r="L601" s="5">
        <f t="shared" si="28"/>
        <v>-0.18691293329143954</v>
      </c>
    </row>
    <row r="602" spans="1:12" x14ac:dyDescent="0.3">
      <c r="A602" s="2">
        <v>45890</v>
      </c>
      <c r="B602">
        <v>3612.60009765625</v>
      </c>
      <c r="C602">
        <f t="shared" si="29"/>
        <v>-4.6504036909660674E-3</v>
      </c>
      <c r="K602">
        <f t="shared" si="27"/>
        <v>4418.10009765625</v>
      </c>
      <c r="L602" s="5">
        <f t="shared" si="28"/>
        <v>-0.18231818704771041</v>
      </c>
    </row>
    <row r="603" spans="1:12" x14ac:dyDescent="0.3">
      <c r="A603" s="2">
        <v>45891</v>
      </c>
      <c r="B603">
        <v>3595.800048828125</v>
      </c>
      <c r="C603">
        <f t="shared" si="29"/>
        <v>2.0301598334156799E-3</v>
      </c>
      <c r="K603">
        <f t="shared" si="27"/>
        <v>4418.10009765625</v>
      </c>
      <c r="L603" s="5">
        <f t="shared" si="28"/>
        <v>-0.18612073756869962</v>
      </c>
    </row>
    <row r="604" spans="1:12" x14ac:dyDescent="0.3">
      <c r="A604" s="2">
        <v>45894</v>
      </c>
      <c r="B604">
        <v>3603.10009765625</v>
      </c>
      <c r="C604">
        <f t="shared" si="29"/>
        <v>-1.7151910064426127E-2</v>
      </c>
      <c r="K604">
        <f t="shared" si="27"/>
        <v>4418.10009765625</v>
      </c>
      <c r="L604" s="5">
        <f t="shared" si="28"/>
        <v>-0.18446843258086165</v>
      </c>
    </row>
    <row r="605" spans="1:12" x14ac:dyDescent="0.3">
      <c r="A605" s="2">
        <v>45895</v>
      </c>
      <c r="B605">
        <v>3541.300048828125</v>
      </c>
      <c r="C605">
        <f t="shared" si="29"/>
        <v>5.3087986244899658E-3</v>
      </c>
      <c r="K605">
        <f t="shared" si="27"/>
        <v>4418.10009765625</v>
      </c>
      <c r="L605" s="5">
        <f t="shared" si="28"/>
        <v>-0.19845635667993511</v>
      </c>
    </row>
    <row r="606" spans="1:12" x14ac:dyDescent="0.3">
      <c r="A606" s="2">
        <v>45897</v>
      </c>
      <c r="B606">
        <v>3560.10009765625</v>
      </c>
      <c r="C606">
        <f t="shared" si="29"/>
        <v>1.1488413590021238E-2</v>
      </c>
      <c r="K606">
        <f t="shared" si="27"/>
        <v>4418.10009765625</v>
      </c>
      <c r="L606" s="5">
        <f t="shared" si="28"/>
        <v>-0.19420112288880886</v>
      </c>
    </row>
    <row r="607" spans="1:12" x14ac:dyDescent="0.3">
      <c r="A607" s="2">
        <v>45898</v>
      </c>
      <c r="B607">
        <v>3601</v>
      </c>
      <c r="C607">
        <f t="shared" si="29"/>
        <v>-7.220487798528187E-4</v>
      </c>
      <c r="K607">
        <f t="shared" si="27"/>
        <v>4418.10009765625</v>
      </c>
      <c r="L607" s="5">
        <f t="shared" si="28"/>
        <v>-0.1849437721181808</v>
      </c>
    </row>
    <row r="608" spans="1:12" x14ac:dyDescent="0.3">
      <c r="A608" s="2">
        <v>45901</v>
      </c>
      <c r="B608">
        <v>3598.39990234375</v>
      </c>
      <c r="C608">
        <f t="shared" si="29"/>
        <v>-6.53068047959142E-3</v>
      </c>
      <c r="K608">
        <f t="shared" si="27"/>
        <v>4418.10009765625</v>
      </c>
      <c r="L608" s="5">
        <f t="shared" si="28"/>
        <v>-0.18553228247303433</v>
      </c>
    </row>
    <row r="609" spans="1:12" x14ac:dyDescent="0.3">
      <c r="A609" s="2">
        <v>45902</v>
      </c>
      <c r="B609">
        <v>3574.89990234375</v>
      </c>
      <c r="C609">
        <f t="shared" si="29"/>
        <v>7.2449990746299032E-3</v>
      </c>
      <c r="K609">
        <f t="shared" si="27"/>
        <v>4418.10009765625</v>
      </c>
      <c r="L609" s="5">
        <f t="shared" si="28"/>
        <v>-0.19085131089714513</v>
      </c>
    </row>
    <row r="610" spans="1:12" x14ac:dyDescent="0.3">
      <c r="A610" s="2">
        <v>45903</v>
      </c>
      <c r="B610">
        <v>3600.800048828125</v>
      </c>
      <c r="C610">
        <f t="shared" si="29"/>
        <v>-2.2772581261610628E-3</v>
      </c>
      <c r="K610">
        <f t="shared" si="27"/>
        <v>4418.10009765625</v>
      </c>
      <c r="L610" s="5">
        <f t="shared" si="28"/>
        <v>-0.18498902939335693</v>
      </c>
    </row>
    <row r="611" spans="1:12" x14ac:dyDescent="0.3">
      <c r="A611" s="2">
        <v>45904</v>
      </c>
      <c r="B611">
        <v>3592.60009765625</v>
      </c>
      <c r="C611">
        <f t="shared" si="29"/>
        <v>-1.0855647425229133E-2</v>
      </c>
      <c r="K611">
        <f t="shared" si="27"/>
        <v>4418.10009765625</v>
      </c>
      <c r="L611" s="5">
        <f t="shared" si="28"/>
        <v>-0.1868450197490813</v>
      </c>
    </row>
    <row r="612" spans="1:12" x14ac:dyDescent="0.3">
      <c r="A612" s="2">
        <v>45905</v>
      </c>
      <c r="B612">
        <v>3553.60009765625</v>
      </c>
      <c r="C612">
        <f t="shared" si="29"/>
        <v>-6.7537143574002648E-3</v>
      </c>
      <c r="K612">
        <f t="shared" si="27"/>
        <v>4418.10009765625</v>
      </c>
      <c r="L612" s="5">
        <f t="shared" si="28"/>
        <v>-0.19567234351675444</v>
      </c>
    </row>
    <row r="613" spans="1:12" x14ac:dyDescent="0.3">
      <c r="A613" s="2">
        <v>45908</v>
      </c>
      <c r="B613">
        <v>3529.60009765625</v>
      </c>
      <c r="C613">
        <f t="shared" si="29"/>
        <v>-1.3032914576653002E-3</v>
      </c>
      <c r="K613">
        <f t="shared" si="27"/>
        <v>4418.10009765625</v>
      </c>
      <c r="L613" s="5">
        <f t="shared" si="28"/>
        <v>-0.2011045427583994</v>
      </c>
    </row>
    <row r="614" spans="1:12" x14ac:dyDescent="0.3">
      <c r="A614" s="2">
        <v>45909</v>
      </c>
      <c r="B614">
        <v>3525</v>
      </c>
      <c r="C614">
        <f t="shared" si="29"/>
        <v>7.0921985815602835E-3</v>
      </c>
      <c r="K614">
        <f t="shared" si="27"/>
        <v>4418.10009765625</v>
      </c>
      <c r="L614" s="5">
        <f t="shared" si="28"/>
        <v>-0.20214573638339006</v>
      </c>
    </row>
    <row r="615" spans="1:12" x14ac:dyDescent="0.3">
      <c r="A615" s="2">
        <v>45910</v>
      </c>
      <c r="B615">
        <v>3550</v>
      </c>
      <c r="C615">
        <f t="shared" si="29"/>
        <v>-2.9014222051056337E-3</v>
      </c>
      <c r="K615">
        <f t="shared" si="27"/>
        <v>4418.10009765625</v>
      </c>
      <c r="L615" s="5">
        <f t="shared" si="28"/>
        <v>-0.19648719550667648</v>
      </c>
    </row>
    <row r="616" spans="1:12" x14ac:dyDescent="0.3">
      <c r="A616" s="2">
        <v>45911</v>
      </c>
      <c r="B616">
        <v>3539.699951171875</v>
      </c>
      <c r="C616">
        <f t="shared" si="29"/>
        <v>1.1328671415489388E-2</v>
      </c>
      <c r="K616">
        <f t="shared" si="27"/>
        <v>4418.10009765625</v>
      </c>
      <c r="L616" s="5">
        <f t="shared" si="28"/>
        <v>-0.19881852539972011</v>
      </c>
    </row>
    <row r="617" spans="1:12" x14ac:dyDescent="0.3">
      <c r="A617" s="2">
        <v>45912</v>
      </c>
      <c r="B617">
        <v>3579.800048828125</v>
      </c>
      <c r="C617">
        <f t="shared" si="29"/>
        <v>1.7877820706341007E-3</v>
      </c>
      <c r="K617">
        <f t="shared" si="27"/>
        <v>4418.10009765625</v>
      </c>
      <c r="L617" s="5">
        <f t="shared" si="28"/>
        <v>-0.18974220372979622</v>
      </c>
    </row>
    <row r="618" spans="1:12" x14ac:dyDescent="0.3">
      <c r="A618" s="2">
        <v>45915</v>
      </c>
      <c r="B618">
        <v>3586.199951171875</v>
      </c>
      <c r="C618">
        <f t="shared" si="29"/>
        <v>2.2753917452256182E-2</v>
      </c>
      <c r="K618">
        <f t="shared" si="27"/>
        <v>4418.10009765625</v>
      </c>
      <c r="L618" s="5">
        <f t="shared" si="28"/>
        <v>-0.18829363936903287</v>
      </c>
    </row>
    <row r="619" spans="1:12" x14ac:dyDescent="0.3">
      <c r="A619" s="2">
        <v>45916</v>
      </c>
      <c r="B619">
        <v>3667.800048828125</v>
      </c>
      <c r="C619">
        <f t="shared" si="29"/>
        <v>4.8257677453083072E-3</v>
      </c>
      <c r="K619">
        <f t="shared" si="27"/>
        <v>4418.10009765625</v>
      </c>
      <c r="L619" s="5">
        <f t="shared" si="28"/>
        <v>-0.16982413984376454</v>
      </c>
    </row>
    <row r="620" spans="1:12" x14ac:dyDescent="0.3">
      <c r="A620" s="2">
        <v>45917</v>
      </c>
      <c r="B620">
        <v>3685.5</v>
      </c>
      <c r="C620">
        <f t="shared" si="29"/>
        <v>1.35666802333469E-4</v>
      </c>
      <c r="K620">
        <f t="shared" si="27"/>
        <v>4418.10009765625</v>
      </c>
      <c r="L620" s="5">
        <f t="shared" si="28"/>
        <v>-0.16581790395488905</v>
      </c>
    </row>
    <row r="621" spans="1:12" x14ac:dyDescent="0.3">
      <c r="A621" s="2">
        <v>45918</v>
      </c>
      <c r="B621">
        <v>3686</v>
      </c>
      <c r="C621">
        <f t="shared" si="29"/>
        <v>-2.8757725600244166E-3</v>
      </c>
      <c r="K621">
        <f t="shared" si="27"/>
        <v>4418.10009765625</v>
      </c>
      <c r="L621" s="5">
        <f t="shared" si="28"/>
        <v>-0.16570473313735479</v>
      </c>
    </row>
    <row r="622" spans="1:12" x14ac:dyDescent="0.3">
      <c r="A622" s="2">
        <v>45919</v>
      </c>
      <c r="B622">
        <v>3675.39990234375</v>
      </c>
      <c r="C622">
        <f t="shared" si="29"/>
        <v>-8.4072218438177495E-3</v>
      </c>
      <c r="K622">
        <f t="shared" si="27"/>
        <v>4418.10009765625</v>
      </c>
      <c r="L622" s="5">
        <f t="shared" si="28"/>
        <v>-0.16810397657275666</v>
      </c>
    </row>
    <row r="623" spans="1:12" x14ac:dyDescent="0.3">
      <c r="A623" s="2">
        <v>45922</v>
      </c>
      <c r="B623">
        <v>3644.5</v>
      </c>
      <c r="C623">
        <f t="shared" si="29"/>
        <v>3.5944841970777883E-3</v>
      </c>
      <c r="K623">
        <f t="shared" si="27"/>
        <v>4418.10009765625</v>
      </c>
      <c r="L623" s="5">
        <f t="shared" si="28"/>
        <v>-0.17509791099269922</v>
      </c>
    </row>
    <row r="624" spans="1:12" x14ac:dyDescent="0.3">
      <c r="A624" s="2">
        <v>45923</v>
      </c>
      <c r="B624">
        <v>3657.60009765625</v>
      </c>
      <c r="C624">
        <f t="shared" si="29"/>
        <v>4.429120390240516E-3</v>
      </c>
      <c r="K624">
        <f t="shared" si="27"/>
        <v>4418.10009765625</v>
      </c>
      <c r="L624" s="5">
        <f t="shared" si="28"/>
        <v>-0.17213281346962606</v>
      </c>
    </row>
    <row r="625" spans="1:12" x14ac:dyDescent="0.3">
      <c r="A625" s="2">
        <v>45924</v>
      </c>
      <c r="B625">
        <v>3673.800048828125</v>
      </c>
      <c r="C625">
        <f t="shared" si="29"/>
        <v>-8.0026528645055443E-3</v>
      </c>
      <c r="K625">
        <f t="shared" si="27"/>
        <v>4418.10009765625</v>
      </c>
      <c r="L625" s="5">
        <f t="shared" si="28"/>
        <v>-0.16846609003335333</v>
      </c>
    </row>
    <row r="626" spans="1:12" x14ac:dyDescent="0.3">
      <c r="A626" s="2">
        <v>45925</v>
      </c>
      <c r="B626">
        <v>3644.39990234375</v>
      </c>
      <c r="C626">
        <f t="shared" si="29"/>
        <v>2.3350921945070099E-2</v>
      </c>
      <c r="K626">
        <f t="shared" si="27"/>
        <v>4418.10009765625</v>
      </c>
      <c r="L626" s="5">
        <f t="shared" si="28"/>
        <v>-0.17512056725988145</v>
      </c>
    </row>
    <row r="627" spans="1:12" x14ac:dyDescent="0.3">
      <c r="A627" s="2">
        <v>45926</v>
      </c>
      <c r="B627">
        <v>3729.5</v>
      </c>
      <c r="C627">
        <f t="shared" si="29"/>
        <v>-1.1020270185346561E-2</v>
      </c>
      <c r="K627">
        <f t="shared" si="27"/>
        <v>4418.10009765625</v>
      </c>
      <c r="L627" s="5">
        <f t="shared" si="28"/>
        <v>-0.15585887201187321</v>
      </c>
    </row>
    <row r="628" spans="1:12" x14ac:dyDescent="0.3">
      <c r="A628" s="2">
        <v>45929</v>
      </c>
      <c r="B628">
        <v>3688.39990234375</v>
      </c>
      <c r="C628">
        <f t="shared" si="29"/>
        <v>-7.9709096416221512E-3</v>
      </c>
      <c r="K628">
        <f t="shared" si="27"/>
        <v>4418.10009765625</v>
      </c>
      <c r="L628" s="5">
        <f t="shared" si="28"/>
        <v>-0.16516153531686562</v>
      </c>
    </row>
    <row r="629" spans="1:12" x14ac:dyDescent="0.3">
      <c r="A629" s="2">
        <v>45930</v>
      </c>
      <c r="B629">
        <v>3659</v>
      </c>
      <c r="C629">
        <f t="shared" si="29"/>
        <v>3.0882888297690627E-3</v>
      </c>
      <c r="K629">
        <f t="shared" si="27"/>
        <v>4418.10009765625</v>
      </c>
      <c r="L629" s="5">
        <f t="shared" si="28"/>
        <v>-0.1718159572842054</v>
      </c>
    </row>
    <row r="630" spans="1:12" x14ac:dyDescent="0.3">
      <c r="A630" s="2">
        <v>45931</v>
      </c>
      <c r="B630">
        <v>3670.300048828125</v>
      </c>
      <c r="C630">
        <f t="shared" si="29"/>
        <v>1.7110331033610229E-2</v>
      </c>
      <c r="K630">
        <f t="shared" si="27"/>
        <v>4418.10009765625</v>
      </c>
      <c r="L630" s="5">
        <f t="shared" si="28"/>
        <v>-0.16925828575609325</v>
      </c>
    </row>
    <row r="631" spans="1:12" x14ac:dyDescent="0.3">
      <c r="A631" s="2">
        <v>45933</v>
      </c>
      <c r="B631">
        <v>3733.10009765625</v>
      </c>
      <c r="C631">
        <f t="shared" si="29"/>
        <v>1.0446819645148207E-3</v>
      </c>
      <c r="K631">
        <f t="shared" si="27"/>
        <v>4418.10009765625</v>
      </c>
      <c r="L631" s="5">
        <f t="shared" si="28"/>
        <v>-0.15504402002195117</v>
      </c>
    </row>
    <row r="632" spans="1:12" x14ac:dyDescent="0.3">
      <c r="A632" s="2">
        <v>45936</v>
      </c>
      <c r="B632">
        <v>3737</v>
      </c>
      <c r="C632">
        <f t="shared" si="29"/>
        <v>-1.9534516532312015E-3</v>
      </c>
      <c r="K632">
        <f t="shared" si="27"/>
        <v>4418.10009765625</v>
      </c>
      <c r="L632" s="5">
        <f t="shared" si="28"/>
        <v>-0.15416130974885911</v>
      </c>
    </row>
    <row r="633" spans="1:12" x14ac:dyDescent="0.3">
      <c r="A633" s="2">
        <v>45937</v>
      </c>
      <c r="B633">
        <v>3729.699951171875</v>
      </c>
      <c r="C633">
        <f t="shared" si="29"/>
        <v>2.6837991677735156E-5</v>
      </c>
      <c r="K633">
        <f t="shared" si="27"/>
        <v>4418.10009765625</v>
      </c>
      <c r="L633" s="5">
        <f t="shared" si="28"/>
        <v>-0.15581361473669719</v>
      </c>
    </row>
    <row r="634" spans="1:12" x14ac:dyDescent="0.3">
      <c r="A634" s="2">
        <v>45938</v>
      </c>
      <c r="B634">
        <v>3729.800048828125</v>
      </c>
      <c r="C634">
        <f t="shared" si="29"/>
        <v>1.05635427711813E-2</v>
      </c>
      <c r="K634">
        <f t="shared" si="27"/>
        <v>4418.10009765625</v>
      </c>
      <c r="L634" s="5">
        <f t="shared" si="28"/>
        <v>-0.15579095846951496</v>
      </c>
    </row>
    <row r="635" spans="1:12" x14ac:dyDescent="0.3">
      <c r="A635" s="2">
        <v>45939</v>
      </c>
      <c r="B635">
        <v>3769.199951171875</v>
      </c>
      <c r="C635">
        <f t="shared" si="29"/>
        <v>3.9265756711907903E-3</v>
      </c>
      <c r="K635">
        <f t="shared" si="27"/>
        <v>4418.10009765625</v>
      </c>
      <c r="L635" s="5">
        <f t="shared" si="28"/>
        <v>-0.14687312015148979</v>
      </c>
    </row>
    <row r="636" spans="1:12" x14ac:dyDescent="0.3">
      <c r="A636" s="2">
        <v>45940</v>
      </c>
      <c r="B636">
        <v>3784</v>
      </c>
      <c r="C636">
        <f t="shared" si="29"/>
        <v>-3.831923890063425E-3</v>
      </c>
      <c r="K636">
        <f t="shared" si="27"/>
        <v>4418.10009765625</v>
      </c>
      <c r="L636" s="5">
        <f t="shared" si="28"/>
        <v>-0.14352325290063772</v>
      </c>
    </row>
    <row r="637" spans="1:12" x14ac:dyDescent="0.3">
      <c r="A637" s="2">
        <v>45943</v>
      </c>
      <c r="B637">
        <v>3769.5</v>
      </c>
      <c r="C637">
        <f t="shared" si="29"/>
        <v>-6.6852238153269662E-3</v>
      </c>
      <c r="K637">
        <f t="shared" si="27"/>
        <v>4418.10009765625</v>
      </c>
      <c r="L637" s="5">
        <f t="shared" si="28"/>
        <v>-0.14680520660913154</v>
      </c>
    </row>
    <row r="638" spans="1:12" x14ac:dyDescent="0.3">
      <c r="A638" s="2">
        <v>45944</v>
      </c>
      <c r="B638">
        <v>3744.300048828125</v>
      </c>
      <c r="C638">
        <f t="shared" si="29"/>
        <v>2.2540902503303688E-2</v>
      </c>
      <c r="K638">
        <f t="shared" si="27"/>
        <v>4418.10009765625</v>
      </c>
      <c r="L638" s="5">
        <f t="shared" si="28"/>
        <v>-0.15250900476102114</v>
      </c>
    </row>
    <row r="639" spans="1:12" x14ac:dyDescent="0.3">
      <c r="A639" s="2">
        <v>45945</v>
      </c>
      <c r="B639">
        <v>3828.699951171875</v>
      </c>
      <c r="C639">
        <f t="shared" si="29"/>
        <v>8.6452576797298626E-3</v>
      </c>
      <c r="K639">
        <f t="shared" si="27"/>
        <v>4418.10009765625</v>
      </c>
      <c r="L639" s="5">
        <f t="shared" si="28"/>
        <v>-0.1334057928649115</v>
      </c>
    </row>
    <row r="640" spans="1:12" x14ac:dyDescent="0.3">
      <c r="A640" s="2">
        <v>45946</v>
      </c>
      <c r="B640">
        <v>3861.800048828125</v>
      </c>
      <c r="C640">
        <f t="shared" si="29"/>
        <v>-5.8004418149956759E-3</v>
      </c>
      <c r="K640">
        <f t="shared" si="27"/>
        <v>4418.10009765625</v>
      </c>
      <c r="L640" s="5">
        <f t="shared" si="28"/>
        <v>-0.12591386264046744</v>
      </c>
    </row>
    <row r="641" spans="1:12" x14ac:dyDescent="0.3">
      <c r="A641" s="2">
        <v>45947</v>
      </c>
      <c r="B641">
        <v>3839.39990234375</v>
      </c>
      <c r="C641">
        <f t="shared" si="29"/>
        <v>8.673243130468666E-3</v>
      </c>
      <c r="K641">
        <f t="shared" si="27"/>
        <v>4418.10009765625</v>
      </c>
      <c r="L641" s="5">
        <f t="shared" si="28"/>
        <v>-0.13098394842151573</v>
      </c>
    </row>
    <row r="642" spans="1:12" x14ac:dyDescent="0.3">
      <c r="A642" s="2">
        <v>45950</v>
      </c>
      <c r="B642">
        <v>3872.699951171875</v>
      </c>
      <c r="C642">
        <f t="shared" si="29"/>
        <v>4.0023756540471757E-3</v>
      </c>
      <c r="K642">
        <f t="shared" ref="K642:K705" si="30">MAX(B642:B1381)</f>
        <v>4418.10009765625</v>
      </c>
      <c r="L642" s="5">
        <f t="shared" ref="L642:L705" si="31">B642/K642-1</f>
        <v>-0.12344676092189566</v>
      </c>
    </row>
    <row r="643" spans="1:12" x14ac:dyDescent="0.3">
      <c r="A643" s="2">
        <v>45951</v>
      </c>
      <c r="B643">
        <v>3888.199951171875</v>
      </c>
      <c r="C643">
        <f t="shared" ref="C643:C706" si="32">(B644-B643)/B643</f>
        <v>7.8442467936371239E-3</v>
      </c>
      <c r="K643">
        <f t="shared" si="30"/>
        <v>4418.10009765625</v>
      </c>
      <c r="L643" s="5">
        <f t="shared" si="31"/>
        <v>-0.11993846557833332</v>
      </c>
    </row>
    <row r="644" spans="1:12" x14ac:dyDescent="0.3">
      <c r="A644" s="2">
        <v>45953</v>
      </c>
      <c r="B644">
        <v>3918.699951171875</v>
      </c>
      <c r="C644">
        <f t="shared" si="32"/>
        <v>-3.5215885370346199E-3</v>
      </c>
      <c r="K644">
        <f t="shared" si="30"/>
        <v>4418.10009765625</v>
      </c>
      <c r="L644" s="5">
        <f t="shared" si="31"/>
        <v>-0.11303504570874279</v>
      </c>
    </row>
    <row r="645" spans="1:12" x14ac:dyDescent="0.3">
      <c r="A645" s="2">
        <v>45954</v>
      </c>
      <c r="B645">
        <v>3904.89990234375</v>
      </c>
      <c r="C645">
        <f t="shared" si="32"/>
        <v>4.840110363144262E-3</v>
      </c>
      <c r="K645">
        <f t="shared" si="30"/>
        <v>4418.10009765625</v>
      </c>
      <c r="L645" s="5">
        <f t="shared" si="31"/>
        <v>-0.11615857132452623</v>
      </c>
    </row>
    <row r="646" spans="1:12" x14ac:dyDescent="0.3">
      <c r="A646" s="2">
        <v>45957</v>
      </c>
      <c r="B646">
        <v>3923.800048828125</v>
      </c>
      <c r="C646">
        <f t="shared" si="32"/>
        <v>1.248789423269268E-2</v>
      </c>
      <c r="K646">
        <f t="shared" si="30"/>
        <v>4418.10009765625</v>
      </c>
      <c r="L646" s="5">
        <f t="shared" si="31"/>
        <v>-0.11188068126621786</v>
      </c>
    </row>
    <row r="647" spans="1:12" x14ac:dyDescent="0.3">
      <c r="A647" s="2">
        <v>45958</v>
      </c>
      <c r="B647">
        <v>3972.800048828125</v>
      </c>
      <c r="C647">
        <f t="shared" si="32"/>
        <v>-3.7001487593645976E-3</v>
      </c>
      <c r="K647">
        <f t="shared" si="30"/>
        <v>4418.10009765625</v>
      </c>
      <c r="L647" s="5">
        <f t="shared" si="31"/>
        <v>-0.10078994114785933</v>
      </c>
    </row>
    <row r="648" spans="1:12" x14ac:dyDescent="0.3">
      <c r="A648" s="2">
        <v>45959</v>
      </c>
      <c r="B648">
        <v>3958.10009765625</v>
      </c>
      <c r="C648">
        <f t="shared" si="32"/>
        <v>7.4277814149164298E-3</v>
      </c>
      <c r="K648">
        <f t="shared" si="30"/>
        <v>4418.10009765625</v>
      </c>
      <c r="L648" s="5">
        <f t="shared" si="31"/>
        <v>-0.10411715213152928</v>
      </c>
    </row>
    <row r="649" spans="1:12" x14ac:dyDescent="0.3">
      <c r="A649" s="2">
        <v>45960</v>
      </c>
      <c r="B649">
        <v>3987.5</v>
      </c>
      <c r="C649">
        <f t="shared" si="32"/>
        <v>1.0883988048589342E-2</v>
      </c>
      <c r="K649">
        <f t="shared" si="30"/>
        <v>4418.10009765625</v>
      </c>
      <c r="L649" s="5">
        <f t="shared" si="31"/>
        <v>-9.7462730164189382E-2</v>
      </c>
    </row>
    <row r="650" spans="1:12" x14ac:dyDescent="0.3">
      <c r="A650" s="2">
        <v>45961</v>
      </c>
      <c r="B650">
        <v>4030.89990234375</v>
      </c>
      <c r="C650">
        <f t="shared" si="32"/>
        <v>-1.250338722488375E-2</v>
      </c>
      <c r="K650">
        <f t="shared" si="30"/>
        <v>4418.10009765625</v>
      </c>
      <c r="L650" s="5">
        <f t="shared" si="31"/>
        <v>-8.7639525305890031E-2</v>
      </c>
    </row>
    <row r="651" spans="1:12" x14ac:dyDescent="0.3">
      <c r="A651" s="2">
        <v>45964</v>
      </c>
      <c r="B651">
        <v>3980.5</v>
      </c>
      <c r="C651">
        <f t="shared" si="32"/>
        <v>-1.4093731354415275E-2</v>
      </c>
      <c r="K651">
        <f t="shared" si="30"/>
        <v>4418.10009765625</v>
      </c>
      <c r="L651" s="5">
        <f t="shared" si="31"/>
        <v>-9.904712160966922E-2</v>
      </c>
    </row>
    <row r="652" spans="1:12" x14ac:dyDescent="0.3">
      <c r="A652" s="2">
        <v>45965</v>
      </c>
      <c r="B652">
        <v>3924.39990234375</v>
      </c>
      <c r="C652">
        <f t="shared" si="32"/>
        <v>-1.0906076279825327E-2</v>
      </c>
      <c r="K652">
        <f t="shared" si="30"/>
        <v>4418.10009765625</v>
      </c>
      <c r="L652" s="5">
        <f t="shared" si="31"/>
        <v>-0.11174490944068971</v>
      </c>
    </row>
    <row r="653" spans="1:12" x14ac:dyDescent="0.3">
      <c r="A653" s="2">
        <v>45967</v>
      </c>
      <c r="B653">
        <v>3881.60009765625</v>
      </c>
      <c r="C653">
        <f t="shared" si="32"/>
        <v>2.3183798462221038E-4</v>
      </c>
      <c r="K653">
        <f t="shared" si="30"/>
        <v>4418.10009765625</v>
      </c>
      <c r="L653" s="5">
        <f t="shared" si="31"/>
        <v>-0.12143228721427268</v>
      </c>
    </row>
    <row r="654" spans="1:12" x14ac:dyDescent="0.3">
      <c r="A654" s="2">
        <v>45968</v>
      </c>
      <c r="B654">
        <v>3882.5</v>
      </c>
      <c r="C654">
        <f t="shared" si="32"/>
        <v>9.2723760463618802E-3</v>
      </c>
      <c r="K654">
        <f t="shared" si="30"/>
        <v>4418.10009765625</v>
      </c>
      <c r="L654" s="5">
        <f t="shared" si="31"/>
        <v>-0.12122860184638629</v>
      </c>
    </row>
    <row r="655" spans="1:12" x14ac:dyDescent="0.3">
      <c r="A655" s="2">
        <v>45971</v>
      </c>
      <c r="B655">
        <v>3918.5</v>
      </c>
      <c r="C655">
        <f t="shared" si="32"/>
        <v>9.3147888222534139E-3</v>
      </c>
      <c r="K655">
        <f t="shared" si="30"/>
        <v>4418.10009765625</v>
      </c>
      <c r="L655" s="5">
        <f t="shared" si="31"/>
        <v>-0.1130803029839188</v>
      </c>
    </row>
    <row r="656" spans="1:12" x14ac:dyDescent="0.3">
      <c r="A656" s="2">
        <v>45972</v>
      </c>
      <c r="B656">
        <v>3955</v>
      </c>
      <c r="C656">
        <f t="shared" si="32"/>
        <v>-1.0111310840707965E-4</v>
      </c>
      <c r="K656">
        <f t="shared" si="30"/>
        <v>4418.10009765625</v>
      </c>
      <c r="L656" s="5">
        <f t="shared" si="31"/>
        <v>-0.10481883330391706</v>
      </c>
    </row>
    <row r="657" spans="1:12" x14ac:dyDescent="0.3">
      <c r="A657" s="2">
        <v>45973</v>
      </c>
      <c r="B657">
        <v>3954.60009765625</v>
      </c>
      <c r="C657">
        <f t="shared" si="32"/>
        <v>1.2112451616065695E-2</v>
      </c>
      <c r="K657">
        <f t="shared" si="30"/>
        <v>4418.10009765625</v>
      </c>
      <c r="L657" s="5">
        <f t="shared" si="31"/>
        <v>-0.1049093478542692</v>
      </c>
    </row>
    <row r="658" spans="1:12" x14ac:dyDescent="0.3">
      <c r="A658" s="2">
        <v>45974</v>
      </c>
      <c r="B658">
        <v>4002.5</v>
      </c>
      <c r="C658">
        <f t="shared" si="32"/>
        <v>4.746789116177389E-4</v>
      </c>
      <c r="K658">
        <f t="shared" si="30"/>
        <v>4418.10009765625</v>
      </c>
      <c r="L658" s="5">
        <f t="shared" si="31"/>
        <v>-9.40676056381613E-2</v>
      </c>
    </row>
    <row r="659" spans="1:12" x14ac:dyDescent="0.3">
      <c r="A659" s="2">
        <v>45975</v>
      </c>
      <c r="B659">
        <v>4004.39990234375</v>
      </c>
      <c r="C659">
        <f t="shared" si="32"/>
        <v>5.8186118760235779E-3</v>
      </c>
      <c r="K659">
        <f t="shared" si="30"/>
        <v>4418.10009765625</v>
      </c>
      <c r="L659" s="5">
        <f t="shared" si="31"/>
        <v>-9.3637578635206387E-2</v>
      </c>
    </row>
    <row r="660" spans="1:12" x14ac:dyDescent="0.3">
      <c r="A660" s="2">
        <v>45978</v>
      </c>
      <c r="B660">
        <v>4027.699951171875</v>
      </c>
      <c r="C660">
        <f t="shared" si="32"/>
        <v>-6.9766501617006598E-3</v>
      </c>
      <c r="K660">
        <f t="shared" si="30"/>
        <v>4418.10009765625</v>
      </c>
      <c r="L660" s="5">
        <f t="shared" si="31"/>
        <v>-8.8363807486271706E-2</v>
      </c>
    </row>
    <row r="661" spans="1:12" x14ac:dyDescent="0.3">
      <c r="A661" s="2">
        <v>45979</v>
      </c>
      <c r="B661">
        <v>3999.60009765625</v>
      </c>
      <c r="C661">
        <f t="shared" si="32"/>
        <v>5.0004999279102732E-3</v>
      </c>
      <c r="K661">
        <f t="shared" si="30"/>
        <v>4418.10009765625</v>
      </c>
      <c r="L661" s="5">
        <f t="shared" si="31"/>
        <v>-9.472397427618473E-2</v>
      </c>
    </row>
    <row r="662" spans="1:12" x14ac:dyDescent="0.3">
      <c r="A662" s="2">
        <v>45980</v>
      </c>
      <c r="B662">
        <v>4019.60009765625</v>
      </c>
      <c r="C662">
        <f t="shared" si="32"/>
        <v>4.4282526258964706E-3</v>
      </c>
      <c r="K662">
        <f t="shared" si="30"/>
        <v>4418.10009765625</v>
      </c>
      <c r="L662" s="5">
        <f t="shared" si="31"/>
        <v>-9.0197141574813955E-2</v>
      </c>
    </row>
    <row r="663" spans="1:12" x14ac:dyDescent="0.3">
      <c r="A663" s="2">
        <v>45981</v>
      </c>
      <c r="B663">
        <v>4037.39990234375</v>
      </c>
      <c r="C663">
        <f t="shared" si="32"/>
        <v>-3.0960519894855172E-3</v>
      </c>
      <c r="K663">
        <f t="shared" si="30"/>
        <v>4418.10009765625</v>
      </c>
      <c r="L663" s="5">
        <f t="shared" si="31"/>
        <v>-8.6168304677944452E-2</v>
      </c>
    </row>
    <row r="664" spans="1:12" x14ac:dyDescent="0.3">
      <c r="A664" s="2">
        <v>45982</v>
      </c>
      <c r="B664">
        <v>4024.89990234375</v>
      </c>
      <c r="C664">
        <f t="shared" si="32"/>
        <v>-2.8820228569834145E-3</v>
      </c>
      <c r="K664">
        <f t="shared" si="30"/>
        <v>4418.10009765625</v>
      </c>
      <c r="L664" s="5">
        <f t="shared" si="31"/>
        <v>-8.8997575116301242E-2</v>
      </c>
    </row>
    <row r="665" spans="1:12" x14ac:dyDescent="0.3">
      <c r="A665" s="2">
        <v>45985</v>
      </c>
      <c r="B665">
        <v>4013.300048828125</v>
      </c>
      <c r="C665">
        <f t="shared" si="32"/>
        <v>-4.1362712616260008E-3</v>
      </c>
      <c r="K665">
        <f t="shared" si="30"/>
        <v>4418.10009765625</v>
      </c>
      <c r="L665" s="5">
        <f t="shared" si="31"/>
        <v>-9.162310492758341E-2</v>
      </c>
    </row>
    <row r="666" spans="1:12" x14ac:dyDescent="0.3">
      <c r="A666" s="2">
        <v>45986</v>
      </c>
      <c r="B666">
        <v>3996.699951171875</v>
      </c>
      <c r="C666">
        <f t="shared" si="32"/>
        <v>1.6338491662096957E-2</v>
      </c>
      <c r="K666">
        <f t="shared" si="30"/>
        <v>4418.10009765625</v>
      </c>
      <c r="L666" s="5">
        <f t="shared" si="31"/>
        <v>-9.5380398173396497E-2</v>
      </c>
    </row>
    <row r="667" spans="1:12" x14ac:dyDescent="0.3">
      <c r="A667" s="2">
        <v>45987</v>
      </c>
      <c r="B667">
        <v>4062</v>
      </c>
      <c r="C667">
        <f t="shared" si="32"/>
        <v>4.7513660335118165E-3</v>
      </c>
      <c r="K667">
        <f t="shared" si="30"/>
        <v>4418.10009765625</v>
      </c>
      <c r="L667" s="5">
        <f t="shared" si="31"/>
        <v>-8.060027835158301E-2</v>
      </c>
    </row>
    <row r="668" spans="1:12" x14ac:dyDescent="0.3">
      <c r="A668" s="2">
        <v>45988</v>
      </c>
      <c r="B668">
        <v>4081.300048828125</v>
      </c>
      <c r="C668">
        <f t="shared" si="32"/>
        <v>-2.8667216406288087E-3</v>
      </c>
      <c r="K668">
        <f t="shared" si="30"/>
        <v>4418.10009765625</v>
      </c>
      <c r="L668" s="5">
        <f t="shared" si="31"/>
        <v>-7.6231873742922507E-2</v>
      </c>
    </row>
    <row r="669" spans="1:12" x14ac:dyDescent="0.3">
      <c r="A669" s="2">
        <v>45989</v>
      </c>
      <c r="B669">
        <v>4069.60009765625</v>
      </c>
      <c r="C669">
        <f t="shared" si="32"/>
        <v>8.8457180785360585E-4</v>
      </c>
      <c r="K669">
        <f t="shared" si="30"/>
        <v>4418.10009765625</v>
      </c>
      <c r="L669" s="5">
        <f t="shared" si="31"/>
        <v>-7.8880059821386794E-2</v>
      </c>
    </row>
    <row r="670" spans="1:12" x14ac:dyDescent="0.3">
      <c r="A670" s="2">
        <v>45992</v>
      </c>
      <c r="B670">
        <v>4073.199951171875</v>
      </c>
      <c r="C670">
        <f t="shared" si="32"/>
        <v>-1.0483146342862461E-2</v>
      </c>
      <c r="K670">
        <f t="shared" si="30"/>
        <v>4418.10009765625</v>
      </c>
      <c r="L670" s="5">
        <f t="shared" si="31"/>
        <v>-7.8065263090652981E-2</v>
      </c>
    </row>
    <row r="671" spans="1:12" x14ac:dyDescent="0.3">
      <c r="A671" s="2">
        <v>45993</v>
      </c>
      <c r="B671">
        <v>4030.5</v>
      </c>
      <c r="C671">
        <f t="shared" si="32"/>
        <v>-1.0544597444485796E-2</v>
      </c>
      <c r="K671">
        <f t="shared" si="30"/>
        <v>4418.10009765625</v>
      </c>
      <c r="L671" s="5">
        <f t="shared" si="31"/>
        <v>-8.773003985624217E-2</v>
      </c>
    </row>
    <row r="672" spans="1:12" x14ac:dyDescent="0.3">
      <c r="A672" s="2">
        <v>45994</v>
      </c>
      <c r="B672">
        <v>3988</v>
      </c>
      <c r="C672">
        <f t="shared" si="32"/>
        <v>-1.103285442264293E-3</v>
      </c>
      <c r="K672">
        <f t="shared" si="30"/>
        <v>4418.10009765625</v>
      </c>
      <c r="L672" s="5">
        <f t="shared" si="31"/>
        <v>-9.7349559346655123E-2</v>
      </c>
    </row>
    <row r="673" spans="1:12" x14ac:dyDescent="0.3">
      <c r="A673" s="2">
        <v>45995</v>
      </c>
      <c r="B673">
        <v>3983.60009765625</v>
      </c>
      <c r="C673">
        <f t="shared" si="32"/>
        <v>1.3706158293285716E-2</v>
      </c>
      <c r="K673">
        <f t="shared" si="30"/>
        <v>4418.10009765625</v>
      </c>
      <c r="L673" s="5">
        <f t="shared" si="31"/>
        <v>-9.8345440437281439E-2</v>
      </c>
    </row>
    <row r="674" spans="1:12" x14ac:dyDescent="0.3">
      <c r="A674" s="2">
        <v>45996</v>
      </c>
      <c r="B674">
        <v>4038.199951171875</v>
      </c>
      <c r="C674">
        <f t="shared" si="32"/>
        <v>-1.0276856149224807E-2</v>
      </c>
      <c r="K674">
        <f t="shared" si="30"/>
        <v>4418.10009765625</v>
      </c>
      <c r="L674" s="5">
        <f t="shared" si="31"/>
        <v>-8.5987220318051949E-2</v>
      </c>
    </row>
    <row r="675" spans="1:12" x14ac:dyDescent="0.3">
      <c r="A675" s="2">
        <v>45999</v>
      </c>
      <c r="B675">
        <v>3996.699951171875</v>
      </c>
      <c r="C675">
        <f t="shared" si="32"/>
        <v>2.0017735579335076E-4</v>
      </c>
      <c r="K675">
        <f t="shared" si="30"/>
        <v>4418.10009765625</v>
      </c>
      <c r="L675" s="5">
        <f t="shared" si="31"/>
        <v>-9.5380398173396497E-2</v>
      </c>
    </row>
    <row r="676" spans="1:12" x14ac:dyDescent="0.3">
      <c r="A676" s="2">
        <v>46000</v>
      </c>
      <c r="B676">
        <v>3997.5</v>
      </c>
      <c r="C676">
        <f t="shared" si="32"/>
        <v>-1.5509571411819888E-3</v>
      </c>
      <c r="K676">
        <f t="shared" si="30"/>
        <v>4418.10009765625</v>
      </c>
      <c r="L676" s="5">
        <f t="shared" si="31"/>
        <v>-9.5199313813503994E-2</v>
      </c>
    </row>
    <row r="677" spans="1:12" x14ac:dyDescent="0.3">
      <c r="A677" s="2">
        <v>46001</v>
      </c>
      <c r="B677">
        <v>3991.300048828125</v>
      </c>
      <c r="C677">
        <f t="shared" si="32"/>
        <v>3.156829444412331E-3</v>
      </c>
      <c r="K677">
        <f t="shared" si="30"/>
        <v>4418.10009765625</v>
      </c>
      <c r="L677" s="5">
        <f t="shared" si="31"/>
        <v>-9.6602620899091329E-2</v>
      </c>
    </row>
    <row r="678" spans="1:12" x14ac:dyDescent="0.3">
      <c r="A678" s="2">
        <v>46002</v>
      </c>
      <c r="B678">
        <v>4003.89990234375</v>
      </c>
      <c r="C678">
        <f t="shared" si="32"/>
        <v>1.7532954625415868E-2</v>
      </c>
      <c r="K678">
        <f t="shared" si="30"/>
        <v>4418.10009765625</v>
      </c>
      <c r="L678" s="5">
        <f t="shared" si="31"/>
        <v>-9.3750749452740645E-2</v>
      </c>
    </row>
    <row r="679" spans="1:12" x14ac:dyDescent="0.3">
      <c r="A679" s="2">
        <v>46003</v>
      </c>
      <c r="B679">
        <v>4074.10009765625</v>
      </c>
      <c r="C679">
        <f t="shared" si="32"/>
        <v>4.467232207265864E-3</v>
      </c>
      <c r="K679">
        <f t="shared" si="30"/>
        <v>4418.10009765625</v>
      </c>
      <c r="L679" s="5">
        <f t="shared" si="31"/>
        <v>-7.7861522463578359E-2</v>
      </c>
    </row>
    <row r="680" spans="1:12" x14ac:dyDescent="0.3">
      <c r="A680" s="2">
        <v>46006</v>
      </c>
      <c r="B680">
        <v>4092.300048828125</v>
      </c>
      <c r="C680">
        <f t="shared" si="32"/>
        <v>-6.9642987219769694E-3</v>
      </c>
      <c r="K680">
        <f t="shared" si="30"/>
        <v>4418.10009765625</v>
      </c>
      <c r="L680" s="5">
        <f t="shared" si="31"/>
        <v>-7.3742115757168603E-2</v>
      </c>
    </row>
    <row r="681" spans="1:12" x14ac:dyDescent="0.3">
      <c r="A681" s="2">
        <v>46007</v>
      </c>
      <c r="B681">
        <v>4063.800048828125</v>
      </c>
      <c r="C681">
        <f t="shared" si="32"/>
        <v>-3.4454118498737635E-4</v>
      </c>
      <c r="K681">
        <f t="shared" si="30"/>
        <v>4418.10009765625</v>
      </c>
      <c r="L681" s="5">
        <f t="shared" si="31"/>
        <v>-8.0192852356621991E-2</v>
      </c>
    </row>
    <row r="682" spans="1:12" x14ac:dyDescent="0.3">
      <c r="A682" s="2">
        <v>46008</v>
      </c>
      <c r="B682">
        <v>4062.39990234375</v>
      </c>
      <c r="C682">
        <f t="shared" si="32"/>
        <v>-7.7047571484633939E-3</v>
      </c>
      <c r="K682">
        <f t="shared" si="30"/>
        <v>4418.10009765625</v>
      </c>
      <c r="L682" s="5">
        <f t="shared" si="31"/>
        <v>-8.0509763801230982E-2</v>
      </c>
    </row>
    <row r="683" spans="1:12" x14ac:dyDescent="0.3">
      <c r="A683" s="2">
        <v>46009</v>
      </c>
      <c r="B683">
        <v>4031.10009765625</v>
      </c>
      <c r="C683">
        <f t="shared" si="32"/>
        <v>1.0518196352504871E-2</v>
      </c>
      <c r="K683">
        <f t="shared" si="30"/>
        <v>4418.10009765625</v>
      </c>
      <c r="L683" s="5">
        <f t="shared" si="31"/>
        <v>-8.7594212771525681E-2</v>
      </c>
    </row>
    <row r="684" spans="1:12" x14ac:dyDescent="0.3">
      <c r="A684" s="2">
        <v>46010</v>
      </c>
      <c r="B684">
        <v>4073.5</v>
      </c>
      <c r="C684">
        <f t="shared" si="32"/>
        <v>-2.7006202436479686E-4</v>
      </c>
      <c r="K684">
        <f t="shared" si="30"/>
        <v>4418.10009765625</v>
      </c>
      <c r="L684" s="5">
        <f t="shared" si="31"/>
        <v>-7.7997349548294848E-2</v>
      </c>
    </row>
    <row r="685" spans="1:12" x14ac:dyDescent="0.3">
      <c r="A685" s="2">
        <v>46013</v>
      </c>
      <c r="B685">
        <v>4072.39990234375</v>
      </c>
      <c r="C685">
        <f t="shared" si="32"/>
        <v>-3.3395181813549312E-3</v>
      </c>
      <c r="K685">
        <f t="shared" si="30"/>
        <v>4418.10009765625</v>
      </c>
      <c r="L685" s="5">
        <f t="shared" si="31"/>
        <v>-7.8246347450545484E-2</v>
      </c>
    </row>
    <row r="686" spans="1:12" x14ac:dyDescent="0.3">
      <c r="A686" s="2">
        <v>46014</v>
      </c>
      <c r="B686">
        <v>4058.800048828125</v>
      </c>
      <c r="C686">
        <f t="shared" si="32"/>
        <v>-1.2811548017440163E-3</v>
      </c>
      <c r="K686">
        <f t="shared" si="30"/>
        <v>4418.10009765625</v>
      </c>
      <c r="L686" s="5">
        <f t="shared" si="31"/>
        <v>-8.1324560531964685E-2</v>
      </c>
    </row>
    <row r="687" spans="1:12" x14ac:dyDescent="0.3">
      <c r="A687" s="2">
        <v>46015</v>
      </c>
      <c r="B687">
        <v>4053.60009765625</v>
      </c>
      <c r="C687">
        <f t="shared" si="32"/>
        <v>-1.5541860756732326E-3</v>
      </c>
      <c r="K687">
        <f t="shared" si="30"/>
        <v>4418.10009765625</v>
      </c>
      <c r="L687" s="5">
        <f t="shared" si="31"/>
        <v>-8.2501525982483503E-2</v>
      </c>
    </row>
    <row r="688" spans="1:12" x14ac:dyDescent="0.3">
      <c r="A688" s="2">
        <v>46017</v>
      </c>
      <c r="B688">
        <v>4047.300048828125</v>
      </c>
      <c r="C688">
        <f t="shared" si="32"/>
        <v>-2.124897475476303E-3</v>
      </c>
      <c r="K688">
        <f t="shared" si="30"/>
        <v>4418.10009765625</v>
      </c>
      <c r="L688" s="5">
        <f t="shared" si="31"/>
        <v>-8.3927489335252958E-2</v>
      </c>
    </row>
    <row r="689" spans="1:12" x14ac:dyDescent="0.3">
      <c r="A689" s="2">
        <v>46020</v>
      </c>
      <c r="B689">
        <v>4038.699951171875</v>
      </c>
      <c r="C689">
        <f t="shared" si="32"/>
        <v>3.2931510111975115E-3</v>
      </c>
      <c r="K689">
        <f t="shared" si="30"/>
        <v>4418.10009765625</v>
      </c>
      <c r="L689" s="5">
        <f t="shared" si="31"/>
        <v>-8.5874049500517691E-2</v>
      </c>
    </row>
    <row r="690" spans="1:12" x14ac:dyDescent="0.3">
      <c r="A690" s="2">
        <v>46021</v>
      </c>
      <c r="B690">
        <v>4052</v>
      </c>
      <c r="C690">
        <f t="shared" si="32"/>
        <v>7.7739387956564663E-3</v>
      </c>
      <c r="K690">
        <f t="shared" si="30"/>
        <v>4418.10009765625</v>
      </c>
      <c r="L690" s="5">
        <f t="shared" si="31"/>
        <v>-8.2863694702268509E-2</v>
      </c>
    </row>
    <row r="691" spans="1:12" x14ac:dyDescent="0.3">
      <c r="A691" s="2">
        <v>46022</v>
      </c>
      <c r="B691">
        <v>4083.5</v>
      </c>
      <c r="C691">
        <f t="shared" si="32"/>
        <v>1.3934101222909268E-2</v>
      </c>
      <c r="K691">
        <f t="shared" si="30"/>
        <v>4418.10009765625</v>
      </c>
      <c r="L691" s="5">
        <f t="shared" si="31"/>
        <v>-7.5733933197609349E-2</v>
      </c>
    </row>
    <row r="692" spans="1:12" x14ac:dyDescent="0.3">
      <c r="A692" s="2">
        <v>46023</v>
      </c>
      <c r="B692">
        <v>4140.39990234375</v>
      </c>
      <c r="C692">
        <f t="shared" si="32"/>
        <v>5.555018969781258E-3</v>
      </c>
      <c r="K692">
        <f t="shared" si="30"/>
        <v>4418.10009765625</v>
      </c>
      <c r="L692" s="5">
        <f t="shared" si="31"/>
        <v>-6.2855116265884692E-2</v>
      </c>
    </row>
    <row r="693" spans="1:12" x14ac:dyDescent="0.3">
      <c r="A693" s="2">
        <v>46024</v>
      </c>
      <c r="B693">
        <v>4163.39990234375</v>
      </c>
      <c r="C693">
        <f t="shared" si="32"/>
        <v>-3.1224480724711943E-3</v>
      </c>
      <c r="K693">
        <f t="shared" si="30"/>
        <v>4418.10009765625</v>
      </c>
      <c r="L693" s="5">
        <f t="shared" si="31"/>
        <v>-5.7649258659308256E-2</v>
      </c>
    </row>
    <row r="694" spans="1:12" x14ac:dyDescent="0.3">
      <c r="A694" s="2">
        <v>46027</v>
      </c>
      <c r="B694">
        <v>4150.39990234375</v>
      </c>
      <c r="C694">
        <f t="shared" si="32"/>
        <v>-2.3611711926761576E-3</v>
      </c>
      <c r="K694">
        <f t="shared" si="30"/>
        <v>4418.10009765625</v>
      </c>
      <c r="L694" s="5">
        <f t="shared" si="31"/>
        <v>-6.0591699915199304E-2</v>
      </c>
    </row>
    <row r="695" spans="1:12" x14ac:dyDescent="0.3">
      <c r="A695" s="2">
        <v>46028</v>
      </c>
      <c r="B695">
        <v>4140.60009765625</v>
      </c>
      <c r="C695">
        <f t="shared" si="32"/>
        <v>3.9607549526536065E-3</v>
      </c>
      <c r="K695">
        <f t="shared" si="30"/>
        <v>4418.10009765625</v>
      </c>
      <c r="L695" s="5">
        <f t="shared" si="31"/>
        <v>-6.2809803731520342E-2</v>
      </c>
    </row>
    <row r="696" spans="1:12" x14ac:dyDescent="0.3">
      <c r="A696" s="2">
        <v>46029</v>
      </c>
      <c r="B696">
        <v>4157</v>
      </c>
      <c r="C696">
        <f t="shared" si="32"/>
        <v>-3.0935794480695212E-2</v>
      </c>
      <c r="K696">
        <f t="shared" si="30"/>
        <v>4418.10009765625</v>
      </c>
      <c r="L696" s="5">
        <f t="shared" si="31"/>
        <v>-5.9097823020071605E-2</v>
      </c>
    </row>
    <row r="697" spans="1:12" x14ac:dyDescent="0.3">
      <c r="A697" s="2">
        <v>46030</v>
      </c>
      <c r="B697">
        <v>4028.39990234375</v>
      </c>
      <c r="C697">
        <f t="shared" si="32"/>
        <v>-7.9434794197399494E-4</v>
      </c>
      <c r="K697">
        <f t="shared" si="30"/>
        <v>4418.10009765625</v>
      </c>
      <c r="L697" s="5">
        <f t="shared" si="31"/>
        <v>-8.8205379393561323E-2</v>
      </c>
    </row>
    <row r="698" spans="1:12" x14ac:dyDescent="0.3">
      <c r="A698" s="2">
        <v>46031</v>
      </c>
      <c r="B698">
        <v>4025.199951171875</v>
      </c>
      <c r="C698">
        <f t="shared" si="32"/>
        <v>-1.5402840224297378E-3</v>
      </c>
      <c r="K698">
        <f t="shared" si="30"/>
        <v>4418.10009765625</v>
      </c>
      <c r="L698" s="5">
        <f t="shared" si="31"/>
        <v>-8.8929661573942997E-2</v>
      </c>
    </row>
    <row r="699" spans="1:12" x14ac:dyDescent="0.3">
      <c r="A699" s="2">
        <v>46034</v>
      </c>
      <c r="B699">
        <v>4019</v>
      </c>
      <c r="C699">
        <f t="shared" si="32"/>
        <v>-3.2744488095608364E-2</v>
      </c>
      <c r="K699">
        <f t="shared" si="30"/>
        <v>4418.10009765625</v>
      </c>
      <c r="L699" s="5">
        <f t="shared" si="31"/>
        <v>-9.0332968659530333E-2</v>
      </c>
    </row>
    <row r="700" spans="1:12" x14ac:dyDescent="0.3">
      <c r="A700" s="2">
        <v>46035</v>
      </c>
      <c r="B700">
        <v>3887.39990234375</v>
      </c>
      <c r="C700">
        <f t="shared" si="32"/>
        <v>-5.5563754844471349E-3</v>
      </c>
      <c r="K700">
        <f t="shared" si="30"/>
        <v>4418.10009765625</v>
      </c>
      <c r="L700" s="5">
        <f t="shared" si="31"/>
        <v>-0.12011954993822571</v>
      </c>
    </row>
    <row r="701" spans="1:12" x14ac:dyDescent="0.3">
      <c r="A701" s="2">
        <v>46036</v>
      </c>
      <c r="B701">
        <v>3865.800048828125</v>
      </c>
      <c r="C701">
        <f t="shared" si="32"/>
        <v>0</v>
      </c>
      <c r="K701">
        <f t="shared" si="30"/>
        <v>4418.10009765625</v>
      </c>
      <c r="L701" s="5">
        <f t="shared" si="31"/>
        <v>-0.12500849610019327</v>
      </c>
    </row>
    <row r="702" spans="1:12" x14ac:dyDescent="0.3">
      <c r="A702" s="2">
        <v>46037</v>
      </c>
      <c r="B702">
        <v>3865.800048828125</v>
      </c>
      <c r="C702">
        <f t="shared" si="32"/>
        <v>-2.4316173536250412E-3</v>
      </c>
      <c r="K702">
        <f t="shared" si="30"/>
        <v>4418.10009765625</v>
      </c>
      <c r="L702" s="5">
        <f t="shared" si="31"/>
        <v>-0.12500849610019327</v>
      </c>
    </row>
    <row r="703" spans="1:12" x14ac:dyDescent="0.3">
      <c r="A703" s="2">
        <v>46038</v>
      </c>
      <c r="B703">
        <v>3856.39990234375</v>
      </c>
      <c r="C703">
        <f t="shared" si="32"/>
        <v>3.4747813566303075E-3</v>
      </c>
      <c r="K703">
        <f t="shared" si="30"/>
        <v>4418.10009765625</v>
      </c>
      <c r="L703" s="5">
        <f t="shared" si="31"/>
        <v>-0.1271361406253505</v>
      </c>
    </row>
    <row r="704" spans="1:12" x14ac:dyDescent="0.3">
      <c r="A704" s="2">
        <v>46041</v>
      </c>
      <c r="B704">
        <v>3869.800048828125</v>
      </c>
      <c r="C704">
        <f t="shared" si="32"/>
        <v>-1.5323801767505425E-2</v>
      </c>
      <c r="K704">
        <f t="shared" si="30"/>
        <v>4418.10009765625</v>
      </c>
      <c r="L704" s="5">
        <f t="shared" si="31"/>
        <v>-0.12410312955991909</v>
      </c>
    </row>
    <row r="705" spans="1:12" x14ac:dyDescent="0.3">
      <c r="A705" s="2">
        <v>46042</v>
      </c>
      <c r="B705">
        <v>3810.5</v>
      </c>
      <c r="C705">
        <f t="shared" si="32"/>
        <v>-1.1547041070725626E-2</v>
      </c>
      <c r="K705">
        <f t="shared" si="30"/>
        <v>4418.10009765625</v>
      </c>
      <c r="L705" s="5">
        <f t="shared" si="31"/>
        <v>-0.13752519957132137</v>
      </c>
    </row>
    <row r="706" spans="1:12" x14ac:dyDescent="0.3">
      <c r="A706" s="2">
        <v>46043</v>
      </c>
      <c r="B706">
        <v>3766.5</v>
      </c>
      <c r="C706">
        <f t="shared" si="32"/>
        <v>7.2481212871697859E-3</v>
      </c>
      <c r="K706">
        <f t="shared" ref="K706:K740" si="33">MAX(B706:B1445)</f>
        <v>4418.10009765625</v>
      </c>
      <c r="L706" s="5">
        <f t="shared" ref="L706:L740" si="34">B706/K706-1</f>
        <v>-0.14748423151433721</v>
      </c>
    </row>
    <row r="707" spans="1:12" x14ac:dyDescent="0.3">
      <c r="A707" s="2">
        <v>46044</v>
      </c>
      <c r="B707">
        <v>3793.800048828125</v>
      </c>
      <c r="C707">
        <f t="shared" ref="C707:C740" si="35">(B708-B707)/B707</f>
        <v>-1.3179397795475438E-2</v>
      </c>
      <c r="K707">
        <f t="shared" si="33"/>
        <v>4418.10009765625</v>
      </c>
      <c r="L707" s="5">
        <f t="shared" si="34"/>
        <v>-0.14130509382512835</v>
      </c>
    </row>
    <row r="708" spans="1:12" x14ac:dyDescent="0.3">
      <c r="A708" s="2">
        <v>46045</v>
      </c>
      <c r="B708">
        <v>3743.800048828125</v>
      </c>
      <c r="C708">
        <f t="shared" si="35"/>
        <v>1.1752764417472769E-2</v>
      </c>
      <c r="K708">
        <f t="shared" si="33"/>
        <v>4418.10009765625</v>
      </c>
      <c r="L708" s="5">
        <f t="shared" si="34"/>
        <v>-0.1526221755785554</v>
      </c>
    </row>
    <row r="709" spans="1:12" x14ac:dyDescent="0.3">
      <c r="A709" s="2">
        <v>46049</v>
      </c>
      <c r="B709">
        <v>3787.800048828125</v>
      </c>
      <c r="C709">
        <f t="shared" si="35"/>
        <v>1.6368211341549429E-3</v>
      </c>
      <c r="K709">
        <f t="shared" si="33"/>
        <v>4418.10009765625</v>
      </c>
      <c r="L709" s="5">
        <f t="shared" si="34"/>
        <v>-0.14266314363553956</v>
      </c>
    </row>
    <row r="710" spans="1:12" x14ac:dyDescent="0.3">
      <c r="A710" s="2">
        <v>46050</v>
      </c>
      <c r="B710">
        <v>3794</v>
      </c>
      <c r="C710">
        <f t="shared" si="35"/>
        <v>3.6610411793292039E-2</v>
      </c>
      <c r="K710">
        <f t="shared" si="33"/>
        <v>4418.10009765625</v>
      </c>
      <c r="L710" s="5">
        <f t="shared" si="34"/>
        <v>-0.14125983654995222</v>
      </c>
    </row>
    <row r="711" spans="1:12" x14ac:dyDescent="0.3">
      <c r="A711" s="2">
        <v>46051</v>
      </c>
      <c r="B711">
        <v>3932.89990234375</v>
      </c>
      <c r="C711">
        <f t="shared" si="35"/>
        <v>-1.5252193814226664E-4</v>
      </c>
      <c r="K711">
        <f t="shared" si="33"/>
        <v>4418.10009765625</v>
      </c>
      <c r="L711" s="5">
        <f t="shared" si="34"/>
        <v>-0.1098210055426071</v>
      </c>
    </row>
    <row r="712" spans="1:12" x14ac:dyDescent="0.3">
      <c r="A712" s="2">
        <v>46052</v>
      </c>
      <c r="B712">
        <v>3932.300048828125</v>
      </c>
      <c r="C712">
        <f t="shared" si="35"/>
        <v>-2.7973450304938298E-3</v>
      </c>
      <c r="K712">
        <f t="shared" si="33"/>
        <v>4418.10009765625</v>
      </c>
      <c r="L712" s="5">
        <f t="shared" si="34"/>
        <v>-0.10995677736813525</v>
      </c>
    </row>
    <row r="713" spans="1:12" x14ac:dyDescent="0.3">
      <c r="A713" s="2">
        <v>46055</v>
      </c>
      <c r="B713">
        <v>3921.300048828125</v>
      </c>
      <c r="C713">
        <f t="shared" si="35"/>
        <v>2.9964552198731825E-2</v>
      </c>
      <c r="K713">
        <f t="shared" si="33"/>
        <v>4418.10009765625</v>
      </c>
      <c r="L713" s="5">
        <f t="shared" si="34"/>
        <v>-0.11244653535388927</v>
      </c>
    </row>
    <row r="714" spans="1:12" x14ac:dyDescent="0.3">
      <c r="A714" s="2">
        <v>46056</v>
      </c>
      <c r="B714">
        <v>4038.800048828125</v>
      </c>
      <c r="C714">
        <f t="shared" si="35"/>
        <v>1.1959009667274681E-2</v>
      </c>
      <c r="K714">
        <f t="shared" si="33"/>
        <v>4418.10009765625</v>
      </c>
      <c r="L714" s="5">
        <f t="shared" si="34"/>
        <v>-8.5851393233335571E-2</v>
      </c>
    </row>
    <row r="715" spans="1:12" x14ac:dyDescent="0.3">
      <c r="A715" s="2">
        <v>46057</v>
      </c>
      <c r="B715">
        <v>4087.10009765625</v>
      </c>
      <c r="C715">
        <f t="shared" si="35"/>
        <v>-5.8232116315852286E-3</v>
      </c>
      <c r="K715">
        <f t="shared" si="33"/>
        <v>4418.10009765625</v>
      </c>
      <c r="L715" s="5">
        <f t="shared" si="34"/>
        <v>-7.491908120768731E-2</v>
      </c>
    </row>
    <row r="716" spans="1:12" x14ac:dyDescent="0.3">
      <c r="A716" s="2">
        <v>46058</v>
      </c>
      <c r="B716">
        <v>4063.300048828125</v>
      </c>
      <c r="C716">
        <f t="shared" si="35"/>
        <v>1.1813178378272499E-3</v>
      </c>
      <c r="K716">
        <f t="shared" si="33"/>
        <v>4418.10009765625</v>
      </c>
      <c r="L716" s="5">
        <f t="shared" si="34"/>
        <v>-8.0306023174156249E-2</v>
      </c>
    </row>
    <row r="717" spans="1:12" x14ac:dyDescent="0.3">
      <c r="A717" s="2">
        <v>46059</v>
      </c>
      <c r="B717">
        <v>4068.10009765625</v>
      </c>
      <c r="C717">
        <f t="shared" si="35"/>
        <v>1.118458221473308E-2</v>
      </c>
      <c r="K717">
        <f t="shared" si="33"/>
        <v>4418.10009765625</v>
      </c>
      <c r="L717" s="5">
        <f t="shared" si="34"/>
        <v>-7.921957227398968E-2</v>
      </c>
    </row>
    <row r="718" spans="1:12" x14ac:dyDescent="0.3">
      <c r="A718" s="2">
        <v>46062</v>
      </c>
      <c r="B718">
        <v>4113.60009765625</v>
      </c>
      <c r="C718">
        <f t="shared" si="35"/>
        <v>1.3467498305271445E-2</v>
      </c>
      <c r="K718">
        <f t="shared" si="33"/>
        <v>4418.10009765625</v>
      </c>
      <c r="L718" s="5">
        <f t="shared" si="34"/>
        <v>-6.8921027878370955E-2</v>
      </c>
    </row>
    <row r="719" spans="1:12" x14ac:dyDescent="0.3">
      <c r="A719" s="2">
        <v>46063</v>
      </c>
      <c r="B719">
        <v>4169</v>
      </c>
      <c r="C719">
        <f t="shared" si="35"/>
        <v>3.3578852092828017E-4</v>
      </c>
      <c r="K719">
        <f t="shared" si="33"/>
        <v>4418.10009765625</v>
      </c>
      <c r="L719" s="5">
        <f t="shared" si="34"/>
        <v>-5.6381723399249073E-2</v>
      </c>
    </row>
    <row r="720" spans="1:12" x14ac:dyDescent="0.3">
      <c r="A720" s="2">
        <v>46064</v>
      </c>
      <c r="B720">
        <v>4170.39990234375</v>
      </c>
      <c r="C720">
        <f t="shared" si="35"/>
        <v>3.7166699508335049E-3</v>
      </c>
      <c r="K720">
        <f t="shared" si="33"/>
        <v>4418.10009765625</v>
      </c>
      <c r="L720" s="5">
        <f t="shared" si="34"/>
        <v>-5.6064867213828418E-2</v>
      </c>
    </row>
    <row r="721" spans="1:12" x14ac:dyDescent="0.3">
      <c r="A721" s="2">
        <v>46065</v>
      </c>
      <c r="B721">
        <v>4185.89990234375</v>
      </c>
      <c r="C721">
        <f t="shared" si="35"/>
        <v>-2.8667670703929195E-3</v>
      </c>
      <c r="K721">
        <f t="shared" si="33"/>
        <v>4418.10009765625</v>
      </c>
      <c r="L721" s="5">
        <f t="shared" si="34"/>
        <v>-5.2556571870265967E-2</v>
      </c>
    </row>
    <row r="722" spans="1:12" x14ac:dyDescent="0.3">
      <c r="A722" s="2">
        <v>46066</v>
      </c>
      <c r="B722">
        <v>4173.89990234375</v>
      </c>
      <c r="C722">
        <f t="shared" si="35"/>
        <v>6.6125442157230095E-3</v>
      </c>
      <c r="K722">
        <f t="shared" si="33"/>
        <v>4418.10009765625</v>
      </c>
      <c r="L722" s="5">
        <f t="shared" si="34"/>
        <v>-5.5272671491088499E-2</v>
      </c>
    </row>
    <row r="723" spans="1:12" x14ac:dyDescent="0.3">
      <c r="A723" s="2">
        <v>46069</v>
      </c>
      <c r="B723">
        <v>4201.5</v>
      </c>
      <c r="C723">
        <f t="shared" si="35"/>
        <v>1.8636154870284423E-2</v>
      </c>
      <c r="K723">
        <f t="shared" si="33"/>
        <v>4418.10009765625</v>
      </c>
      <c r="L723" s="5">
        <f t="shared" si="34"/>
        <v>-4.9025620259521507E-2</v>
      </c>
    </row>
    <row r="724" spans="1:12" x14ac:dyDescent="0.3">
      <c r="A724" s="2">
        <v>46070</v>
      </c>
      <c r="B724">
        <v>4279.7998046875</v>
      </c>
      <c r="C724">
        <f t="shared" si="35"/>
        <v>1.0771554689487657E-2</v>
      </c>
      <c r="K724">
        <f t="shared" si="33"/>
        <v>4418.10009765625</v>
      </c>
      <c r="L724" s="5">
        <f t="shared" si="34"/>
        <v>-3.1303114441005198E-2</v>
      </c>
    </row>
    <row r="725" spans="1:12" x14ac:dyDescent="0.3">
      <c r="A725" s="2">
        <v>46071</v>
      </c>
      <c r="B725">
        <v>4325.89990234375</v>
      </c>
      <c r="C725">
        <f t="shared" si="35"/>
        <v>-1.049490357350908E-2</v>
      </c>
      <c r="K725">
        <f t="shared" si="33"/>
        <v>4418.10009765625</v>
      </c>
      <c r="L725" s="5">
        <f t="shared" si="34"/>
        <v>-2.0868742960670206E-2</v>
      </c>
    </row>
    <row r="726" spans="1:12" x14ac:dyDescent="0.3">
      <c r="A726" s="2">
        <v>46072</v>
      </c>
      <c r="B726">
        <v>4280.5</v>
      </c>
      <c r="C726">
        <f t="shared" si="35"/>
        <v>2.338514137513141E-2</v>
      </c>
      <c r="K726">
        <f t="shared" si="33"/>
        <v>4418.10009765625</v>
      </c>
      <c r="L726" s="5">
        <f t="shared" si="34"/>
        <v>-3.11446310891067E-2</v>
      </c>
    </row>
    <row r="727" spans="1:12" x14ac:dyDescent="0.3">
      <c r="A727" s="2">
        <v>46073</v>
      </c>
      <c r="B727">
        <v>4380.60009765625</v>
      </c>
      <c r="C727">
        <f t="shared" si="35"/>
        <v>8.5604709774954359E-3</v>
      </c>
      <c r="K727">
        <f t="shared" si="33"/>
        <v>4418.10009765625</v>
      </c>
      <c r="L727" s="5">
        <f t="shared" si="34"/>
        <v>-8.4878113150703705E-3</v>
      </c>
    </row>
    <row r="728" spans="1:12" x14ac:dyDescent="0.3">
      <c r="A728" s="2">
        <v>46076</v>
      </c>
      <c r="B728">
        <v>4418.10009765625</v>
      </c>
      <c r="C728">
        <f t="shared" si="35"/>
        <v>-3.5965663708715997E-2</v>
      </c>
      <c r="K728">
        <f t="shared" si="33"/>
        <v>4418.10009765625</v>
      </c>
      <c r="L728" s="5">
        <f t="shared" si="34"/>
        <v>0</v>
      </c>
    </row>
    <row r="729" spans="1:12" x14ac:dyDescent="0.3">
      <c r="A729" s="2">
        <v>46077</v>
      </c>
      <c r="B729">
        <v>4259.2001953125</v>
      </c>
      <c r="C729">
        <f t="shared" si="35"/>
        <v>9.2270386188354672E-3</v>
      </c>
      <c r="K729">
        <f t="shared" si="33"/>
        <v>4298.5</v>
      </c>
      <c r="L729" s="5">
        <f t="shared" si="34"/>
        <v>-9.1426787687565181E-3</v>
      </c>
    </row>
    <row r="730" spans="1:12" x14ac:dyDescent="0.3">
      <c r="A730" s="2">
        <v>46078</v>
      </c>
      <c r="B730">
        <v>4298.5</v>
      </c>
      <c r="C730">
        <f t="shared" si="35"/>
        <v>-2.7916715133185993E-3</v>
      </c>
      <c r="K730">
        <f t="shared" si="33"/>
        <v>4298.5</v>
      </c>
      <c r="L730" s="5">
        <f t="shared" si="34"/>
        <v>0</v>
      </c>
    </row>
    <row r="731" spans="1:12" x14ac:dyDescent="0.3">
      <c r="A731" s="2">
        <v>46079</v>
      </c>
      <c r="B731">
        <v>4286.5</v>
      </c>
      <c r="C731">
        <f t="shared" si="35"/>
        <v>-1.9130281844161904E-3</v>
      </c>
      <c r="K731">
        <f t="shared" si="33"/>
        <v>4286.5</v>
      </c>
      <c r="L731" s="5">
        <f t="shared" si="34"/>
        <v>0</v>
      </c>
    </row>
    <row r="732" spans="1:12" x14ac:dyDescent="0.3">
      <c r="A732" s="2">
        <v>46080</v>
      </c>
      <c r="B732">
        <v>4278.2998046875</v>
      </c>
      <c r="C732">
        <f t="shared" si="35"/>
        <v>-4.9458865244503568E-2</v>
      </c>
      <c r="K732">
        <f t="shared" si="33"/>
        <v>4278.2998046875</v>
      </c>
      <c r="L732" s="5">
        <f t="shared" si="34"/>
        <v>0</v>
      </c>
    </row>
    <row r="733" spans="1:12" x14ac:dyDescent="0.3">
      <c r="A733" s="2">
        <v>46083</v>
      </c>
      <c r="B733">
        <v>4066.699951171875</v>
      </c>
      <c r="C733">
        <f t="shared" si="35"/>
        <v>-4.5270085259812229E-2</v>
      </c>
      <c r="K733">
        <f t="shared" si="33"/>
        <v>4066.699951171875</v>
      </c>
      <c r="L733" s="5">
        <f t="shared" si="34"/>
        <v>0</v>
      </c>
    </row>
    <row r="734" spans="1:12" x14ac:dyDescent="0.3">
      <c r="A734" s="2">
        <v>46085</v>
      </c>
      <c r="B734">
        <v>3882.60009765625</v>
      </c>
      <c r="C734">
        <f t="shared" si="35"/>
        <v>4.0204978516807696E-2</v>
      </c>
      <c r="K734">
        <f t="shared" si="33"/>
        <v>4038.699951171875</v>
      </c>
      <c r="L734" s="5">
        <f t="shared" si="34"/>
        <v>-3.8651015277906708E-2</v>
      </c>
    </row>
    <row r="735" spans="1:12" x14ac:dyDescent="0.3">
      <c r="A735" s="2">
        <v>46086</v>
      </c>
      <c r="B735">
        <v>4038.699951171875</v>
      </c>
      <c r="C735">
        <f t="shared" si="35"/>
        <v>-2.2012009661166999E-2</v>
      </c>
      <c r="K735">
        <f t="shared" si="33"/>
        <v>4038.699951171875</v>
      </c>
      <c r="L735" s="5">
        <f t="shared" si="34"/>
        <v>0</v>
      </c>
    </row>
    <row r="736" spans="1:12" x14ac:dyDescent="0.3">
      <c r="A736" s="2">
        <v>46087</v>
      </c>
      <c r="B736">
        <v>3949.800048828125</v>
      </c>
      <c r="C736">
        <f t="shared" si="35"/>
        <v>-2.7267190703445542E-2</v>
      </c>
      <c r="K736">
        <f t="shared" si="33"/>
        <v>3949.800048828125</v>
      </c>
      <c r="L736" s="5">
        <f t="shared" si="34"/>
        <v>0</v>
      </c>
    </row>
    <row r="737" spans="1:13" x14ac:dyDescent="0.3">
      <c r="A737" s="2">
        <v>46090</v>
      </c>
      <c r="B737">
        <v>3842.10009765625</v>
      </c>
      <c r="C737">
        <f t="shared" si="35"/>
        <v>8.823274116265099E-3</v>
      </c>
      <c r="K737">
        <f t="shared" si="33"/>
        <v>3876</v>
      </c>
      <c r="L737" s="5">
        <f t="shared" si="34"/>
        <v>-8.7461048358488114E-3</v>
      </c>
    </row>
    <row r="738" spans="1:13" x14ac:dyDescent="0.3">
      <c r="A738" s="2">
        <v>46091</v>
      </c>
      <c r="B738">
        <v>3876</v>
      </c>
      <c r="C738">
        <f t="shared" si="35"/>
        <v>-9.5975106222587724E-3</v>
      </c>
      <c r="K738">
        <f t="shared" si="33"/>
        <v>3876</v>
      </c>
      <c r="L738" s="5">
        <f t="shared" si="34"/>
        <v>0</v>
      </c>
    </row>
    <row r="739" spans="1:13" x14ac:dyDescent="0.3">
      <c r="A739" s="2">
        <v>46092</v>
      </c>
      <c r="B739">
        <v>3838.800048828125</v>
      </c>
      <c r="C739">
        <f t="shared" si="35"/>
        <v>-3.107743235143072E-2</v>
      </c>
      <c r="K739">
        <f t="shared" si="33"/>
        <v>3838.800048828125</v>
      </c>
      <c r="L739" s="5">
        <f t="shared" si="34"/>
        <v>0</v>
      </c>
    </row>
    <row r="740" spans="1:13" x14ac:dyDescent="0.3">
      <c r="A740" s="2">
        <v>46093</v>
      </c>
      <c r="B740">
        <v>3719.5</v>
      </c>
      <c r="C740">
        <f t="shared" si="35"/>
        <v>-7.5413362011022986E-2</v>
      </c>
      <c r="K740">
        <f t="shared" si="33"/>
        <v>3719.5</v>
      </c>
      <c r="L740" s="5">
        <f t="shared" si="34"/>
        <v>0</v>
      </c>
    </row>
    <row r="741" spans="1:13" x14ac:dyDescent="0.3">
      <c r="A741" s="2">
        <v>46094</v>
      </c>
      <c r="B741">
        <v>3439</v>
      </c>
      <c r="C741" t="s">
        <v>3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41"/>
  <sheetViews>
    <sheetView showGridLines="0" workbookViewId="0"/>
  </sheetViews>
  <sheetFormatPr defaultRowHeight="14.4" outlineLevelCol="1" x14ac:dyDescent="0.3"/>
  <cols>
    <col min="1" max="1" width="18.109375" bestFit="1" customWidth="1"/>
    <col min="2" max="2" width="12" bestFit="1" customWidth="1"/>
    <col min="3" max="3" width="12.6640625" bestFit="1" customWidth="1"/>
    <col min="4" max="4" width="12" bestFit="1" customWidth="1"/>
    <col min="7" max="7" width="11" bestFit="1" customWidth="1"/>
    <col min="8" max="8" width="13.21875" bestFit="1" customWidth="1"/>
    <col min="9" max="9" width="12" bestFit="1" customWidth="1"/>
    <col min="10" max="10" width="8.88671875" hidden="1" customWidth="1" outlineLevel="1"/>
    <col min="11" max="11" width="11.88671875" hidden="1" customWidth="1" outlineLevel="1"/>
    <col min="12" max="12" width="13.33203125" bestFit="1" customWidth="1" collapsed="1"/>
    <col min="14" max="14" width="14" bestFit="1" customWidth="1"/>
  </cols>
  <sheetData>
    <row r="1" spans="1:14" x14ac:dyDescent="0.3">
      <c r="A1" s="1" t="s">
        <v>1</v>
      </c>
      <c r="B1" s="1" t="s">
        <v>0</v>
      </c>
      <c r="C1" s="3" t="s">
        <v>2</v>
      </c>
      <c r="D1" s="3" t="s">
        <v>4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14</v>
      </c>
      <c r="M1" t="s">
        <v>13</v>
      </c>
      <c r="N1" t="s">
        <v>15</v>
      </c>
    </row>
    <row r="2" spans="1:14" x14ac:dyDescent="0.3">
      <c r="A2" s="2">
        <v>45000</v>
      </c>
      <c r="B2">
        <v>16972.150390625</v>
      </c>
      <c r="C2">
        <f>(B3-B2)/B2</f>
        <v>7.9242868113100259E-4</v>
      </c>
      <c r="D2">
        <f>((B740/B2)^(1/3)-1)</f>
        <v>0.10903414486922314</v>
      </c>
      <c r="G2">
        <f>_xlfn.STDEV.S(C2:C739)</f>
        <v>7.7052659118218248E-3</v>
      </c>
      <c r="H2">
        <v>6.4799999999999996E-2</v>
      </c>
      <c r="I2">
        <f>(D2-H2)/G2</f>
        <v>5.7407681156540988</v>
      </c>
      <c r="J2">
        <f t="shared" ref="J2:J65" si="0">MAX(B2:B740)</f>
        <v>26328.55078125</v>
      </c>
      <c r="K2">
        <f t="shared" ref="K2:K65" si="1">B2/J2-1</f>
        <v>-0.35537088495156388</v>
      </c>
      <c r="L2" s="6">
        <f>MIN(K2:K740)</f>
        <v>-0.35640017097646348</v>
      </c>
      <c r="M2">
        <f>D2/L2</f>
        <v>-0.30593179731225129</v>
      </c>
      <c r="N2">
        <f>(D2-(H2+1*(D2-H2)))</f>
        <v>0</v>
      </c>
    </row>
    <row r="3" spans="1:14" x14ac:dyDescent="0.3">
      <c r="A3" s="2">
        <v>45001</v>
      </c>
      <c r="B3">
        <v>16985.599609375</v>
      </c>
      <c r="C3">
        <f t="shared" ref="C3:C66" si="2">(B4-B3)/B3</f>
        <v>6.7381296219787279E-3</v>
      </c>
      <c r="J3">
        <f t="shared" si="0"/>
        <v>26328.55078125</v>
      </c>
      <c r="K3">
        <f t="shared" si="1"/>
        <v>-0.35486006235210732</v>
      </c>
    </row>
    <row r="4" spans="1:14" x14ac:dyDescent="0.3">
      <c r="A4" s="2">
        <v>45002</v>
      </c>
      <c r="B4">
        <v>17100.05078125</v>
      </c>
      <c r="C4">
        <f t="shared" si="2"/>
        <v>-6.5292432199922654E-3</v>
      </c>
      <c r="J4">
        <f t="shared" si="0"/>
        <v>26328.55078125</v>
      </c>
      <c r="K4">
        <f t="shared" si="1"/>
        <v>-0.35051302582792054</v>
      </c>
    </row>
    <row r="5" spans="1:14" x14ac:dyDescent="0.3">
      <c r="A5" s="2">
        <v>45005</v>
      </c>
      <c r="B5">
        <v>16988.400390625</v>
      </c>
      <c r="C5">
        <f t="shared" si="2"/>
        <v>7.0106429467441077E-3</v>
      </c>
      <c r="J5">
        <f t="shared" si="0"/>
        <v>26328.55078125</v>
      </c>
      <c r="K5">
        <f t="shared" si="1"/>
        <v>-0.35475368425050691</v>
      </c>
    </row>
    <row r="6" spans="1:14" x14ac:dyDescent="0.3">
      <c r="A6" s="2">
        <v>45006</v>
      </c>
      <c r="B6">
        <v>17107.5</v>
      </c>
      <c r="C6">
        <f t="shared" si="2"/>
        <v>2.5953757489405233E-3</v>
      </c>
      <c r="J6">
        <f t="shared" si="0"/>
        <v>26328.55078125</v>
      </c>
      <c r="K6">
        <f t="shared" si="1"/>
        <v>-0.35023009271808514</v>
      </c>
    </row>
    <row r="7" spans="1:14" x14ac:dyDescent="0.3">
      <c r="A7" s="2">
        <v>45007</v>
      </c>
      <c r="B7">
        <v>17151.900390625</v>
      </c>
      <c r="C7">
        <f t="shared" si="2"/>
        <v>-4.3726933046436068E-3</v>
      </c>
      <c r="J7">
        <f t="shared" si="0"/>
        <v>26328.55078125</v>
      </c>
      <c r="K7">
        <f t="shared" si="1"/>
        <v>-0.34854369565833432</v>
      </c>
    </row>
    <row r="8" spans="1:14" x14ac:dyDescent="0.3">
      <c r="A8" s="2">
        <v>45008</v>
      </c>
      <c r="B8">
        <v>17076.900390625</v>
      </c>
      <c r="C8">
        <f t="shared" si="2"/>
        <v>-7.7209333285906939E-3</v>
      </c>
      <c r="J8">
        <f t="shared" si="0"/>
        <v>26328.55078125</v>
      </c>
      <c r="K8">
        <f t="shared" si="1"/>
        <v>-0.35139231427859696</v>
      </c>
    </row>
    <row r="9" spans="1:14" x14ac:dyDescent="0.3">
      <c r="A9" s="2">
        <v>45009</v>
      </c>
      <c r="B9">
        <v>16945.05078125</v>
      </c>
      <c r="C9">
        <f t="shared" si="2"/>
        <v>2.3988383407489234E-3</v>
      </c>
      <c r="J9">
        <f t="shared" si="0"/>
        <v>26328.55078125</v>
      </c>
      <c r="K9">
        <f t="shared" si="1"/>
        <v>-0.35640017097646348</v>
      </c>
    </row>
    <row r="10" spans="1:14" x14ac:dyDescent="0.3">
      <c r="A10" s="2">
        <v>45012</v>
      </c>
      <c r="B10">
        <v>16985.69921875</v>
      </c>
      <c r="C10">
        <f t="shared" si="2"/>
        <v>-2.0016838613548761E-3</v>
      </c>
      <c r="J10">
        <f t="shared" si="0"/>
        <v>26328.55078125</v>
      </c>
      <c r="K10">
        <f t="shared" si="1"/>
        <v>-0.35485627903050232</v>
      </c>
    </row>
    <row r="11" spans="1:14" x14ac:dyDescent="0.3">
      <c r="A11" s="2">
        <v>45013</v>
      </c>
      <c r="B11">
        <v>16951.69921875</v>
      </c>
      <c r="C11">
        <f t="shared" si="2"/>
        <v>7.6098565893214518E-3</v>
      </c>
      <c r="J11">
        <f t="shared" si="0"/>
        <v>26328.55078125</v>
      </c>
      <c r="K11">
        <f t="shared" si="1"/>
        <v>-0.35614765280502136</v>
      </c>
    </row>
    <row r="12" spans="1:14" x14ac:dyDescent="0.3">
      <c r="A12" s="2">
        <v>45014</v>
      </c>
      <c r="B12">
        <v>17080.69921875</v>
      </c>
      <c r="C12">
        <f t="shared" si="2"/>
        <v>1.6337198944623856E-2</v>
      </c>
      <c r="J12">
        <f t="shared" si="0"/>
        <v>26328.55078125</v>
      </c>
      <c r="K12">
        <f t="shared" si="1"/>
        <v>-0.35124802877816963</v>
      </c>
    </row>
    <row r="13" spans="1:14" x14ac:dyDescent="0.3">
      <c r="A13" s="2">
        <v>45016</v>
      </c>
      <c r="B13">
        <v>17359.75</v>
      </c>
      <c r="C13">
        <f t="shared" si="2"/>
        <v>2.2062979737611428E-3</v>
      </c>
      <c r="J13">
        <f t="shared" si="0"/>
        <v>26328.55078125</v>
      </c>
      <c r="K13">
        <f t="shared" si="1"/>
        <v>-0.34064923875860165</v>
      </c>
    </row>
    <row r="14" spans="1:14" x14ac:dyDescent="0.3">
      <c r="A14" s="2">
        <v>45019</v>
      </c>
      <c r="B14">
        <v>17398.05078125</v>
      </c>
      <c r="C14">
        <f t="shared" si="2"/>
        <v>9.1389548173612303E-3</v>
      </c>
      <c r="J14">
        <f t="shared" si="0"/>
        <v>26328.55078125</v>
      </c>
      <c r="K14">
        <f t="shared" si="1"/>
        <v>-0.33919451451007687</v>
      </c>
    </row>
    <row r="15" spans="1:14" x14ac:dyDescent="0.3">
      <c r="A15" s="2">
        <v>45021</v>
      </c>
      <c r="B15">
        <v>17557.05078125</v>
      </c>
      <c r="C15">
        <f t="shared" si="2"/>
        <v>2.3978747854372074E-3</v>
      </c>
      <c r="J15">
        <f t="shared" si="0"/>
        <v>26328.55078125</v>
      </c>
      <c r="K15">
        <f t="shared" si="1"/>
        <v>-0.33315544303512001</v>
      </c>
    </row>
    <row r="16" spans="1:14" x14ac:dyDescent="0.3">
      <c r="A16" s="2">
        <v>45022</v>
      </c>
      <c r="B16">
        <v>17599.150390625</v>
      </c>
      <c r="C16">
        <f t="shared" si="2"/>
        <v>1.4148632219350965E-3</v>
      </c>
      <c r="J16">
        <f t="shared" si="0"/>
        <v>26328.55078125</v>
      </c>
      <c r="K16">
        <f t="shared" si="1"/>
        <v>-0.33155643328616791</v>
      </c>
    </row>
    <row r="17" spans="1:11" x14ac:dyDescent="0.3">
      <c r="A17" s="2">
        <v>45026</v>
      </c>
      <c r="B17">
        <v>17624.05078125</v>
      </c>
      <c r="C17">
        <f t="shared" si="2"/>
        <v>5.574768321964148E-3</v>
      </c>
      <c r="J17">
        <f t="shared" si="0"/>
        <v>26328.55078125</v>
      </c>
      <c r="K17">
        <f t="shared" si="1"/>
        <v>-0.33061067706768543</v>
      </c>
    </row>
    <row r="18" spans="1:11" x14ac:dyDescent="0.3">
      <c r="A18" s="2">
        <v>45027</v>
      </c>
      <c r="B18">
        <v>17722.30078125</v>
      </c>
      <c r="C18">
        <f t="shared" si="2"/>
        <v>5.0839679614468796E-3</v>
      </c>
      <c r="J18">
        <f t="shared" si="0"/>
        <v>26328.55078125</v>
      </c>
      <c r="K18">
        <f t="shared" si="1"/>
        <v>-0.32687898667514126</v>
      </c>
    </row>
    <row r="19" spans="1:11" x14ac:dyDescent="0.3">
      <c r="A19" s="2">
        <v>45028</v>
      </c>
      <c r="B19">
        <v>17812.400390625</v>
      </c>
      <c r="C19">
        <f t="shared" si="2"/>
        <v>8.7577244127132723E-4</v>
      </c>
      <c r="J19">
        <f t="shared" si="0"/>
        <v>26328.55078125</v>
      </c>
      <c r="K19">
        <f t="shared" si="1"/>
        <v>-0.32345686100922111</v>
      </c>
    </row>
    <row r="20" spans="1:11" x14ac:dyDescent="0.3">
      <c r="A20" s="2">
        <v>45029</v>
      </c>
      <c r="B20">
        <v>17828</v>
      </c>
      <c r="C20">
        <f t="shared" si="2"/>
        <v>-6.7955121508301549E-3</v>
      </c>
      <c r="J20">
        <f t="shared" si="0"/>
        <v>26328.55078125</v>
      </c>
      <c r="K20">
        <f t="shared" si="1"/>
        <v>-0.32286436317276179</v>
      </c>
    </row>
    <row r="21" spans="1:11" x14ac:dyDescent="0.3">
      <c r="A21" s="2">
        <v>45033</v>
      </c>
      <c r="B21">
        <v>17706.849609375</v>
      </c>
      <c r="C21">
        <f t="shared" si="2"/>
        <v>-2.6373533282439362E-3</v>
      </c>
      <c r="J21">
        <f t="shared" si="0"/>
        <v>26328.55078125</v>
      </c>
      <c r="K21">
        <f t="shared" si="1"/>
        <v>-0.32746584662058131</v>
      </c>
    </row>
    <row r="22" spans="1:11" x14ac:dyDescent="0.3">
      <c r="A22" s="2">
        <v>45034</v>
      </c>
      <c r="B22">
        <v>17660.150390625</v>
      </c>
      <c r="C22">
        <f t="shared" si="2"/>
        <v>-2.3442830162407708E-3</v>
      </c>
      <c r="J22">
        <f t="shared" si="0"/>
        <v>26328.55078125</v>
      </c>
      <c r="K22">
        <f t="shared" si="1"/>
        <v>-0.32923955680835426</v>
      </c>
    </row>
    <row r="23" spans="1:11" x14ac:dyDescent="0.3">
      <c r="A23" s="2">
        <v>45035</v>
      </c>
      <c r="B23">
        <v>17618.75</v>
      </c>
      <c r="C23">
        <f t="shared" si="2"/>
        <v>3.2347463639588507E-4</v>
      </c>
      <c r="J23">
        <f t="shared" si="0"/>
        <v>26328.55078125</v>
      </c>
      <c r="K23">
        <f t="shared" si="1"/>
        <v>-0.33081200912329456</v>
      </c>
    </row>
    <row r="24" spans="1:11" x14ac:dyDescent="0.3">
      <c r="A24" s="2">
        <v>45036</v>
      </c>
      <c r="B24">
        <v>17624.44921875</v>
      </c>
      <c r="C24">
        <f t="shared" si="2"/>
        <v>-2.2607089450268724E-5</v>
      </c>
      <c r="J24">
        <f t="shared" si="0"/>
        <v>26328.55078125</v>
      </c>
      <c r="K24">
        <f t="shared" si="1"/>
        <v>-0.33059554378126521</v>
      </c>
    </row>
    <row r="25" spans="1:11" x14ac:dyDescent="0.3">
      <c r="A25" s="2">
        <v>45037</v>
      </c>
      <c r="B25">
        <v>17624.05078125</v>
      </c>
      <c r="C25">
        <f t="shared" si="2"/>
        <v>6.7719737565653465E-3</v>
      </c>
      <c r="J25">
        <f t="shared" si="0"/>
        <v>26328.55078125</v>
      </c>
      <c r="K25">
        <f t="shared" si="1"/>
        <v>-0.33061067706768543</v>
      </c>
    </row>
    <row r="26" spans="1:11" x14ac:dyDescent="0.3">
      <c r="A26" s="2">
        <v>45040</v>
      </c>
      <c r="B26">
        <v>17743.400390625</v>
      </c>
      <c r="C26">
        <f t="shared" si="2"/>
        <v>1.4568576938982925E-3</v>
      </c>
      <c r="J26">
        <f t="shared" si="0"/>
        <v>26328.55078125</v>
      </c>
      <c r="K26">
        <f t="shared" si="1"/>
        <v>-0.32607759013986271</v>
      </c>
    </row>
    <row r="27" spans="1:11" x14ac:dyDescent="0.3">
      <c r="A27" s="2">
        <v>45041</v>
      </c>
      <c r="B27">
        <v>17769.25</v>
      </c>
      <c r="C27">
        <f t="shared" si="2"/>
        <v>2.495862761512163E-3</v>
      </c>
      <c r="J27">
        <f t="shared" si="0"/>
        <v>26328.55078125</v>
      </c>
      <c r="K27">
        <f t="shared" si="1"/>
        <v>-0.32509578109196746</v>
      </c>
    </row>
    <row r="28" spans="1:11" x14ac:dyDescent="0.3">
      <c r="A28" s="2">
        <v>45042</v>
      </c>
      <c r="B28">
        <v>17813.599609375</v>
      </c>
      <c r="C28">
        <f t="shared" si="2"/>
        <v>5.6951528101938445E-3</v>
      </c>
      <c r="J28">
        <f t="shared" si="0"/>
        <v>26328.55078125</v>
      </c>
      <c r="K28">
        <f t="shared" si="1"/>
        <v>-0.32341131278440749</v>
      </c>
    </row>
    <row r="29" spans="1:11" x14ac:dyDescent="0.3">
      <c r="A29" s="2">
        <v>45043</v>
      </c>
      <c r="B29">
        <v>17915.05078125</v>
      </c>
      <c r="C29">
        <f t="shared" si="2"/>
        <v>8.3700136036978338E-3</v>
      </c>
      <c r="J29">
        <f t="shared" si="0"/>
        <v>26328.55078125</v>
      </c>
      <c r="K29">
        <f t="shared" si="1"/>
        <v>-0.3195580368210662</v>
      </c>
    </row>
    <row r="30" spans="1:11" x14ac:dyDescent="0.3">
      <c r="A30" s="2">
        <v>45044</v>
      </c>
      <c r="B30">
        <v>18065</v>
      </c>
      <c r="C30">
        <f t="shared" si="2"/>
        <v>4.5751669319125379E-3</v>
      </c>
      <c r="J30">
        <f t="shared" si="0"/>
        <v>26328.55078125</v>
      </c>
      <c r="K30">
        <f t="shared" si="1"/>
        <v>-0.31386272833273177</v>
      </c>
    </row>
    <row r="31" spans="1:11" x14ac:dyDescent="0.3">
      <c r="A31" s="2">
        <v>45048</v>
      </c>
      <c r="B31">
        <v>18147.650390625</v>
      </c>
      <c r="C31">
        <f t="shared" si="2"/>
        <v>-3.18502836487635E-3</v>
      </c>
      <c r="J31">
        <f t="shared" si="0"/>
        <v>26328.55078125</v>
      </c>
      <c r="K31">
        <f t="shared" si="1"/>
        <v>-0.31072353577664691</v>
      </c>
    </row>
    <row r="32" spans="1:11" x14ac:dyDescent="0.3">
      <c r="A32" s="2">
        <v>45049</v>
      </c>
      <c r="B32">
        <v>18089.849609375</v>
      </c>
      <c r="C32">
        <f t="shared" si="2"/>
        <v>9.173717607303733E-3</v>
      </c>
      <c r="J32">
        <f t="shared" si="0"/>
        <v>26328.55078125</v>
      </c>
      <c r="K32">
        <f t="shared" si="1"/>
        <v>-0.31291890086644003</v>
      </c>
    </row>
    <row r="33" spans="1:11" x14ac:dyDescent="0.3">
      <c r="A33" s="2">
        <v>45050</v>
      </c>
      <c r="B33">
        <v>18255.80078125</v>
      </c>
      <c r="C33">
        <f t="shared" si="2"/>
        <v>-1.0232406865540384E-2</v>
      </c>
      <c r="J33">
        <f t="shared" si="0"/>
        <v>26328.55078125</v>
      </c>
      <c r="K33">
        <f t="shared" si="1"/>
        <v>-0.30661581288967288</v>
      </c>
    </row>
    <row r="34" spans="1:11" x14ac:dyDescent="0.3">
      <c r="A34" s="2">
        <v>45051</v>
      </c>
      <c r="B34">
        <v>18069</v>
      </c>
      <c r="C34">
        <f t="shared" si="2"/>
        <v>1.0814123118324201E-2</v>
      </c>
      <c r="J34">
        <f t="shared" si="0"/>
        <v>26328.55078125</v>
      </c>
      <c r="K34">
        <f t="shared" si="1"/>
        <v>-0.31371080200631773</v>
      </c>
    </row>
    <row r="35" spans="1:11" x14ac:dyDescent="0.3">
      <c r="A35" s="2">
        <v>45054</v>
      </c>
      <c r="B35">
        <v>18264.400390625</v>
      </c>
      <c r="C35">
        <f t="shared" si="2"/>
        <v>8.4800381719347525E-5</v>
      </c>
      <c r="J35">
        <f t="shared" si="0"/>
        <v>26328.55078125</v>
      </c>
      <c r="K35">
        <f t="shared" si="1"/>
        <v>-0.30628918612443801</v>
      </c>
    </row>
    <row r="36" spans="1:11" x14ac:dyDescent="0.3">
      <c r="A36" s="2">
        <v>45055</v>
      </c>
      <c r="B36">
        <v>18265.94921875</v>
      </c>
      <c r="C36">
        <f t="shared" si="2"/>
        <v>2.6908205008337105E-3</v>
      </c>
      <c r="J36">
        <f t="shared" si="0"/>
        <v>26328.55078125</v>
      </c>
      <c r="K36">
        <f t="shared" si="1"/>
        <v>-0.30623035918261854</v>
      </c>
    </row>
    <row r="37" spans="1:11" x14ac:dyDescent="0.3">
      <c r="A37" s="2">
        <v>45056</v>
      </c>
      <c r="B37">
        <v>18315.099609375</v>
      </c>
      <c r="C37">
        <f t="shared" si="2"/>
        <v>-9.8823428542727139E-4</v>
      </c>
      <c r="J37">
        <f t="shared" si="0"/>
        <v>26328.55078125</v>
      </c>
      <c r="K37">
        <f t="shared" si="1"/>
        <v>-0.30436354961025114</v>
      </c>
    </row>
    <row r="38" spans="1:11" x14ac:dyDescent="0.3">
      <c r="A38" s="2">
        <v>45057</v>
      </c>
      <c r="B38">
        <v>18297</v>
      </c>
      <c r="C38">
        <f t="shared" si="2"/>
        <v>9.7287977537301195E-4</v>
      </c>
      <c r="J38">
        <f t="shared" si="0"/>
        <v>26328.55078125</v>
      </c>
      <c r="K38">
        <f t="shared" si="1"/>
        <v>-0.30505100140071917</v>
      </c>
    </row>
    <row r="39" spans="1:11" x14ac:dyDescent="0.3">
      <c r="A39" s="2">
        <v>45058</v>
      </c>
      <c r="B39">
        <v>18314.80078125</v>
      </c>
      <c r="C39">
        <f t="shared" si="2"/>
        <v>4.589120522186952E-3</v>
      </c>
      <c r="J39">
        <f t="shared" si="0"/>
        <v>26328.55078125</v>
      </c>
      <c r="K39">
        <f t="shared" si="1"/>
        <v>-0.30437489957506625</v>
      </c>
    </row>
    <row r="40" spans="1:11" x14ac:dyDescent="0.3">
      <c r="A40" s="2">
        <v>45061</v>
      </c>
      <c r="B40">
        <v>18398.849609375</v>
      </c>
      <c r="C40">
        <f t="shared" si="2"/>
        <v>-6.1063388070606911E-3</v>
      </c>
      <c r="J40">
        <f t="shared" si="0"/>
        <v>26328.55078125</v>
      </c>
      <c r="K40">
        <f t="shared" si="1"/>
        <v>-0.30118259215095777</v>
      </c>
    </row>
    <row r="41" spans="1:11" x14ac:dyDescent="0.3">
      <c r="A41" s="2">
        <v>45062</v>
      </c>
      <c r="B41">
        <v>18286.5</v>
      </c>
      <c r="C41">
        <f t="shared" si="2"/>
        <v>-5.7282694884204198E-3</v>
      </c>
      <c r="J41">
        <f t="shared" si="0"/>
        <v>26328.55078125</v>
      </c>
      <c r="K41">
        <f t="shared" si="1"/>
        <v>-0.30544980800755595</v>
      </c>
    </row>
    <row r="42" spans="1:11" x14ac:dyDescent="0.3">
      <c r="A42" s="2">
        <v>45063</v>
      </c>
      <c r="B42">
        <v>18181.75</v>
      </c>
      <c r="C42">
        <f t="shared" si="2"/>
        <v>-2.8490536527011976E-3</v>
      </c>
      <c r="J42">
        <f t="shared" si="0"/>
        <v>26328.55078125</v>
      </c>
      <c r="K42">
        <f t="shared" si="1"/>
        <v>-0.30942837868052286</v>
      </c>
    </row>
    <row r="43" spans="1:11" x14ac:dyDescent="0.3">
      <c r="A43" s="2">
        <v>45064</v>
      </c>
      <c r="B43">
        <v>18129.94921875</v>
      </c>
      <c r="C43">
        <f t="shared" si="2"/>
        <v>4.051372179191587E-3</v>
      </c>
      <c r="J43">
        <f t="shared" si="0"/>
        <v>26328.55078125</v>
      </c>
      <c r="K43">
        <f t="shared" si="1"/>
        <v>-0.31139585428069483</v>
      </c>
    </row>
    <row r="44" spans="1:11" x14ac:dyDescent="0.3">
      <c r="A44" s="2">
        <v>45065</v>
      </c>
      <c r="B44">
        <v>18203.400390625</v>
      </c>
      <c r="C44">
        <f t="shared" si="2"/>
        <v>6.0977618257062847E-3</v>
      </c>
      <c r="J44">
        <f t="shared" si="0"/>
        <v>26328.55078125</v>
      </c>
      <c r="K44">
        <f t="shared" si="1"/>
        <v>-0.30860606260225165</v>
      </c>
    </row>
    <row r="45" spans="1:11" x14ac:dyDescent="0.3">
      <c r="A45" s="2">
        <v>45068</v>
      </c>
      <c r="B45">
        <v>18314.400390625</v>
      </c>
      <c r="C45">
        <f t="shared" si="2"/>
        <v>1.8346005688616145E-3</v>
      </c>
      <c r="J45">
        <f t="shared" si="0"/>
        <v>26328.55078125</v>
      </c>
      <c r="K45">
        <f t="shared" si="1"/>
        <v>-0.30439010704426295</v>
      </c>
    </row>
    <row r="46" spans="1:11" x14ac:dyDescent="0.3">
      <c r="A46" s="2">
        <v>45069</v>
      </c>
      <c r="B46">
        <v>18348</v>
      </c>
      <c r="C46">
        <f t="shared" si="2"/>
        <v>-3.4117947119577064E-3</v>
      </c>
      <c r="J46">
        <f t="shared" si="0"/>
        <v>26328.55078125</v>
      </c>
      <c r="K46">
        <f t="shared" si="1"/>
        <v>-0.3031139407389406</v>
      </c>
    </row>
    <row r="47" spans="1:11" x14ac:dyDescent="0.3">
      <c r="A47" s="2">
        <v>45070</v>
      </c>
      <c r="B47">
        <v>18285.400390625</v>
      </c>
      <c r="C47">
        <f t="shared" si="2"/>
        <v>1.955111686716424E-3</v>
      </c>
      <c r="J47">
        <f t="shared" si="0"/>
        <v>26328.55078125</v>
      </c>
      <c r="K47">
        <f t="shared" si="1"/>
        <v>-0.30549157291076445</v>
      </c>
    </row>
    <row r="48" spans="1:11" x14ac:dyDescent="0.3">
      <c r="A48" s="2">
        <v>45071</v>
      </c>
      <c r="B48">
        <v>18321.150390625</v>
      </c>
      <c r="C48">
        <f t="shared" si="2"/>
        <v>9.7264208278747162E-3</v>
      </c>
      <c r="J48">
        <f t="shared" si="0"/>
        <v>26328.55078125</v>
      </c>
      <c r="K48">
        <f t="shared" si="1"/>
        <v>-0.30413373136843924</v>
      </c>
    </row>
    <row r="49" spans="1:11" x14ac:dyDescent="0.3">
      <c r="A49" s="2">
        <v>45072</v>
      </c>
      <c r="B49">
        <v>18499.349609375</v>
      </c>
      <c r="C49">
        <f t="shared" si="2"/>
        <v>5.3677985089636282E-3</v>
      </c>
      <c r="J49">
        <f t="shared" si="0"/>
        <v>26328.55078125</v>
      </c>
      <c r="K49">
        <f t="shared" si="1"/>
        <v>-0.29736544319980585</v>
      </c>
    </row>
    <row r="50" spans="1:11" x14ac:dyDescent="0.3">
      <c r="A50" s="2">
        <v>45075</v>
      </c>
      <c r="B50">
        <v>18598.650390625</v>
      </c>
      <c r="C50">
        <f t="shared" si="2"/>
        <v>1.892568439683281E-3</v>
      </c>
      <c r="J50">
        <f t="shared" si="0"/>
        <v>26328.55078125</v>
      </c>
      <c r="K50">
        <f t="shared" si="1"/>
        <v>-0.29359384247346743</v>
      </c>
    </row>
    <row r="51" spans="1:11" x14ac:dyDescent="0.3">
      <c r="A51" s="2">
        <v>45076</v>
      </c>
      <c r="B51">
        <v>18633.849609375</v>
      </c>
      <c r="C51">
        <f t="shared" si="2"/>
        <v>-5.33701950132545E-3</v>
      </c>
      <c r="J51">
        <f t="shared" si="0"/>
        <v>26328.55078125</v>
      </c>
      <c r="K51">
        <f t="shared" si="1"/>
        <v>-0.29225692047413476</v>
      </c>
    </row>
    <row r="52" spans="1:11" x14ac:dyDescent="0.3">
      <c r="A52" s="2">
        <v>45077</v>
      </c>
      <c r="B52">
        <v>18534.400390625</v>
      </c>
      <c r="C52">
        <f t="shared" si="2"/>
        <v>-2.5169624936232909E-3</v>
      </c>
      <c r="J52">
        <f t="shared" si="0"/>
        <v>26328.55078125</v>
      </c>
      <c r="K52">
        <f t="shared" si="1"/>
        <v>-0.29603415909149244</v>
      </c>
    </row>
    <row r="53" spans="1:11" x14ac:dyDescent="0.3">
      <c r="A53" s="2">
        <v>45078</v>
      </c>
      <c r="B53">
        <v>18487.75</v>
      </c>
      <c r="C53">
        <f t="shared" si="2"/>
        <v>2.5070443604548959E-3</v>
      </c>
      <c r="J53">
        <f t="shared" si="0"/>
        <v>26328.55078125</v>
      </c>
      <c r="K53">
        <f t="shared" si="1"/>
        <v>-0.29780601470985113</v>
      </c>
    </row>
    <row r="54" spans="1:11" x14ac:dyDescent="0.3">
      <c r="A54" s="2">
        <v>45079</v>
      </c>
      <c r="B54">
        <v>18534.099609375</v>
      </c>
      <c r="C54">
        <f t="shared" si="2"/>
        <v>3.2237875731377309E-3</v>
      </c>
      <c r="J54">
        <f t="shared" si="0"/>
        <v>26328.55078125</v>
      </c>
      <c r="K54">
        <f t="shared" si="1"/>
        <v>-0.29604558323908414</v>
      </c>
    </row>
    <row r="55" spans="1:11" x14ac:dyDescent="0.3">
      <c r="A55" s="2">
        <v>45082</v>
      </c>
      <c r="B55">
        <v>18593.849609375</v>
      </c>
      <c r="C55">
        <f t="shared" si="2"/>
        <v>2.7699431442121478E-4</v>
      </c>
      <c r="J55">
        <f t="shared" si="0"/>
        <v>26328.55078125</v>
      </c>
      <c r="K55">
        <f t="shared" si="1"/>
        <v>-0.29377618373827485</v>
      </c>
    </row>
    <row r="56" spans="1:11" x14ac:dyDescent="0.3">
      <c r="A56" s="2">
        <v>45083</v>
      </c>
      <c r="B56">
        <v>18599</v>
      </c>
      <c r="C56">
        <f t="shared" si="2"/>
        <v>6.8498516385289534E-3</v>
      </c>
      <c r="J56">
        <f t="shared" si="0"/>
        <v>26328.55078125</v>
      </c>
      <c r="K56">
        <f t="shared" si="1"/>
        <v>-0.29358056375646147</v>
      </c>
    </row>
    <row r="57" spans="1:11" x14ac:dyDescent="0.3">
      <c r="A57" s="2">
        <v>45084</v>
      </c>
      <c r="B57">
        <v>18726.400390625</v>
      </c>
      <c r="C57">
        <f t="shared" si="2"/>
        <v>-4.904819263662796E-3</v>
      </c>
      <c r="J57">
        <f t="shared" si="0"/>
        <v>26328.55078125</v>
      </c>
      <c r="K57">
        <f t="shared" si="1"/>
        <v>-0.28874169542362005</v>
      </c>
    </row>
    <row r="58" spans="1:11" x14ac:dyDescent="0.3">
      <c r="A58" s="2">
        <v>45085</v>
      </c>
      <c r="B58">
        <v>18634.55078125</v>
      </c>
      <c r="C58">
        <f t="shared" si="2"/>
        <v>-3.8181972541345725E-3</v>
      </c>
      <c r="J58">
        <f t="shared" si="0"/>
        <v>26328.55078125</v>
      </c>
      <c r="K58">
        <f t="shared" si="1"/>
        <v>-0.29223028885734637</v>
      </c>
    </row>
    <row r="59" spans="1:11" x14ac:dyDescent="0.3">
      <c r="A59" s="2">
        <v>45086</v>
      </c>
      <c r="B59">
        <v>18563.400390625</v>
      </c>
      <c r="C59">
        <f t="shared" si="2"/>
        <v>2.0524046550351462E-3</v>
      </c>
      <c r="J59">
        <f t="shared" si="0"/>
        <v>26328.55078125</v>
      </c>
      <c r="K59">
        <f t="shared" si="1"/>
        <v>-0.29493269322499083</v>
      </c>
    </row>
    <row r="60" spans="1:11" x14ac:dyDescent="0.3">
      <c r="A60" s="2">
        <v>45089</v>
      </c>
      <c r="B60">
        <v>18601.5</v>
      </c>
      <c r="C60">
        <f t="shared" si="2"/>
        <v>6.1635024393194094E-3</v>
      </c>
      <c r="J60">
        <f t="shared" si="0"/>
        <v>26328.55078125</v>
      </c>
      <c r="K60">
        <f t="shared" si="1"/>
        <v>-0.29348560980245275</v>
      </c>
    </row>
    <row r="61" spans="1:11" x14ac:dyDescent="0.3">
      <c r="A61" s="2">
        <v>45090</v>
      </c>
      <c r="B61">
        <v>18716.150390625</v>
      </c>
      <c r="C61">
        <f t="shared" si="2"/>
        <v>2.1238341844010264E-3</v>
      </c>
      <c r="J61">
        <f t="shared" si="0"/>
        <v>26328.55078125</v>
      </c>
      <c r="K61">
        <f t="shared" si="1"/>
        <v>-0.28913100663505586</v>
      </c>
    </row>
    <row r="62" spans="1:11" x14ac:dyDescent="0.3">
      <c r="A62" s="2">
        <v>45091</v>
      </c>
      <c r="B62">
        <v>18755.900390625</v>
      </c>
      <c r="C62">
        <f t="shared" si="2"/>
        <v>-3.6149041015322157E-3</v>
      </c>
      <c r="J62">
        <f t="shared" si="0"/>
        <v>26328.55078125</v>
      </c>
      <c r="K62">
        <f t="shared" si="1"/>
        <v>-0.28762123876631673</v>
      </c>
    </row>
    <row r="63" spans="1:11" x14ac:dyDescent="0.3">
      <c r="A63" s="2">
        <v>45092</v>
      </c>
      <c r="B63">
        <v>18688.099609375</v>
      </c>
      <c r="C63">
        <f t="shared" si="2"/>
        <v>7.3790483520229863E-3</v>
      </c>
      <c r="J63">
        <f t="shared" si="0"/>
        <v>26328.55078125</v>
      </c>
      <c r="K63">
        <f t="shared" si="1"/>
        <v>-0.29019641967214482</v>
      </c>
    </row>
    <row r="64" spans="1:11" x14ac:dyDescent="0.3">
      <c r="A64" s="2">
        <v>45093</v>
      </c>
      <c r="B64">
        <v>18826</v>
      </c>
      <c r="C64">
        <f t="shared" si="2"/>
        <v>-3.7475183921172844E-3</v>
      </c>
      <c r="J64">
        <f t="shared" si="0"/>
        <v>26328.55078125</v>
      </c>
      <c r="K64">
        <f t="shared" si="1"/>
        <v>-0.28495874473246652</v>
      </c>
    </row>
    <row r="65" spans="1:11" x14ac:dyDescent="0.3">
      <c r="A65" s="2">
        <v>45096</v>
      </c>
      <c r="B65">
        <v>18755.44921875</v>
      </c>
      <c r="C65">
        <f t="shared" si="2"/>
        <v>3.2657175674986124E-3</v>
      </c>
      <c r="J65">
        <f t="shared" si="0"/>
        <v>26328.55078125</v>
      </c>
      <c r="K65">
        <f t="shared" si="1"/>
        <v>-0.28763837498770417</v>
      </c>
    </row>
    <row r="66" spans="1:11" x14ac:dyDescent="0.3">
      <c r="A66" s="2">
        <v>45097</v>
      </c>
      <c r="B66">
        <v>18816.69921875</v>
      </c>
      <c r="C66">
        <f t="shared" si="2"/>
        <v>2.133763746671995E-3</v>
      </c>
      <c r="J66">
        <f t="shared" ref="J66:J129" si="3">MAX(B66:B804)</f>
        <v>26328.55078125</v>
      </c>
      <c r="K66">
        <f t="shared" ref="K66:K129" si="4">B66/J66-1</f>
        <v>-0.28531200311448968</v>
      </c>
    </row>
    <row r="67" spans="1:11" x14ac:dyDescent="0.3">
      <c r="A67" s="2">
        <v>45098</v>
      </c>
      <c r="B67">
        <v>18856.849609375</v>
      </c>
      <c r="C67">
        <f t="shared" ref="C67:C130" si="5">(B68-B67)/B67</f>
        <v>-4.5394438174042985E-3</v>
      </c>
      <c r="J67">
        <f t="shared" si="3"/>
        <v>26328.55078125</v>
      </c>
      <c r="K67">
        <f t="shared" si="4"/>
        <v>-0.28378702777655374</v>
      </c>
    </row>
    <row r="68" spans="1:11" x14ac:dyDescent="0.3">
      <c r="A68" s="2">
        <v>45099</v>
      </c>
      <c r="B68">
        <v>18771.25</v>
      </c>
      <c r="C68">
        <f t="shared" si="5"/>
        <v>-5.6336152360657917E-3</v>
      </c>
      <c r="J68">
        <f t="shared" si="3"/>
        <v>26328.55078125</v>
      </c>
      <c r="K68">
        <f t="shared" si="4"/>
        <v>-0.28703823632525827</v>
      </c>
    </row>
    <row r="69" spans="1:11" x14ac:dyDescent="0.3">
      <c r="A69" s="2">
        <v>45100</v>
      </c>
      <c r="B69">
        <v>18665.5</v>
      </c>
      <c r="C69">
        <f t="shared" si="5"/>
        <v>1.3768299134767352E-3</v>
      </c>
      <c r="J69">
        <f t="shared" si="3"/>
        <v>26328.55078125</v>
      </c>
      <c r="K69">
        <f t="shared" si="4"/>
        <v>-0.29105478857982858</v>
      </c>
    </row>
    <row r="70" spans="1:11" x14ac:dyDescent="0.3">
      <c r="A70" s="2">
        <v>45103</v>
      </c>
      <c r="B70">
        <v>18691.19921875</v>
      </c>
      <c r="C70">
        <f t="shared" si="5"/>
        <v>6.7519034171120394E-3</v>
      </c>
      <c r="J70">
        <f t="shared" si="3"/>
        <v>26328.55078125</v>
      </c>
      <c r="K70">
        <f t="shared" si="4"/>
        <v>-0.29007869160572919</v>
      </c>
    </row>
    <row r="71" spans="1:11" x14ac:dyDescent="0.3">
      <c r="A71" s="2">
        <v>45104</v>
      </c>
      <c r="B71">
        <v>18817.400390625</v>
      </c>
      <c r="C71">
        <f t="shared" si="5"/>
        <v>8.2210728123249463E-3</v>
      </c>
      <c r="J71">
        <f t="shared" si="3"/>
        <v>26328.55078125</v>
      </c>
      <c r="K71">
        <f t="shared" si="4"/>
        <v>-0.28528537149770128</v>
      </c>
    </row>
    <row r="72" spans="1:11" x14ac:dyDescent="0.3">
      <c r="A72" s="2">
        <v>45105</v>
      </c>
      <c r="B72">
        <v>18972.099609375</v>
      </c>
      <c r="C72">
        <f t="shared" si="5"/>
        <v>1.143527476356883E-2</v>
      </c>
      <c r="J72">
        <f t="shared" si="3"/>
        <v>26328.55078125</v>
      </c>
      <c r="K72">
        <f t="shared" si="4"/>
        <v>-0.27940965049675015</v>
      </c>
    </row>
    <row r="73" spans="1:11" x14ac:dyDescent="0.3">
      <c r="A73" s="2">
        <v>45107</v>
      </c>
      <c r="B73">
        <v>19189.05078125</v>
      </c>
      <c r="C73">
        <f t="shared" si="5"/>
        <v>6.9570924336937751E-3</v>
      </c>
      <c r="J73">
        <f t="shared" si="3"/>
        <v>26328.55078125</v>
      </c>
      <c r="K73">
        <f t="shared" si="4"/>
        <v>-0.27116950185820432</v>
      </c>
    </row>
    <row r="74" spans="1:11" x14ac:dyDescent="0.3">
      <c r="A74" s="2">
        <v>45110</v>
      </c>
      <c r="B74">
        <v>19322.55078125</v>
      </c>
      <c r="C74">
        <f t="shared" si="5"/>
        <v>3.4389465191355714E-3</v>
      </c>
      <c r="J74">
        <f t="shared" si="3"/>
        <v>26328.55078125</v>
      </c>
      <c r="K74">
        <f t="shared" si="4"/>
        <v>-0.26609896071413686</v>
      </c>
    </row>
    <row r="75" spans="1:11" x14ac:dyDescent="0.3">
      <c r="A75" s="2">
        <v>45111</v>
      </c>
      <c r="B75">
        <v>19389</v>
      </c>
      <c r="C75">
        <f t="shared" si="5"/>
        <v>4.8996853886224153E-4</v>
      </c>
      <c r="J75">
        <f t="shared" si="3"/>
        <v>26328.55078125</v>
      </c>
      <c r="K75">
        <f t="shared" si="4"/>
        <v>-0.26357511428969471</v>
      </c>
    </row>
    <row r="76" spans="1:11" x14ac:dyDescent="0.3">
      <c r="A76" s="2">
        <v>45112</v>
      </c>
      <c r="B76">
        <v>19398.5</v>
      </c>
      <c r="C76">
        <f t="shared" si="5"/>
        <v>5.0932175812562824E-3</v>
      </c>
      <c r="J76">
        <f t="shared" si="3"/>
        <v>26328.55078125</v>
      </c>
      <c r="K76">
        <f t="shared" si="4"/>
        <v>-0.26321428926446144</v>
      </c>
    </row>
    <row r="77" spans="1:11" x14ac:dyDescent="0.3">
      <c r="A77" s="2">
        <v>45113</v>
      </c>
      <c r="B77">
        <v>19497.30078125</v>
      </c>
      <c r="C77">
        <f t="shared" si="5"/>
        <v>-8.4883544577184066E-3</v>
      </c>
      <c r="J77">
        <f t="shared" si="3"/>
        <v>26328.55078125</v>
      </c>
      <c r="K77">
        <f t="shared" si="4"/>
        <v>-0.25946167932892483</v>
      </c>
    </row>
    <row r="78" spans="1:11" x14ac:dyDescent="0.3">
      <c r="A78" s="2">
        <v>45114</v>
      </c>
      <c r="B78">
        <v>19331.80078125</v>
      </c>
      <c r="C78">
        <f t="shared" si="5"/>
        <v>1.2466303397029789E-3</v>
      </c>
      <c r="J78">
        <f t="shared" si="3"/>
        <v>26328.55078125</v>
      </c>
      <c r="K78">
        <f t="shared" si="4"/>
        <v>-0.26574763108430444</v>
      </c>
    </row>
    <row r="79" spans="1:11" x14ac:dyDescent="0.3">
      <c r="A79" s="2">
        <v>45117</v>
      </c>
      <c r="B79">
        <v>19355.900390625</v>
      </c>
      <c r="C79">
        <f t="shared" si="5"/>
        <v>4.3139300324382271E-3</v>
      </c>
      <c r="J79">
        <f t="shared" si="3"/>
        <v>26328.55078125</v>
      </c>
      <c r="K79">
        <f t="shared" si="4"/>
        <v>-0.26483228980421536</v>
      </c>
    </row>
    <row r="80" spans="1:11" x14ac:dyDescent="0.3">
      <c r="A80" s="2">
        <v>45118</v>
      </c>
      <c r="B80">
        <v>19439.400390625</v>
      </c>
      <c r="C80">
        <f t="shared" si="5"/>
        <v>-2.8344294714755078E-3</v>
      </c>
      <c r="J80">
        <f t="shared" si="3"/>
        <v>26328.55078125</v>
      </c>
      <c r="K80">
        <f t="shared" si="4"/>
        <v>-0.26166082774032284</v>
      </c>
    </row>
    <row r="81" spans="1:11" x14ac:dyDescent="0.3">
      <c r="A81" s="2">
        <v>45119</v>
      </c>
      <c r="B81">
        <v>19384.30078125</v>
      </c>
      <c r="C81">
        <f t="shared" si="5"/>
        <v>1.5192303855749891E-3</v>
      </c>
      <c r="J81">
        <f t="shared" si="3"/>
        <v>26328.55078125</v>
      </c>
      <c r="K81">
        <f t="shared" si="4"/>
        <v>-0.26375359805012055</v>
      </c>
    </row>
    <row r="82" spans="1:11" x14ac:dyDescent="0.3">
      <c r="A82" s="2">
        <v>45120</v>
      </c>
      <c r="B82">
        <v>19413.75</v>
      </c>
      <c r="C82">
        <f t="shared" si="5"/>
        <v>7.7651149314274673E-3</v>
      </c>
      <c r="J82">
        <f t="shared" si="3"/>
        <v>26328.55078125</v>
      </c>
      <c r="K82">
        <f t="shared" si="4"/>
        <v>-0.26263507014500809</v>
      </c>
    </row>
    <row r="83" spans="1:11" x14ac:dyDescent="0.3">
      <c r="A83" s="2">
        <v>45121</v>
      </c>
      <c r="B83">
        <v>19564.5</v>
      </c>
      <c r="C83">
        <f t="shared" si="5"/>
        <v>7.5110132510414268E-3</v>
      </c>
      <c r="J83">
        <f t="shared" si="3"/>
        <v>26328.55078125</v>
      </c>
      <c r="K83">
        <f t="shared" si="4"/>
        <v>-0.25690934671828003</v>
      </c>
    </row>
    <row r="84" spans="1:11" x14ac:dyDescent="0.3">
      <c r="A84" s="2">
        <v>45124</v>
      </c>
      <c r="B84">
        <v>19711.44921875</v>
      </c>
      <c r="C84">
        <f t="shared" si="5"/>
        <v>1.917706853032551E-3</v>
      </c>
      <c r="J84">
        <f t="shared" si="3"/>
        <v>26328.55078125</v>
      </c>
      <c r="K84">
        <f t="shared" si="4"/>
        <v>-0.251327982974756</v>
      </c>
    </row>
    <row r="85" spans="1:11" x14ac:dyDescent="0.3">
      <c r="A85" s="2">
        <v>45125</v>
      </c>
      <c r="B85">
        <v>19749.25</v>
      </c>
      <c r="C85">
        <f t="shared" si="5"/>
        <v>4.248282371482461E-3</v>
      </c>
      <c r="J85">
        <f t="shared" si="3"/>
        <v>26328.55078125</v>
      </c>
      <c r="K85">
        <f t="shared" si="4"/>
        <v>-0.24989224951703304</v>
      </c>
    </row>
    <row r="86" spans="1:11" x14ac:dyDescent="0.3">
      <c r="A86" s="2">
        <v>45126</v>
      </c>
      <c r="B86">
        <v>19833.150390625</v>
      </c>
      <c r="C86">
        <f t="shared" si="5"/>
        <v>7.3614124394989332E-3</v>
      </c>
      <c r="J86">
        <f t="shared" si="3"/>
        <v>26328.55078125</v>
      </c>
      <c r="K86">
        <f t="shared" si="4"/>
        <v>-0.24670557998394393</v>
      </c>
    </row>
    <row r="87" spans="1:11" x14ac:dyDescent="0.3">
      <c r="A87" s="2">
        <v>45127</v>
      </c>
      <c r="B87">
        <v>19979.150390625</v>
      </c>
      <c r="C87">
        <f t="shared" si="5"/>
        <v>-1.1719737128305142E-2</v>
      </c>
      <c r="J87">
        <f t="shared" si="3"/>
        <v>26328.55078125</v>
      </c>
      <c r="K87">
        <f t="shared" si="4"/>
        <v>-0.24116026906983257</v>
      </c>
    </row>
    <row r="88" spans="1:11" x14ac:dyDescent="0.3">
      <c r="A88" s="2">
        <v>45128</v>
      </c>
      <c r="B88">
        <v>19745</v>
      </c>
      <c r="C88">
        <f t="shared" si="5"/>
        <v>-3.6794322929855658E-3</v>
      </c>
      <c r="J88">
        <f t="shared" si="3"/>
        <v>26328.55078125</v>
      </c>
      <c r="K88">
        <f t="shared" si="4"/>
        <v>-0.25005367123884792</v>
      </c>
    </row>
    <row r="89" spans="1:11" x14ac:dyDescent="0.3">
      <c r="A89" s="2">
        <v>45131</v>
      </c>
      <c r="B89">
        <v>19672.349609375</v>
      </c>
      <c r="C89">
        <f t="shared" si="5"/>
        <v>4.193703428322768E-4</v>
      </c>
      <c r="J89">
        <f t="shared" si="3"/>
        <v>26328.55078125</v>
      </c>
      <c r="K89">
        <f t="shared" si="4"/>
        <v>-0.2528130479788977</v>
      </c>
    </row>
    <row r="90" spans="1:11" x14ac:dyDescent="0.3">
      <c r="A90" s="2">
        <v>45132</v>
      </c>
      <c r="B90">
        <v>19680.599609375</v>
      </c>
      <c r="C90">
        <f t="shared" si="5"/>
        <v>4.9643391875346787E-3</v>
      </c>
      <c r="J90">
        <f t="shared" si="3"/>
        <v>26328.55078125</v>
      </c>
      <c r="K90">
        <f t="shared" si="4"/>
        <v>-0.25249969993066879</v>
      </c>
    </row>
    <row r="91" spans="1:11" x14ac:dyDescent="0.3">
      <c r="A91" s="2">
        <v>45133</v>
      </c>
      <c r="B91">
        <v>19778.30078125</v>
      </c>
      <c r="C91">
        <f t="shared" si="5"/>
        <v>-5.9863783008722669E-3</v>
      </c>
      <c r="J91">
        <f t="shared" si="3"/>
        <v>26328.55078125</v>
      </c>
      <c r="K91">
        <f t="shared" si="4"/>
        <v>-0.24878885489834068</v>
      </c>
    </row>
    <row r="92" spans="1:11" x14ac:dyDescent="0.3">
      <c r="A92" s="2">
        <v>45134</v>
      </c>
      <c r="B92">
        <v>19659.900390625</v>
      </c>
      <c r="C92">
        <f t="shared" si="5"/>
        <v>-7.0445979378432207E-4</v>
      </c>
      <c r="J92">
        <f t="shared" si="3"/>
        <v>26328.55078125</v>
      </c>
      <c r="K92">
        <f t="shared" si="4"/>
        <v>-0.25328588899675064</v>
      </c>
    </row>
    <row r="93" spans="1:11" x14ac:dyDescent="0.3">
      <c r="A93" s="2">
        <v>45135</v>
      </c>
      <c r="B93">
        <v>19646.05078125</v>
      </c>
      <c r="C93">
        <f t="shared" si="5"/>
        <v>5.4845628365592716E-3</v>
      </c>
      <c r="J93">
        <f t="shared" si="3"/>
        <v>26328.55078125</v>
      </c>
      <c r="K93">
        <f t="shared" si="4"/>
        <v>-0.25381191906540379</v>
      </c>
    </row>
    <row r="94" spans="1:11" x14ac:dyDescent="0.3">
      <c r="A94" s="2">
        <v>45138</v>
      </c>
      <c r="B94">
        <v>19753.80078125</v>
      </c>
      <c r="C94">
        <f t="shared" si="5"/>
        <v>-1.0251191770254656E-3</v>
      </c>
      <c r="J94">
        <f t="shared" si="3"/>
        <v>26328.55078125</v>
      </c>
      <c r="K94">
        <f t="shared" si="4"/>
        <v>-0.24971940364762646</v>
      </c>
    </row>
    <row r="95" spans="1:11" x14ac:dyDescent="0.3">
      <c r="A95" s="2">
        <v>45139</v>
      </c>
      <c r="B95">
        <v>19733.55078125</v>
      </c>
      <c r="C95">
        <f t="shared" si="5"/>
        <v>-1.0489749274959822E-2</v>
      </c>
      <c r="J95">
        <f t="shared" si="3"/>
        <v>26328.55078125</v>
      </c>
      <c r="K95">
        <f t="shared" si="4"/>
        <v>-0.25048853067509735</v>
      </c>
    </row>
    <row r="96" spans="1:11" x14ac:dyDescent="0.3">
      <c r="A96" s="2">
        <v>45140</v>
      </c>
      <c r="B96">
        <v>19526.55078125</v>
      </c>
      <c r="C96">
        <f t="shared" si="5"/>
        <v>-7.4206854169113091E-3</v>
      </c>
      <c r="J96">
        <f t="shared" si="3"/>
        <v>26328.55078125</v>
      </c>
      <c r="K96">
        <f t="shared" si="4"/>
        <v>-0.25835071806702237</v>
      </c>
    </row>
    <row r="97" spans="1:11" x14ac:dyDescent="0.3">
      <c r="A97" s="2">
        <v>45141</v>
      </c>
      <c r="B97">
        <v>19381.650390625</v>
      </c>
      <c r="C97">
        <f t="shared" si="5"/>
        <v>6.9833892701144417E-3</v>
      </c>
      <c r="J97">
        <f t="shared" si="3"/>
        <v>26328.55078125</v>
      </c>
      <c r="K97">
        <f t="shared" si="4"/>
        <v>-0.26385426407792512</v>
      </c>
    </row>
    <row r="98" spans="1:11" x14ac:dyDescent="0.3">
      <c r="A98" s="2">
        <v>45142</v>
      </c>
      <c r="B98">
        <v>19517</v>
      </c>
      <c r="C98">
        <f t="shared" si="5"/>
        <v>4.1144018676026028E-3</v>
      </c>
      <c r="J98">
        <f t="shared" si="3"/>
        <v>26328.55078125</v>
      </c>
      <c r="K98">
        <f t="shared" si="4"/>
        <v>-0.25871347184444649</v>
      </c>
    </row>
    <row r="99" spans="1:11" x14ac:dyDescent="0.3">
      <c r="A99" s="2">
        <v>45145</v>
      </c>
      <c r="B99">
        <v>19597.30078125</v>
      </c>
      <c r="C99">
        <f t="shared" si="5"/>
        <v>-1.349735464605796E-3</v>
      </c>
      <c r="J99">
        <f t="shared" si="3"/>
        <v>26328.55078125</v>
      </c>
      <c r="K99">
        <f t="shared" si="4"/>
        <v>-0.2556635211685746</v>
      </c>
    </row>
    <row r="100" spans="1:11" x14ac:dyDescent="0.3">
      <c r="A100" s="2">
        <v>45146</v>
      </c>
      <c r="B100">
        <v>19570.849609375</v>
      </c>
      <c r="C100">
        <f t="shared" si="5"/>
        <v>3.1527078847636415E-3</v>
      </c>
      <c r="J100">
        <f t="shared" si="3"/>
        <v>26328.55078125</v>
      </c>
      <c r="K100">
        <f t="shared" si="4"/>
        <v>-0.25666817851165313</v>
      </c>
    </row>
    <row r="101" spans="1:11" x14ac:dyDescent="0.3">
      <c r="A101" s="2">
        <v>45147</v>
      </c>
      <c r="B101">
        <v>19632.55078125</v>
      </c>
      <c r="C101">
        <f t="shared" si="5"/>
        <v>-4.5562684580156563E-3</v>
      </c>
      <c r="J101">
        <f t="shared" si="3"/>
        <v>26328.55078125</v>
      </c>
      <c r="K101">
        <f t="shared" si="4"/>
        <v>-0.25432467041705109</v>
      </c>
    </row>
    <row r="102" spans="1:11" x14ac:dyDescent="0.3">
      <c r="A102" s="2">
        <v>45148</v>
      </c>
      <c r="B102">
        <v>19543.099609375</v>
      </c>
      <c r="C102">
        <f t="shared" si="5"/>
        <v>-5.8741361615907628E-3</v>
      </c>
      <c r="J102">
        <f t="shared" si="3"/>
        <v>26328.55078125</v>
      </c>
      <c r="K102">
        <f t="shared" si="4"/>
        <v>-0.25772216740115039</v>
      </c>
    </row>
    <row r="103" spans="1:11" x14ac:dyDescent="0.3">
      <c r="A103" s="2">
        <v>45149</v>
      </c>
      <c r="B103">
        <v>19428.30078125</v>
      </c>
      <c r="C103">
        <f t="shared" si="5"/>
        <v>3.2169565781232879E-4</v>
      </c>
      <c r="J103">
        <f t="shared" si="3"/>
        <v>26328.55078125</v>
      </c>
      <c r="K103">
        <f t="shared" si="4"/>
        <v>-0.26208240845956643</v>
      </c>
    </row>
    <row r="104" spans="1:11" x14ac:dyDescent="0.3">
      <c r="A104" s="2">
        <v>45152</v>
      </c>
      <c r="B104">
        <v>19434.55078125</v>
      </c>
      <c r="C104">
        <f t="shared" si="5"/>
        <v>1.5667570139761961E-3</v>
      </c>
      <c r="J104">
        <f t="shared" si="3"/>
        <v>26328.55078125</v>
      </c>
      <c r="K104">
        <f t="shared" si="4"/>
        <v>-0.26184502357454453</v>
      </c>
    </row>
    <row r="105" spans="1:11" x14ac:dyDescent="0.3">
      <c r="A105" s="2">
        <v>45154</v>
      </c>
      <c r="B105">
        <v>19465</v>
      </c>
      <c r="C105">
        <f t="shared" si="5"/>
        <v>-5.124582584125353E-3</v>
      </c>
      <c r="J105">
        <f t="shared" si="3"/>
        <v>26328.55078125</v>
      </c>
      <c r="K105">
        <f t="shared" si="4"/>
        <v>-0.26068851408782856</v>
      </c>
    </row>
    <row r="106" spans="1:11" x14ac:dyDescent="0.3">
      <c r="A106" s="2">
        <v>45155</v>
      </c>
      <c r="B106">
        <v>19365.25</v>
      </c>
      <c r="C106">
        <f t="shared" si="5"/>
        <v>-2.8452826260957128E-3</v>
      </c>
      <c r="J106">
        <f t="shared" si="3"/>
        <v>26328.55078125</v>
      </c>
      <c r="K106">
        <f t="shared" si="4"/>
        <v>-0.26447717685277794</v>
      </c>
    </row>
    <row r="107" spans="1:11" x14ac:dyDescent="0.3">
      <c r="A107" s="2">
        <v>45156</v>
      </c>
      <c r="B107">
        <v>19310.150390625</v>
      </c>
      <c r="C107">
        <f t="shared" si="5"/>
        <v>4.3215209131936255E-3</v>
      </c>
      <c r="J107">
        <f t="shared" si="3"/>
        <v>26328.55078125</v>
      </c>
      <c r="K107">
        <f t="shared" si="4"/>
        <v>-0.26656994716257554</v>
      </c>
    </row>
    <row r="108" spans="1:11" x14ac:dyDescent="0.3">
      <c r="A108" s="2">
        <v>45159</v>
      </c>
      <c r="B108">
        <v>19393.599609375</v>
      </c>
      <c r="C108">
        <f t="shared" si="5"/>
        <v>1.4693555773021523E-4</v>
      </c>
      <c r="J108">
        <f t="shared" si="3"/>
        <v>26328.55078125</v>
      </c>
      <c r="K108">
        <f t="shared" si="4"/>
        <v>-0.26340041385087387</v>
      </c>
    </row>
    <row r="109" spans="1:11" x14ac:dyDescent="0.3">
      <c r="A109" s="2">
        <v>45160</v>
      </c>
      <c r="B109">
        <v>19396.44921875</v>
      </c>
      <c r="C109">
        <f t="shared" si="5"/>
        <v>2.4515199000461384E-3</v>
      </c>
      <c r="J109">
        <f t="shared" si="3"/>
        <v>26328.55078125</v>
      </c>
      <c r="K109">
        <f t="shared" si="4"/>
        <v>-0.26329218117985931</v>
      </c>
    </row>
    <row r="110" spans="1:11" x14ac:dyDescent="0.3">
      <c r="A110" s="2">
        <v>45161</v>
      </c>
      <c r="B110">
        <v>19444</v>
      </c>
      <c r="C110">
        <f t="shared" si="5"/>
        <v>-2.9469646806212714E-3</v>
      </c>
      <c r="J110">
        <f t="shared" si="3"/>
        <v>26328.55078125</v>
      </c>
      <c r="K110">
        <f t="shared" si="4"/>
        <v>-0.26148612730150211</v>
      </c>
    </row>
    <row r="111" spans="1:11" x14ac:dyDescent="0.3">
      <c r="A111" s="2">
        <v>45162</v>
      </c>
      <c r="B111">
        <v>19386.69921875</v>
      </c>
      <c r="C111">
        <f t="shared" si="5"/>
        <v>-6.2361537740819812E-3</v>
      </c>
      <c r="J111">
        <f t="shared" si="3"/>
        <v>26328.55078125</v>
      </c>
      <c r="K111">
        <f t="shared" si="4"/>
        <v>-0.26366250160049343</v>
      </c>
    </row>
    <row r="112" spans="1:11" x14ac:dyDescent="0.3">
      <c r="A112" s="2">
        <v>45163</v>
      </c>
      <c r="B112">
        <v>19265.80078125</v>
      </c>
      <c r="C112">
        <f t="shared" si="5"/>
        <v>2.089194238900902E-3</v>
      </c>
      <c r="J112">
        <f t="shared" si="3"/>
        <v>26328.55078125</v>
      </c>
      <c r="K112">
        <f t="shared" si="4"/>
        <v>-0.26825441547013562</v>
      </c>
    </row>
    <row r="113" spans="1:11" x14ac:dyDescent="0.3">
      <c r="A113" s="2">
        <v>45166</v>
      </c>
      <c r="B113">
        <v>19306.05078125</v>
      </c>
      <c r="C113">
        <f t="shared" si="5"/>
        <v>1.8957584743610782E-3</v>
      </c>
      <c r="J113">
        <f t="shared" si="3"/>
        <v>26328.55078125</v>
      </c>
      <c r="K113">
        <f t="shared" si="4"/>
        <v>-0.26672565681059457</v>
      </c>
    </row>
    <row r="114" spans="1:11" x14ac:dyDescent="0.3">
      <c r="A114" s="2">
        <v>45167</v>
      </c>
      <c r="B114">
        <v>19342.650390625</v>
      </c>
      <c r="C114">
        <f t="shared" si="5"/>
        <v>2.4809568637635602E-4</v>
      </c>
      <c r="J114">
        <f t="shared" si="3"/>
        <v>26328.55078125</v>
      </c>
      <c r="K114">
        <f t="shared" si="4"/>
        <v>-0.2653355457604617</v>
      </c>
    </row>
    <row r="115" spans="1:11" x14ac:dyDescent="0.3">
      <c r="A115" s="2">
        <v>45168</v>
      </c>
      <c r="B115">
        <v>19347.44921875</v>
      </c>
      <c r="C115">
        <f t="shared" si="5"/>
        <v>-4.8403506033882458E-3</v>
      </c>
      <c r="J115">
        <f t="shared" si="3"/>
        <v>26328.55078125</v>
      </c>
      <c r="K115">
        <f t="shared" si="4"/>
        <v>-0.26515327867843086</v>
      </c>
    </row>
    <row r="116" spans="1:11" x14ac:dyDescent="0.3">
      <c r="A116" s="2">
        <v>45169</v>
      </c>
      <c r="B116">
        <v>19253.80078125</v>
      </c>
      <c r="C116">
        <f t="shared" si="5"/>
        <v>9.4267101889176502E-3</v>
      </c>
      <c r="J116">
        <f t="shared" si="3"/>
        <v>26328.55078125</v>
      </c>
      <c r="K116">
        <f t="shared" si="4"/>
        <v>-0.2687101944493776</v>
      </c>
    </row>
    <row r="117" spans="1:11" x14ac:dyDescent="0.3">
      <c r="A117" s="2">
        <v>45170</v>
      </c>
      <c r="B117">
        <v>19435.30078125</v>
      </c>
      <c r="C117">
        <f t="shared" si="5"/>
        <v>4.8108337016426897E-3</v>
      </c>
      <c r="J117">
        <f t="shared" si="3"/>
        <v>26328.55078125</v>
      </c>
      <c r="K117">
        <f t="shared" si="4"/>
        <v>-0.26181653738834199</v>
      </c>
    </row>
    <row r="118" spans="1:11" x14ac:dyDescent="0.3">
      <c r="A118" s="2">
        <v>45173</v>
      </c>
      <c r="B118">
        <v>19528.80078125</v>
      </c>
      <c r="C118">
        <f t="shared" si="5"/>
        <v>2.3605960187407502E-3</v>
      </c>
      <c r="J118">
        <f t="shared" si="3"/>
        <v>26328.55078125</v>
      </c>
      <c r="K118">
        <f t="shared" si="4"/>
        <v>-0.2582652595084145</v>
      </c>
    </row>
    <row r="119" spans="1:11" x14ac:dyDescent="0.3">
      <c r="A119" s="2">
        <v>45174</v>
      </c>
      <c r="B119">
        <v>19574.900390625</v>
      </c>
      <c r="C119">
        <f t="shared" si="5"/>
        <v>1.8467726478094107E-3</v>
      </c>
      <c r="J119">
        <f t="shared" si="3"/>
        <v>26328.55078125</v>
      </c>
      <c r="K119">
        <f t="shared" si="4"/>
        <v>-0.25651432343304836</v>
      </c>
    </row>
    <row r="120" spans="1:11" x14ac:dyDescent="0.3">
      <c r="A120" s="2">
        <v>45175</v>
      </c>
      <c r="B120">
        <v>19611.05078125</v>
      </c>
      <c r="C120">
        <f t="shared" si="5"/>
        <v>5.9150323607803238E-3</v>
      </c>
      <c r="J120">
        <f t="shared" si="3"/>
        <v>26328.55078125</v>
      </c>
      <c r="K120">
        <f t="shared" si="4"/>
        <v>-0.25514127442152645</v>
      </c>
    </row>
    <row r="121" spans="1:11" x14ac:dyDescent="0.3">
      <c r="A121" s="2">
        <v>45176</v>
      </c>
      <c r="B121">
        <v>19727.05078125</v>
      </c>
      <c r="C121">
        <f t="shared" si="5"/>
        <v>4.7091903665750848E-3</v>
      </c>
      <c r="J121">
        <f t="shared" si="3"/>
        <v>26328.55078125</v>
      </c>
      <c r="K121">
        <f t="shared" si="4"/>
        <v>-0.25073541095552021</v>
      </c>
    </row>
    <row r="122" spans="1:11" x14ac:dyDescent="0.3">
      <c r="A122" s="2">
        <v>45177</v>
      </c>
      <c r="B122">
        <v>19819.94921875</v>
      </c>
      <c r="C122">
        <f t="shared" si="5"/>
        <v>8.9001434200508597E-3</v>
      </c>
      <c r="J122">
        <f t="shared" si="3"/>
        <v>26328.55078125</v>
      </c>
      <c r="K122">
        <f t="shared" si="4"/>
        <v>-0.24720698137077601</v>
      </c>
    </row>
    <row r="123" spans="1:11" x14ac:dyDescent="0.3">
      <c r="A123" s="2">
        <v>45180</v>
      </c>
      <c r="B123">
        <v>19996.349609375</v>
      </c>
      <c r="C123">
        <f t="shared" si="5"/>
        <v>-1.5754828688947231E-4</v>
      </c>
      <c r="J123">
        <f t="shared" si="3"/>
        <v>26328.55078125</v>
      </c>
      <c r="K123">
        <f t="shared" si="4"/>
        <v>-0.24050701553936293</v>
      </c>
    </row>
    <row r="124" spans="1:11" x14ac:dyDescent="0.3">
      <c r="A124" s="2">
        <v>45181</v>
      </c>
      <c r="B124">
        <v>19993.19921875</v>
      </c>
      <c r="C124">
        <f t="shared" si="5"/>
        <v>3.8413452699443307E-3</v>
      </c>
      <c r="J124">
        <f t="shared" si="3"/>
        <v>26328.55078125</v>
      </c>
      <c r="K124">
        <f t="shared" si="4"/>
        <v>-0.24062667235796931</v>
      </c>
    </row>
    <row r="125" spans="1:11" x14ac:dyDescent="0.3">
      <c r="A125" s="2">
        <v>45182</v>
      </c>
      <c r="B125">
        <v>20070</v>
      </c>
      <c r="C125">
        <f t="shared" si="5"/>
        <v>1.6492082399103139E-3</v>
      </c>
      <c r="J125">
        <f t="shared" si="3"/>
        <v>26328.55078125</v>
      </c>
      <c r="K125">
        <f t="shared" si="4"/>
        <v>-0.23770965721770965</v>
      </c>
    </row>
    <row r="126" spans="1:11" x14ac:dyDescent="0.3">
      <c r="A126" s="2">
        <v>45183</v>
      </c>
      <c r="B126">
        <v>20103.099609375</v>
      </c>
      <c r="C126">
        <f t="shared" si="5"/>
        <v>4.439613877174375E-3</v>
      </c>
      <c r="J126">
        <f t="shared" si="3"/>
        <v>26328.55078125</v>
      </c>
      <c r="K126">
        <f t="shared" si="4"/>
        <v>-0.23645248170318911</v>
      </c>
    </row>
    <row r="127" spans="1:11" x14ac:dyDescent="0.3">
      <c r="A127" s="2">
        <v>45184</v>
      </c>
      <c r="B127">
        <v>20192.349609375</v>
      </c>
      <c r="C127">
        <f t="shared" si="5"/>
        <v>-2.9243168460982138E-3</v>
      </c>
      <c r="J127">
        <f t="shared" si="3"/>
        <v>26328.55078125</v>
      </c>
      <c r="K127">
        <f t="shared" si="4"/>
        <v>-0.23306262554507651</v>
      </c>
    </row>
    <row r="128" spans="1:11" x14ac:dyDescent="0.3">
      <c r="A128" s="2">
        <v>45187</v>
      </c>
      <c r="B128">
        <v>20133.30078125</v>
      </c>
      <c r="C128">
        <f t="shared" si="5"/>
        <v>-1.1518249945432057E-2</v>
      </c>
      <c r="J128">
        <f t="shared" si="3"/>
        <v>26328.55078125</v>
      </c>
      <c r="K128">
        <f t="shared" si="4"/>
        <v>-0.2353053934290974</v>
      </c>
    </row>
    <row r="129" spans="1:11" x14ac:dyDescent="0.3">
      <c r="A129" s="2">
        <v>45189</v>
      </c>
      <c r="B129">
        <v>19901.400390625</v>
      </c>
      <c r="C129">
        <f t="shared" si="5"/>
        <v>-7.9919391664982752E-3</v>
      </c>
      <c r="J129">
        <f t="shared" si="3"/>
        <v>26328.55078125</v>
      </c>
      <c r="K129">
        <f t="shared" si="4"/>
        <v>-0.24411333703950489</v>
      </c>
    </row>
    <row r="130" spans="1:11" x14ac:dyDescent="0.3">
      <c r="A130" s="2">
        <v>45190</v>
      </c>
      <c r="B130">
        <v>19742.349609375</v>
      </c>
      <c r="C130">
        <f t="shared" si="5"/>
        <v>-3.4494176591149876E-3</v>
      </c>
      <c r="J130">
        <f t="shared" ref="J130:J193" si="6">MAX(B130:B868)</f>
        <v>26328.55078125</v>
      </c>
      <c r="K130">
        <f t="shared" ref="K130:K193" si="7">B130/J130-1</f>
        <v>-0.25015433726665248</v>
      </c>
    </row>
    <row r="131" spans="1:11" x14ac:dyDescent="0.3">
      <c r="A131" s="2">
        <v>45191</v>
      </c>
      <c r="B131">
        <v>19674.25</v>
      </c>
      <c r="C131">
        <f t="shared" ref="C131:C194" si="8">(B132-B131)/B131</f>
        <v>1.5288066889462116E-5</v>
      </c>
      <c r="J131">
        <f t="shared" si="6"/>
        <v>26328.55078125</v>
      </c>
      <c r="K131">
        <f t="shared" si="7"/>
        <v>-0.25274086813729568</v>
      </c>
    </row>
    <row r="132" spans="1:11" x14ac:dyDescent="0.3">
      <c r="A132" s="2">
        <v>45194</v>
      </c>
      <c r="B132">
        <v>19674.55078125</v>
      </c>
      <c r="C132">
        <f t="shared" si="8"/>
        <v>-5.0072617207548218E-4</v>
      </c>
      <c r="J132">
        <f t="shared" si="6"/>
        <v>26328.55078125</v>
      </c>
      <c r="K132">
        <f t="shared" si="7"/>
        <v>-0.25272944398970398</v>
      </c>
    </row>
    <row r="133" spans="1:11" x14ac:dyDescent="0.3">
      <c r="A133" s="2">
        <v>45195</v>
      </c>
      <c r="B133">
        <v>19664.69921875</v>
      </c>
      <c r="C133">
        <f t="shared" si="8"/>
        <v>2.6316191986632139E-3</v>
      </c>
      <c r="J133">
        <f t="shared" si="6"/>
        <v>26328.55078125</v>
      </c>
      <c r="K133">
        <f t="shared" si="7"/>
        <v>-0.2531036219147198</v>
      </c>
    </row>
    <row r="134" spans="1:11" x14ac:dyDescent="0.3">
      <c r="A134" s="2">
        <v>45196</v>
      </c>
      <c r="B134">
        <v>19716.44921875</v>
      </c>
      <c r="C134">
        <f t="shared" si="8"/>
        <v>-9.7836296667737181E-3</v>
      </c>
      <c r="J134">
        <f t="shared" si="6"/>
        <v>26328.55078125</v>
      </c>
      <c r="K134">
        <f t="shared" si="7"/>
        <v>-0.25113807506673858</v>
      </c>
    </row>
    <row r="135" spans="1:11" x14ac:dyDescent="0.3">
      <c r="A135" s="2">
        <v>45197</v>
      </c>
      <c r="B135">
        <v>19523.55078125</v>
      </c>
      <c r="C135">
        <f t="shared" si="8"/>
        <v>5.8775169171687482E-3</v>
      </c>
      <c r="J135">
        <f t="shared" si="6"/>
        <v>26328.55078125</v>
      </c>
      <c r="K135">
        <f t="shared" si="7"/>
        <v>-0.25846466281183289</v>
      </c>
    </row>
    <row r="136" spans="1:11" x14ac:dyDescent="0.3">
      <c r="A136" s="2">
        <v>45198</v>
      </c>
      <c r="B136">
        <v>19638.30078125</v>
      </c>
      <c r="C136">
        <f t="shared" si="8"/>
        <v>-5.5784246544688561E-3</v>
      </c>
      <c r="J136">
        <f t="shared" si="6"/>
        <v>26328.55078125</v>
      </c>
      <c r="K136">
        <f t="shared" si="7"/>
        <v>-0.254106276322831</v>
      </c>
    </row>
    <row r="137" spans="1:11" x14ac:dyDescent="0.3">
      <c r="A137" s="2">
        <v>45202</v>
      </c>
      <c r="B137">
        <v>19528.75</v>
      </c>
      <c r="C137">
        <f t="shared" si="8"/>
        <v>-4.7443072713307301E-3</v>
      </c>
      <c r="J137">
        <f t="shared" si="6"/>
        <v>26328.55078125</v>
      </c>
      <c r="K137">
        <f t="shared" si="7"/>
        <v>-0.25826718826060524</v>
      </c>
    </row>
    <row r="138" spans="1:11" x14ac:dyDescent="0.3">
      <c r="A138" s="2">
        <v>45203</v>
      </c>
      <c r="B138">
        <v>19436.099609375</v>
      </c>
      <c r="C138">
        <f t="shared" si="8"/>
        <v>5.6415841052857201E-3</v>
      </c>
      <c r="J138">
        <f t="shared" si="6"/>
        <v>26328.55078125</v>
      </c>
      <c r="K138">
        <f t="shared" si="7"/>
        <v>-0.26178619663272507</v>
      </c>
    </row>
    <row r="139" spans="1:11" x14ac:dyDescent="0.3">
      <c r="A139" s="2">
        <v>45204</v>
      </c>
      <c r="B139">
        <v>19545.75</v>
      </c>
      <c r="C139">
        <f t="shared" si="8"/>
        <v>5.512707366051443E-3</v>
      </c>
      <c r="J139">
        <f t="shared" si="6"/>
        <v>26328.55078125</v>
      </c>
      <c r="K139">
        <f t="shared" si="7"/>
        <v>-0.25762150137334572</v>
      </c>
    </row>
    <row r="140" spans="1:11" x14ac:dyDescent="0.3">
      <c r="A140" s="2">
        <v>45205</v>
      </c>
      <c r="B140">
        <v>19653.5</v>
      </c>
      <c r="C140">
        <f t="shared" si="8"/>
        <v>-7.181946758847025E-3</v>
      </c>
      <c r="J140">
        <f t="shared" si="6"/>
        <v>26328.55078125</v>
      </c>
      <c r="K140">
        <f t="shared" si="7"/>
        <v>-0.25352898595556839</v>
      </c>
    </row>
    <row r="141" spans="1:11" x14ac:dyDescent="0.3">
      <c r="A141" s="2">
        <v>45208</v>
      </c>
      <c r="B141">
        <v>19512.349609375</v>
      </c>
      <c r="C141">
        <f t="shared" si="8"/>
        <v>9.0968029762401072E-3</v>
      </c>
      <c r="J141">
        <f t="shared" si="6"/>
        <v>26328.55078125</v>
      </c>
      <c r="K141">
        <f t="shared" si="7"/>
        <v>-0.25889010103545806</v>
      </c>
    </row>
    <row r="142" spans="1:11" x14ac:dyDescent="0.3">
      <c r="A142" s="2">
        <v>45209</v>
      </c>
      <c r="B142">
        <v>19689.849609375</v>
      </c>
      <c r="C142">
        <f t="shared" si="8"/>
        <v>6.1706921287072586E-3</v>
      </c>
      <c r="J142">
        <f t="shared" si="6"/>
        <v>26328.55078125</v>
      </c>
      <c r="K142">
        <f t="shared" si="7"/>
        <v>-0.25214837030083637</v>
      </c>
    </row>
    <row r="143" spans="1:11" x14ac:dyDescent="0.3">
      <c r="A143" s="2">
        <v>45210</v>
      </c>
      <c r="B143">
        <v>19811.349609375</v>
      </c>
      <c r="C143">
        <f t="shared" si="8"/>
        <v>-8.7574091200681898E-4</v>
      </c>
      <c r="J143">
        <f t="shared" si="6"/>
        <v>26328.55078125</v>
      </c>
      <c r="K143">
        <f t="shared" si="7"/>
        <v>-0.24753360813601089</v>
      </c>
    </row>
    <row r="144" spans="1:11" x14ac:dyDescent="0.3">
      <c r="A144" s="2">
        <v>45211</v>
      </c>
      <c r="B144">
        <v>19794</v>
      </c>
      <c r="C144">
        <f t="shared" si="8"/>
        <v>-2.1698099802970596E-3</v>
      </c>
      <c r="J144">
        <f t="shared" si="6"/>
        <v>26328.55078125</v>
      </c>
      <c r="K144">
        <f t="shared" si="7"/>
        <v>-0.24819257374027626</v>
      </c>
    </row>
    <row r="145" spans="1:11" x14ac:dyDescent="0.3">
      <c r="A145" s="2">
        <v>45212</v>
      </c>
      <c r="B145">
        <v>19751.05078125</v>
      </c>
      <c r="C145">
        <f t="shared" si="8"/>
        <v>-9.7720275562870559E-4</v>
      </c>
      <c r="J145">
        <f t="shared" si="6"/>
        <v>26328.55078125</v>
      </c>
      <c r="K145">
        <f t="shared" si="7"/>
        <v>-0.24982385299703613</v>
      </c>
    </row>
    <row r="146" spans="1:11" x14ac:dyDescent="0.3">
      <c r="A146" s="2">
        <v>45215</v>
      </c>
      <c r="B146">
        <v>19731.75</v>
      </c>
      <c r="C146">
        <f t="shared" si="8"/>
        <v>4.0417094276990126E-3</v>
      </c>
      <c r="J146">
        <f t="shared" si="6"/>
        <v>26328.55078125</v>
      </c>
      <c r="K146">
        <f t="shared" si="7"/>
        <v>-0.25055692719509437</v>
      </c>
    </row>
    <row r="147" spans="1:11" x14ac:dyDescent="0.3">
      <c r="A147" s="2">
        <v>45216</v>
      </c>
      <c r="B147">
        <v>19811.5</v>
      </c>
      <c r="C147">
        <f t="shared" si="8"/>
        <v>-7.0868127413371024E-3</v>
      </c>
      <c r="J147">
        <f t="shared" si="6"/>
        <v>26328.55078125</v>
      </c>
      <c r="K147">
        <f t="shared" si="7"/>
        <v>-0.24752789606221504</v>
      </c>
    </row>
    <row r="148" spans="1:11" x14ac:dyDescent="0.3">
      <c r="A148" s="2">
        <v>45217</v>
      </c>
      <c r="B148">
        <v>19671.099609375</v>
      </c>
      <c r="C148">
        <f t="shared" si="8"/>
        <v>-2.3588102112444267E-3</v>
      </c>
      <c r="J148">
        <f t="shared" si="6"/>
        <v>26328.55078125</v>
      </c>
      <c r="K148">
        <f t="shared" si="7"/>
        <v>-0.25286052495590206</v>
      </c>
    </row>
    <row r="149" spans="1:11" x14ac:dyDescent="0.3">
      <c r="A149" s="2">
        <v>45218</v>
      </c>
      <c r="B149">
        <v>19624.69921875</v>
      </c>
      <c r="C149">
        <f t="shared" si="8"/>
        <v>-4.1808960845936532E-3</v>
      </c>
      <c r="J149">
        <f t="shared" si="6"/>
        <v>26328.55078125</v>
      </c>
      <c r="K149">
        <f t="shared" si="7"/>
        <v>-0.25462288517885989</v>
      </c>
    </row>
    <row r="150" spans="1:11" x14ac:dyDescent="0.3">
      <c r="A150" s="2">
        <v>45219</v>
      </c>
      <c r="B150">
        <v>19542.650390625</v>
      </c>
      <c r="C150">
        <f t="shared" si="8"/>
        <v>-1.3350307425555702E-2</v>
      </c>
      <c r="J150">
        <f t="shared" si="6"/>
        <v>26328.55078125</v>
      </c>
      <c r="K150">
        <f t="shared" si="7"/>
        <v>-0.25773922943976124</v>
      </c>
    </row>
    <row r="151" spans="1:11" x14ac:dyDescent="0.3">
      <c r="A151" s="2">
        <v>45222</v>
      </c>
      <c r="B151">
        <v>19281.75</v>
      </c>
      <c r="C151">
        <f t="shared" si="8"/>
        <v>-8.2772367329210263E-3</v>
      </c>
      <c r="J151">
        <f t="shared" si="6"/>
        <v>26328.55078125</v>
      </c>
      <c r="K151">
        <f t="shared" si="7"/>
        <v>-0.26764863891667035</v>
      </c>
    </row>
    <row r="152" spans="1:11" x14ac:dyDescent="0.3">
      <c r="A152" s="2">
        <v>45224</v>
      </c>
      <c r="B152">
        <v>19122.150390625</v>
      </c>
      <c r="C152">
        <f t="shared" si="8"/>
        <v>-1.385306491234754E-2</v>
      </c>
      <c r="J152">
        <f t="shared" si="6"/>
        <v>26328.55078125</v>
      </c>
      <c r="K152">
        <f t="shared" si="7"/>
        <v>-0.27371048450403401</v>
      </c>
    </row>
    <row r="153" spans="1:11" x14ac:dyDescent="0.3">
      <c r="A153" s="2">
        <v>45225</v>
      </c>
      <c r="B153">
        <v>18857.25</v>
      </c>
      <c r="C153">
        <f t="shared" si="8"/>
        <v>1.007570032746026E-2</v>
      </c>
      <c r="J153">
        <f t="shared" si="6"/>
        <v>26328.55078125</v>
      </c>
      <c r="K153">
        <f t="shared" si="7"/>
        <v>-0.28377182030735704</v>
      </c>
    </row>
    <row r="154" spans="1:11" x14ac:dyDescent="0.3">
      <c r="A154" s="2">
        <v>45226</v>
      </c>
      <c r="B154">
        <v>19047.25</v>
      </c>
      <c r="C154">
        <f t="shared" si="8"/>
        <v>4.9167407696649118E-3</v>
      </c>
      <c r="J154">
        <f t="shared" si="6"/>
        <v>26328.55078125</v>
      </c>
      <c r="K154">
        <f t="shared" si="7"/>
        <v>-0.27655531980269166</v>
      </c>
    </row>
    <row r="155" spans="1:11" x14ac:dyDescent="0.3">
      <c r="A155" s="2">
        <v>45229</v>
      </c>
      <c r="B155">
        <v>19140.900390625</v>
      </c>
      <c r="C155">
        <f t="shared" si="8"/>
        <v>-3.2026069828995319E-3</v>
      </c>
      <c r="J155">
        <f t="shared" si="6"/>
        <v>26328.55078125</v>
      </c>
      <c r="K155">
        <f t="shared" si="7"/>
        <v>-0.27299832984896832</v>
      </c>
    </row>
    <row r="156" spans="1:11" x14ac:dyDescent="0.3">
      <c r="A156" s="2">
        <v>45230</v>
      </c>
      <c r="B156">
        <v>19079.599609375</v>
      </c>
      <c r="C156">
        <f t="shared" si="8"/>
        <v>-4.7406245729368791E-3</v>
      </c>
      <c r="J156">
        <f t="shared" si="6"/>
        <v>26328.55078125</v>
      </c>
      <c r="K156">
        <f t="shared" si="7"/>
        <v>-0.27532663047437367</v>
      </c>
    </row>
    <row r="157" spans="1:11" x14ac:dyDescent="0.3">
      <c r="A157" s="2">
        <v>45231</v>
      </c>
      <c r="B157">
        <v>18989.150390625</v>
      </c>
      <c r="C157">
        <f t="shared" si="8"/>
        <v>7.5885232572670764E-3</v>
      </c>
      <c r="J157">
        <f t="shared" si="6"/>
        <v>26328.55078125</v>
      </c>
      <c r="K157">
        <f t="shared" si="7"/>
        <v>-0.27876203485729978</v>
      </c>
    </row>
    <row r="158" spans="1:11" x14ac:dyDescent="0.3">
      <c r="A158" s="2">
        <v>45232</v>
      </c>
      <c r="B158">
        <v>19133.25</v>
      </c>
      <c r="C158">
        <f t="shared" si="8"/>
        <v>5.0879808383311777E-3</v>
      </c>
      <c r="J158">
        <f t="shared" si="6"/>
        <v>26328.55078125</v>
      </c>
      <c r="K158">
        <f t="shared" si="7"/>
        <v>-0.27328890378479043</v>
      </c>
    </row>
    <row r="159" spans="1:11" x14ac:dyDescent="0.3">
      <c r="A159" s="2">
        <v>45233</v>
      </c>
      <c r="B159">
        <v>19230.599609375</v>
      </c>
      <c r="C159">
        <f t="shared" si="8"/>
        <v>9.4199033989916994E-3</v>
      </c>
      <c r="J159">
        <f t="shared" si="6"/>
        <v>26328.55078125</v>
      </c>
      <c r="K159">
        <f t="shared" si="7"/>
        <v>-0.26959141165224476</v>
      </c>
    </row>
    <row r="160" spans="1:11" x14ac:dyDescent="0.3">
      <c r="A160" s="2">
        <v>45236</v>
      </c>
      <c r="B160">
        <v>19411.75</v>
      </c>
      <c r="C160">
        <f t="shared" si="8"/>
        <v>-2.6019195847875644E-4</v>
      </c>
      <c r="J160">
        <f t="shared" si="6"/>
        <v>26328.55078125</v>
      </c>
      <c r="K160">
        <f t="shared" si="7"/>
        <v>-0.26271103330821499</v>
      </c>
    </row>
    <row r="161" spans="1:11" x14ac:dyDescent="0.3">
      <c r="A161" s="2">
        <v>45237</v>
      </c>
      <c r="B161">
        <v>19406.69921875</v>
      </c>
      <c r="C161">
        <f t="shared" si="8"/>
        <v>1.8962926582818634E-3</v>
      </c>
      <c r="J161">
        <f t="shared" si="6"/>
        <v>26328.55078125</v>
      </c>
      <c r="K161">
        <f t="shared" si="7"/>
        <v>-0.26290286996842338</v>
      </c>
    </row>
    <row r="162" spans="1:11" x14ac:dyDescent="0.3">
      <c r="A162" s="2">
        <v>45238</v>
      </c>
      <c r="B162">
        <v>19443.5</v>
      </c>
      <c r="C162">
        <f t="shared" si="8"/>
        <v>-2.4789373698151053E-3</v>
      </c>
      <c r="J162">
        <f t="shared" si="6"/>
        <v>26328.55078125</v>
      </c>
      <c r="K162">
        <f t="shared" si="7"/>
        <v>-0.26150511809230381</v>
      </c>
    </row>
    <row r="163" spans="1:11" x14ac:dyDescent="0.3">
      <c r="A163" s="2">
        <v>45239</v>
      </c>
      <c r="B163">
        <v>19395.30078125</v>
      </c>
      <c r="C163">
        <f t="shared" si="8"/>
        <v>1.5492839458333678E-3</v>
      </c>
      <c r="J163">
        <f t="shared" si="6"/>
        <v>26328.55078125</v>
      </c>
      <c r="K163">
        <f t="shared" si="7"/>
        <v>-0.26333580065248208</v>
      </c>
    </row>
    <row r="164" spans="1:11" x14ac:dyDescent="0.3">
      <c r="A164" s="2">
        <v>45240</v>
      </c>
      <c r="B164">
        <v>19425.349609375</v>
      </c>
      <c r="C164">
        <f t="shared" si="8"/>
        <v>9.3698040143461864E-4</v>
      </c>
      <c r="J164">
        <f t="shared" si="6"/>
        <v>26328.55078125</v>
      </c>
      <c r="K164">
        <f t="shared" si="7"/>
        <v>-0.26219449863496269</v>
      </c>
    </row>
    <row r="165" spans="1:11" x14ac:dyDescent="0.3">
      <c r="A165" s="2">
        <v>45243</v>
      </c>
      <c r="B165">
        <v>19443.55078125</v>
      </c>
      <c r="C165">
        <f t="shared" si="8"/>
        <v>1.1926753508604336E-2</v>
      </c>
      <c r="J165">
        <f t="shared" si="6"/>
        <v>26328.55078125</v>
      </c>
      <c r="K165">
        <f t="shared" si="7"/>
        <v>-0.26150318934011307</v>
      </c>
    </row>
    <row r="166" spans="1:11" x14ac:dyDescent="0.3">
      <c r="A166" s="2">
        <v>45245</v>
      </c>
      <c r="B166">
        <v>19675.44921875</v>
      </c>
      <c r="C166">
        <f t="shared" si="8"/>
        <v>4.5615222809993819E-3</v>
      </c>
      <c r="J166">
        <f t="shared" si="6"/>
        <v>26328.55078125</v>
      </c>
      <c r="K166">
        <f t="shared" si="7"/>
        <v>-0.25269531991248217</v>
      </c>
    </row>
    <row r="167" spans="1:11" x14ac:dyDescent="0.3">
      <c r="A167" s="2">
        <v>45246</v>
      </c>
      <c r="B167">
        <v>19765.19921875</v>
      </c>
      <c r="C167">
        <f t="shared" si="8"/>
        <v>-1.6897597201204532E-3</v>
      </c>
      <c r="J167">
        <f t="shared" si="6"/>
        <v>26328.55078125</v>
      </c>
      <c r="K167">
        <f t="shared" si="7"/>
        <v>-0.24928647296356776</v>
      </c>
    </row>
    <row r="168" spans="1:11" x14ac:dyDescent="0.3">
      <c r="A168" s="2">
        <v>45247</v>
      </c>
      <c r="B168">
        <v>19731.80078125</v>
      </c>
      <c r="C168">
        <f t="shared" si="8"/>
        <v>-1.9157289123818803E-3</v>
      </c>
      <c r="J168">
        <f t="shared" si="6"/>
        <v>26328.55078125</v>
      </c>
      <c r="K168">
        <f t="shared" si="7"/>
        <v>-0.25055499844290352</v>
      </c>
    </row>
    <row r="169" spans="1:11" x14ac:dyDescent="0.3">
      <c r="A169" s="2">
        <v>45250</v>
      </c>
      <c r="B169">
        <v>19694</v>
      </c>
      <c r="C169">
        <f t="shared" si="8"/>
        <v>4.5394734754239871E-3</v>
      </c>
      <c r="J169">
        <f t="shared" si="6"/>
        <v>26328.55078125</v>
      </c>
      <c r="K169">
        <f t="shared" si="7"/>
        <v>-0.25199073190062649</v>
      </c>
    </row>
    <row r="170" spans="1:11" x14ac:dyDescent="0.3">
      <c r="A170" s="2">
        <v>45251</v>
      </c>
      <c r="B170">
        <v>19783.400390625</v>
      </c>
      <c r="C170">
        <f t="shared" si="8"/>
        <v>1.438034826585301E-3</v>
      </c>
      <c r="J170">
        <f t="shared" si="6"/>
        <v>26328.55078125</v>
      </c>
      <c r="K170">
        <f t="shared" si="7"/>
        <v>-0.24859516366871814</v>
      </c>
    </row>
    <row r="171" spans="1:11" x14ac:dyDescent="0.3">
      <c r="A171" s="2">
        <v>45252</v>
      </c>
      <c r="B171">
        <v>19811.849609375</v>
      </c>
      <c r="C171">
        <f t="shared" si="8"/>
        <v>-4.9715748752398909E-4</v>
      </c>
      <c r="J171">
        <f t="shared" si="6"/>
        <v>26328.55078125</v>
      </c>
      <c r="K171">
        <f t="shared" si="7"/>
        <v>-0.24751461734520908</v>
      </c>
    </row>
    <row r="172" spans="1:11" x14ac:dyDescent="0.3">
      <c r="A172" s="2">
        <v>45253</v>
      </c>
      <c r="B172">
        <v>19802</v>
      </c>
      <c r="C172">
        <f t="shared" si="8"/>
        <v>-3.6868908443591557E-4</v>
      </c>
      <c r="J172">
        <f t="shared" si="6"/>
        <v>26328.55078125</v>
      </c>
      <c r="K172">
        <f t="shared" si="7"/>
        <v>-0.2478887210874483</v>
      </c>
    </row>
    <row r="173" spans="1:11" x14ac:dyDescent="0.3">
      <c r="A173" s="2">
        <v>45254</v>
      </c>
      <c r="B173">
        <v>19794.69921875</v>
      </c>
      <c r="C173">
        <f t="shared" si="8"/>
        <v>4.7992646389905125E-3</v>
      </c>
      <c r="J173">
        <f t="shared" si="6"/>
        <v>26328.55078125</v>
      </c>
      <c r="K173">
        <f t="shared" si="7"/>
        <v>-0.24816601630626445</v>
      </c>
    </row>
    <row r="174" spans="1:11" x14ac:dyDescent="0.3">
      <c r="A174" s="2">
        <v>45258</v>
      </c>
      <c r="B174">
        <v>19889.69921875</v>
      </c>
      <c r="C174">
        <f t="shared" si="8"/>
        <v>1.0402389113554579E-2</v>
      </c>
      <c r="J174">
        <f t="shared" si="6"/>
        <v>26328.55078125</v>
      </c>
      <c r="K174">
        <f t="shared" si="7"/>
        <v>-0.24455776605393176</v>
      </c>
    </row>
    <row r="175" spans="1:11" x14ac:dyDescent="0.3">
      <c r="A175" s="2">
        <v>45259</v>
      </c>
      <c r="B175">
        <v>20096.599609375</v>
      </c>
      <c r="C175">
        <f t="shared" si="8"/>
        <v>1.8187545137212753E-3</v>
      </c>
      <c r="J175">
        <f t="shared" si="6"/>
        <v>26328.55078125</v>
      </c>
      <c r="K175">
        <f t="shared" si="7"/>
        <v>-0.23669936198361186</v>
      </c>
    </row>
    <row r="176" spans="1:11" x14ac:dyDescent="0.3">
      <c r="A176" s="2">
        <v>45260</v>
      </c>
      <c r="B176">
        <v>20133.150390625</v>
      </c>
      <c r="C176">
        <f t="shared" si="8"/>
        <v>6.6929416105065368E-3</v>
      </c>
      <c r="J176">
        <f t="shared" si="6"/>
        <v>26328.55078125</v>
      </c>
      <c r="K176">
        <f t="shared" si="7"/>
        <v>-0.23531110550289325</v>
      </c>
    </row>
    <row r="177" spans="1:11" x14ac:dyDescent="0.3">
      <c r="A177" s="2">
        <v>45261</v>
      </c>
      <c r="B177">
        <v>20267.900390625</v>
      </c>
      <c r="C177">
        <f t="shared" si="8"/>
        <v>2.0668169003769332E-2</v>
      </c>
      <c r="J177">
        <f t="shared" si="6"/>
        <v>26328.55078125</v>
      </c>
      <c r="K177">
        <f t="shared" si="7"/>
        <v>-0.23019308738182132</v>
      </c>
    </row>
    <row r="178" spans="1:11" x14ac:dyDescent="0.3">
      <c r="A178" s="2">
        <v>45264</v>
      </c>
      <c r="B178">
        <v>20686.80078125</v>
      </c>
      <c r="C178">
        <f t="shared" si="8"/>
        <v>8.1355657602475619E-3</v>
      </c>
      <c r="J178">
        <f t="shared" si="6"/>
        <v>26328.55078125</v>
      </c>
      <c r="K178">
        <f t="shared" si="7"/>
        <v>-0.21428258801155886</v>
      </c>
    </row>
    <row r="179" spans="1:11" x14ac:dyDescent="0.3">
      <c r="A179" s="2">
        <v>45265</v>
      </c>
      <c r="B179">
        <v>20855.099609375</v>
      </c>
      <c r="C179">
        <f t="shared" si="8"/>
        <v>3.9606432442005199E-3</v>
      </c>
      <c r="J179">
        <f t="shared" si="6"/>
        <v>26328.55078125</v>
      </c>
      <c r="K179">
        <f t="shared" si="7"/>
        <v>-0.20789033233735532</v>
      </c>
    </row>
    <row r="180" spans="1:11" x14ac:dyDescent="0.3">
      <c r="A180" s="2">
        <v>45266</v>
      </c>
      <c r="B180">
        <v>20937.69921875</v>
      </c>
      <c r="C180">
        <f t="shared" si="8"/>
        <v>-1.7455990623969808E-3</v>
      </c>
      <c r="J180">
        <f t="shared" si="6"/>
        <v>26328.55078125</v>
      </c>
      <c r="K180">
        <f t="shared" si="7"/>
        <v>-0.20475306853346142</v>
      </c>
    </row>
    <row r="181" spans="1:11" x14ac:dyDescent="0.3">
      <c r="A181" s="2">
        <v>45267</v>
      </c>
      <c r="B181">
        <v>20901.150390625</v>
      </c>
      <c r="C181">
        <f t="shared" si="8"/>
        <v>3.2653705047073797E-3</v>
      </c>
      <c r="J181">
        <f t="shared" si="6"/>
        <v>26328.55078125</v>
      </c>
      <c r="K181">
        <f t="shared" si="7"/>
        <v>-0.20614125083140344</v>
      </c>
    </row>
    <row r="182" spans="1:11" x14ac:dyDescent="0.3">
      <c r="A182" s="2">
        <v>45268</v>
      </c>
      <c r="B182">
        <v>20969.400390625</v>
      </c>
      <c r="C182">
        <f t="shared" si="8"/>
        <v>1.3209351833628857E-3</v>
      </c>
      <c r="J182">
        <f t="shared" si="6"/>
        <v>26328.55078125</v>
      </c>
      <c r="K182">
        <f t="shared" si="7"/>
        <v>-0.20354900788696439</v>
      </c>
    </row>
    <row r="183" spans="1:11" x14ac:dyDescent="0.3">
      <c r="A183" s="2">
        <v>45271</v>
      </c>
      <c r="B183">
        <v>20997.099609375</v>
      </c>
      <c r="C183">
        <f t="shared" si="8"/>
        <v>-4.3196070141755995E-3</v>
      </c>
      <c r="J183">
        <f t="shared" si="6"/>
        <v>26328.55078125</v>
      </c>
      <c r="K183">
        <f t="shared" si="7"/>
        <v>-0.2024969477496581</v>
      </c>
    </row>
    <row r="184" spans="1:11" x14ac:dyDescent="0.3">
      <c r="A184" s="2">
        <v>45272</v>
      </c>
      <c r="B184">
        <v>20906.400390625</v>
      </c>
      <c r="C184">
        <f t="shared" si="8"/>
        <v>9.5421585625738684E-4</v>
      </c>
      <c r="J184">
        <f t="shared" si="6"/>
        <v>26328.55078125</v>
      </c>
      <c r="K184">
        <f t="shared" si="7"/>
        <v>-0.20594184752798506</v>
      </c>
    </row>
    <row r="185" spans="1:11" x14ac:dyDescent="0.3">
      <c r="A185" s="2">
        <v>45273</v>
      </c>
      <c r="B185">
        <v>20926.349609375</v>
      </c>
      <c r="C185">
        <f t="shared" si="8"/>
        <v>1.2250087289956937E-2</v>
      </c>
      <c r="J185">
        <f t="shared" si="6"/>
        <v>26328.55078125</v>
      </c>
      <c r="K185">
        <f t="shared" si="7"/>
        <v>-0.20518414464810586</v>
      </c>
    </row>
    <row r="186" spans="1:11" x14ac:dyDescent="0.3">
      <c r="A186" s="2">
        <v>45274</v>
      </c>
      <c r="B186">
        <v>21182.69921875</v>
      </c>
      <c r="C186">
        <f t="shared" si="8"/>
        <v>1.2932779200891942E-2</v>
      </c>
      <c r="J186">
        <f t="shared" si="6"/>
        <v>26328.55078125</v>
      </c>
      <c r="K186">
        <f t="shared" si="7"/>
        <v>-0.19544758104060334</v>
      </c>
    </row>
    <row r="187" spans="1:11" x14ac:dyDescent="0.3">
      <c r="A187" s="2">
        <v>45275</v>
      </c>
      <c r="B187">
        <v>21456.650390625</v>
      </c>
      <c r="C187">
        <f t="shared" si="8"/>
        <v>-1.7710126840955215E-3</v>
      </c>
      <c r="J187">
        <f t="shared" si="6"/>
        <v>26328.55078125</v>
      </c>
      <c r="K187">
        <f t="shared" si="7"/>
        <v>-0.185042482250658</v>
      </c>
    </row>
    <row r="188" spans="1:11" x14ac:dyDescent="0.3">
      <c r="A188" s="2">
        <v>45278</v>
      </c>
      <c r="B188">
        <v>21418.650390625</v>
      </c>
      <c r="C188">
        <f t="shared" si="8"/>
        <v>1.6083748565725931E-3</v>
      </c>
      <c r="J188">
        <f t="shared" si="6"/>
        <v>26328.55078125</v>
      </c>
      <c r="K188">
        <f t="shared" si="7"/>
        <v>-0.18648578235159108</v>
      </c>
    </row>
    <row r="189" spans="1:11" x14ac:dyDescent="0.3">
      <c r="A189" s="2">
        <v>45279</v>
      </c>
      <c r="B189">
        <v>21453.099609375</v>
      </c>
      <c r="C189">
        <f t="shared" si="8"/>
        <v>-1.412146609423336E-2</v>
      </c>
      <c r="J189">
        <f t="shared" si="6"/>
        <v>26328.55078125</v>
      </c>
      <c r="K189">
        <f t="shared" si="7"/>
        <v>-0.18517734653846107</v>
      </c>
    </row>
    <row r="190" spans="1:11" x14ac:dyDescent="0.3">
      <c r="A190" s="2">
        <v>45280</v>
      </c>
      <c r="B190">
        <v>21150.150390625</v>
      </c>
      <c r="C190">
        <f t="shared" si="8"/>
        <v>4.9597940765233554E-3</v>
      </c>
      <c r="J190">
        <f t="shared" si="6"/>
        <v>26328.55078125</v>
      </c>
      <c r="K190">
        <f t="shared" si="7"/>
        <v>-0.19668383701213143</v>
      </c>
    </row>
    <row r="191" spans="1:11" x14ac:dyDescent="0.3">
      <c r="A191" s="2">
        <v>45281</v>
      </c>
      <c r="B191">
        <v>21255.05078125</v>
      </c>
      <c r="C191">
        <f t="shared" si="8"/>
        <v>4.4389265566107177E-3</v>
      </c>
      <c r="J191">
        <f t="shared" si="6"/>
        <v>26328.55078125</v>
      </c>
      <c r="K191">
        <f t="shared" si="7"/>
        <v>-0.19269955426536867</v>
      </c>
    </row>
    <row r="192" spans="1:11" x14ac:dyDescent="0.3">
      <c r="A192" s="2">
        <v>45282</v>
      </c>
      <c r="B192">
        <v>21349.400390625</v>
      </c>
      <c r="C192">
        <f t="shared" si="8"/>
        <v>4.3068759341071223E-3</v>
      </c>
      <c r="J192">
        <f t="shared" si="6"/>
        <v>26328.55078125</v>
      </c>
      <c r="K192">
        <f t="shared" si="7"/>
        <v>-0.18911600687763364</v>
      </c>
    </row>
    <row r="193" spans="1:11" x14ac:dyDescent="0.3">
      <c r="A193" s="2">
        <v>45286</v>
      </c>
      <c r="B193">
        <v>21441.349609375</v>
      </c>
      <c r="C193">
        <f t="shared" si="8"/>
        <v>9.9527499207276091E-3</v>
      </c>
      <c r="J193">
        <f t="shared" si="6"/>
        <v>26328.55078125</v>
      </c>
      <c r="K193">
        <f t="shared" si="7"/>
        <v>-0.18562363012230221</v>
      </c>
    </row>
    <row r="194" spans="1:11" x14ac:dyDescent="0.3">
      <c r="A194" s="2">
        <v>45287</v>
      </c>
      <c r="B194">
        <v>21654.75</v>
      </c>
      <c r="C194">
        <f t="shared" si="8"/>
        <v>5.7238813077962114E-3</v>
      </c>
      <c r="J194">
        <f t="shared" ref="J194:J257" si="9">MAX(B194:B932)</f>
        <v>26328.55078125</v>
      </c>
      <c r="K194">
        <f t="shared" ref="K194:K257" si="10">B194/J194-1</f>
        <v>-0.17751834577155945</v>
      </c>
    </row>
    <row r="195" spans="1:11" x14ac:dyDescent="0.3">
      <c r="A195" s="2">
        <v>45288</v>
      </c>
      <c r="B195">
        <v>21778.69921875</v>
      </c>
      <c r="C195">
        <f t="shared" ref="C195:C258" si="11">(B196-B195)/B195</f>
        <v>-2.171793074045436E-3</v>
      </c>
      <c r="J195">
        <f t="shared" si="9"/>
        <v>26328.55078125</v>
      </c>
      <c r="K195">
        <f t="shared" si="10"/>
        <v>-0.17281055840491599</v>
      </c>
    </row>
    <row r="196" spans="1:11" x14ac:dyDescent="0.3">
      <c r="A196" s="2">
        <v>45289</v>
      </c>
      <c r="B196">
        <v>21731.400390625</v>
      </c>
      <c r="C196">
        <f t="shared" si="11"/>
        <v>4.8317180721265139E-4</v>
      </c>
      <c r="J196">
        <f t="shared" si="9"/>
        <v>26328.55078125</v>
      </c>
      <c r="K196">
        <f t="shared" si="10"/>
        <v>-0.17460704270509575</v>
      </c>
    </row>
    <row r="197" spans="1:11" x14ac:dyDescent="0.3">
      <c r="A197" s="2">
        <v>45292</v>
      </c>
      <c r="B197">
        <v>21741.900390625</v>
      </c>
      <c r="C197">
        <f t="shared" si="11"/>
        <v>-3.5001360510240297E-3</v>
      </c>
      <c r="J197">
        <f t="shared" si="9"/>
        <v>26328.55078125</v>
      </c>
      <c r="K197">
        <f t="shared" si="10"/>
        <v>-0.17420823609825897</v>
      </c>
    </row>
    <row r="198" spans="1:11" x14ac:dyDescent="0.3">
      <c r="A198" s="2">
        <v>45293</v>
      </c>
      <c r="B198">
        <v>21665.80078125</v>
      </c>
      <c r="C198">
        <f t="shared" si="11"/>
        <v>-6.8518663756694607E-3</v>
      </c>
      <c r="J198">
        <f t="shared" si="9"/>
        <v>26328.55078125</v>
      </c>
      <c r="K198">
        <f t="shared" si="10"/>
        <v>-0.17709861962173012</v>
      </c>
    </row>
    <row r="199" spans="1:11" x14ac:dyDescent="0.3">
      <c r="A199" s="2">
        <v>45294</v>
      </c>
      <c r="B199">
        <v>21517.349609375</v>
      </c>
      <c r="C199">
        <f t="shared" si="11"/>
        <v>6.5644701863494422E-3</v>
      </c>
      <c r="J199">
        <f t="shared" si="9"/>
        <v>26328.55078125</v>
      </c>
      <c r="K199">
        <f t="shared" si="10"/>
        <v>-0.18273702992043606</v>
      </c>
    </row>
    <row r="200" spans="1:11" x14ac:dyDescent="0.3">
      <c r="A200" s="2">
        <v>45295</v>
      </c>
      <c r="B200">
        <v>21658.599609375</v>
      </c>
      <c r="C200">
        <f t="shared" si="11"/>
        <v>2.4101822286056087E-3</v>
      </c>
      <c r="J200">
        <f t="shared" si="9"/>
        <v>26328.55078125</v>
      </c>
      <c r="K200">
        <f t="shared" si="10"/>
        <v>-0.17737213151894127</v>
      </c>
    </row>
    <row r="201" spans="1:11" x14ac:dyDescent="0.3">
      <c r="A201" s="2">
        <v>45296</v>
      </c>
      <c r="B201">
        <v>21710.80078125</v>
      </c>
      <c r="C201">
        <f t="shared" si="11"/>
        <v>-9.1107086856430358E-3</v>
      </c>
      <c r="J201">
        <f t="shared" si="9"/>
        <v>26328.55078125</v>
      </c>
      <c r="K201">
        <f t="shared" si="10"/>
        <v>-0.1753894484495726</v>
      </c>
    </row>
    <row r="202" spans="1:11" x14ac:dyDescent="0.3">
      <c r="A202" s="2">
        <v>45299</v>
      </c>
      <c r="B202">
        <v>21513</v>
      </c>
      <c r="C202">
        <f t="shared" si="11"/>
        <v>1.4804820050667038E-3</v>
      </c>
      <c r="J202">
        <f t="shared" si="9"/>
        <v>26328.55078125</v>
      </c>
      <c r="K202">
        <f t="shared" si="10"/>
        <v>-0.18290223496385594</v>
      </c>
    </row>
    <row r="203" spans="1:11" x14ac:dyDescent="0.3">
      <c r="A203" s="2">
        <v>45300</v>
      </c>
      <c r="B203">
        <v>21544.849609375</v>
      </c>
      <c r="C203">
        <f t="shared" si="11"/>
        <v>3.4277152411806657E-3</v>
      </c>
      <c r="J203">
        <f t="shared" si="9"/>
        <v>26328.55078125</v>
      </c>
      <c r="K203">
        <f t="shared" si="10"/>
        <v>-0.18169253642633965</v>
      </c>
    </row>
    <row r="204" spans="1:11" x14ac:dyDescent="0.3">
      <c r="A204" s="2">
        <v>45301</v>
      </c>
      <c r="B204">
        <v>21618.69921875</v>
      </c>
      <c r="C204">
        <f t="shared" si="11"/>
        <v>1.3183031833516521E-3</v>
      </c>
      <c r="J204">
        <f t="shared" si="9"/>
        <v>26328.55078125</v>
      </c>
      <c r="K204">
        <f t="shared" si="10"/>
        <v>-0.17888761146147636</v>
      </c>
    </row>
    <row r="205" spans="1:11" x14ac:dyDescent="0.3">
      <c r="A205" s="2">
        <v>45302</v>
      </c>
      <c r="B205">
        <v>21647.19921875</v>
      </c>
      <c r="C205">
        <f t="shared" si="11"/>
        <v>1.1426492637705911E-2</v>
      </c>
      <c r="J205">
        <f t="shared" si="9"/>
        <v>26328.55078125</v>
      </c>
      <c r="K205">
        <f t="shared" si="10"/>
        <v>-0.17780513638577655</v>
      </c>
    </row>
    <row r="206" spans="1:11" x14ac:dyDescent="0.3">
      <c r="A206" s="2">
        <v>45303</v>
      </c>
      <c r="B206">
        <v>21894.55078125</v>
      </c>
      <c r="C206">
        <f t="shared" si="11"/>
        <v>9.2670746948486215E-3</v>
      </c>
      <c r="J206">
        <f t="shared" si="9"/>
        <v>26328.55078125</v>
      </c>
      <c r="K206">
        <f t="shared" si="10"/>
        <v>-0.16841033282992901</v>
      </c>
    </row>
    <row r="207" spans="1:11" x14ac:dyDescent="0.3">
      <c r="A207" s="2">
        <v>45306</v>
      </c>
      <c r="B207">
        <v>22097.44921875</v>
      </c>
      <c r="C207">
        <f t="shared" si="11"/>
        <v>-2.9482333845447023E-3</v>
      </c>
      <c r="J207">
        <f t="shared" si="9"/>
        <v>26328.55078125</v>
      </c>
      <c r="K207">
        <f t="shared" si="10"/>
        <v>-0.16070392926879962</v>
      </c>
    </row>
    <row r="208" spans="1:11" x14ac:dyDescent="0.3">
      <c r="A208" s="2">
        <v>45307</v>
      </c>
      <c r="B208">
        <v>22032.30078125</v>
      </c>
      <c r="C208">
        <f t="shared" si="11"/>
        <v>-2.0894393512082492E-2</v>
      </c>
      <c r="J208">
        <f t="shared" si="9"/>
        <v>26328.55078125</v>
      </c>
      <c r="K208">
        <f t="shared" si="10"/>
        <v>-0.16317836996404655</v>
      </c>
    </row>
    <row r="209" spans="1:11" x14ac:dyDescent="0.3">
      <c r="A209" s="2">
        <v>45308</v>
      </c>
      <c r="B209">
        <v>21571.94921875</v>
      </c>
      <c r="C209">
        <f t="shared" si="11"/>
        <v>-5.0852715087355742E-3</v>
      </c>
      <c r="J209">
        <f t="shared" si="9"/>
        <v>26328.55078125</v>
      </c>
      <c r="K209">
        <f t="shared" si="10"/>
        <v>-0.18066325040144005</v>
      </c>
    </row>
    <row r="210" spans="1:11" x14ac:dyDescent="0.3">
      <c r="A210" s="2">
        <v>45309</v>
      </c>
      <c r="B210">
        <v>21462.25</v>
      </c>
      <c r="C210">
        <f t="shared" si="11"/>
        <v>7.4619571864552878E-3</v>
      </c>
      <c r="J210">
        <f t="shared" si="9"/>
        <v>26328.55078125</v>
      </c>
      <c r="K210">
        <f t="shared" si="10"/>
        <v>-0.18482980023023365</v>
      </c>
    </row>
    <row r="211" spans="1:11" x14ac:dyDescent="0.3">
      <c r="A211" s="2">
        <v>45310</v>
      </c>
      <c r="B211">
        <v>21622.400390625</v>
      </c>
      <c r="C211">
        <f t="shared" si="11"/>
        <v>-1.7740842942734536E-2</v>
      </c>
      <c r="J211">
        <f t="shared" si="9"/>
        <v>26328.55078125</v>
      </c>
      <c r="K211">
        <f t="shared" si="10"/>
        <v>-0.17874703509987744</v>
      </c>
    </row>
    <row r="212" spans="1:11" x14ac:dyDescent="0.3">
      <c r="A212" s="2">
        <v>45314</v>
      </c>
      <c r="B212">
        <v>21238.80078125</v>
      </c>
      <c r="C212">
        <f t="shared" si="11"/>
        <v>1.0129971071150917E-2</v>
      </c>
      <c r="J212">
        <f t="shared" si="9"/>
        <v>26328.55078125</v>
      </c>
      <c r="K212">
        <f t="shared" si="10"/>
        <v>-0.19331675496642564</v>
      </c>
    </row>
    <row r="213" spans="1:11" x14ac:dyDescent="0.3">
      <c r="A213" s="2">
        <v>45315</v>
      </c>
      <c r="B213">
        <v>21453.94921875</v>
      </c>
      <c r="C213">
        <f t="shared" si="11"/>
        <v>-4.7240537554001476E-3</v>
      </c>
      <c r="J213">
        <f t="shared" si="9"/>
        <v>26328.55078125</v>
      </c>
      <c r="K213">
        <f t="shared" si="10"/>
        <v>-0.18514507703065342</v>
      </c>
    </row>
    <row r="214" spans="1:11" x14ac:dyDescent="0.3">
      <c r="A214" s="2">
        <v>45316</v>
      </c>
      <c r="B214">
        <v>21352.599609375</v>
      </c>
      <c r="C214">
        <f t="shared" si="11"/>
        <v>1.8030591452244681E-2</v>
      </c>
      <c r="J214">
        <f t="shared" si="9"/>
        <v>26328.55078125</v>
      </c>
      <c r="K214">
        <f t="shared" si="10"/>
        <v>-0.188994495489613</v>
      </c>
    </row>
    <row r="215" spans="1:11" x14ac:dyDescent="0.3">
      <c r="A215" s="2">
        <v>45320</v>
      </c>
      <c r="B215">
        <v>21737.599609375</v>
      </c>
      <c r="C215">
        <f t="shared" si="11"/>
        <v>-9.9136981024831768E-3</v>
      </c>
      <c r="J215">
        <f t="shared" si="9"/>
        <v>26328.55078125</v>
      </c>
      <c r="K215">
        <f t="shared" si="10"/>
        <v>-0.17437158657226459</v>
      </c>
    </row>
    <row r="216" spans="1:11" x14ac:dyDescent="0.3">
      <c r="A216" s="2">
        <v>45321</v>
      </c>
      <c r="B216">
        <v>21522.099609375</v>
      </c>
      <c r="C216">
        <f t="shared" si="11"/>
        <v>9.4600254190029057E-3</v>
      </c>
      <c r="J216">
        <f t="shared" si="9"/>
        <v>26328.55078125</v>
      </c>
      <c r="K216">
        <f t="shared" si="10"/>
        <v>-0.18255661740781937</v>
      </c>
    </row>
    <row r="217" spans="1:11" x14ac:dyDescent="0.3">
      <c r="A217" s="2">
        <v>45322</v>
      </c>
      <c r="B217">
        <v>21725.69921875</v>
      </c>
      <c r="C217">
        <f t="shared" si="11"/>
        <v>-1.3003033741542051E-3</v>
      </c>
      <c r="J217">
        <f t="shared" si="9"/>
        <v>26328.55078125</v>
      </c>
      <c r="K217">
        <f t="shared" si="10"/>
        <v>-0.17482358222990158</v>
      </c>
    </row>
    <row r="218" spans="1:11" x14ac:dyDescent="0.3">
      <c r="A218" s="2">
        <v>45323</v>
      </c>
      <c r="B218">
        <v>21697.44921875</v>
      </c>
      <c r="C218">
        <f t="shared" si="11"/>
        <v>7.2059881750933062E-3</v>
      </c>
      <c r="J218">
        <f t="shared" si="9"/>
        <v>26328.55078125</v>
      </c>
      <c r="K218">
        <f t="shared" si="10"/>
        <v>-0.17589656191020053</v>
      </c>
    </row>
    <row r="219" spans="1:11" x14ac:dyDescent="0.3">
      <c r="A219" s="2">
        <v>45324</v>
      </c>
      <c r="B219">
        <v>21853.80078125</v>
      </c>
      <c r="C219">
        <f t="shared" si="11"/>
        <v>-3.7568550808077758E-3</v>
      </c>
      <c r="J219">
        <f t="shared" si="9"/>
        <v>26328.55078125</v>
      </c>
      <c r="K219">
        <f t="shared" si="10"/>
        <v>-0.16995808228027176</v>
      </c>
    </row>
    <row r="220" spans="1:11" x14ac:dyDescent="0.3">
      <c r="A220" s="2">
        <v>45327</v>
      </c>
      <c r="B220">
        <v>21771.69921875</v>
      </c>
      <c r="C220">
        <f t="shared" si="11"/>
        <v>7.243402101531249E-3</v>
      </c>
      <c r="J220">
        <f t="shared" si="9"/>
        <v>26328.55078125</v>
      </c>
      <c r="K220">
        <f t="shared" si="10"/>
        <v>-0.17307642947614055</v>
      </c>
    </row>
    <row r="221" spans="1:11" x14ac:dyDescent="0.3">
      <c r="A221" s="2">
        <v>45328</v>
      </c>
      <c r="B221">
        <v>21929.400390625</v>
      </c>
      <c r="C221">
        <f t="shared" si="11"/>
        <v>5.0143157378351857E-5</v>
      </c>
      <c r="J221">
        <f t="shared" si="9"/>
        <v>26328.55078125</v>
      </c>
      <c r="K221">
        <f t="shared" si="10"/>
        <v>-0.16708668954760231</v>
      </c>
    </row>
    <row r="222" spans="1:11" x14ac:dyDescent="0.3">
      <c r="A222" s="2">
        <v>45329</v>
      </c>
      <c r="B222">
        <v>21930.5</v>
      </c>
      <c r="C222">
        <f t="shared" si="11"/>
        <v>-9.6920171108729851E-3</v>
      </c>
      <c r="J222">
        <f t="shared" si="9"/>
        <v>26328.55078125</v>
      </c>
      <c r="K222">
        <f t="shared" si="10"/>
        <v>-0.16704492464439369</v>
      </c>
    </row>
    <row r="223" spans="1:11" x14ac:dyDescent="0.3">
      <c r="A223" s="2">
        <v>45330</v>
      </c>
      <c r="B223">
        <v>21717.94921875</v>
      </c>
      <c r="C223">
        <f t="shared" si="11"/>
        <v>2.9722318898448593E-3</v>
      </c>
      <c r="J223">
        <f t="shared" si="9"/>
        <v>26328.55078125</v>
      </c>
      <c r="K223">
        <f t="shared" si="10"/>
        <v>-0.17511793948732879</v>
      </c>
    </row>
    <row r="224" spans="1:11" x14ac:dyDescent="0.3">
      <c r="A224" s="2">
        <v>45331</v>
      </c>
      <c r="B224">
        <v>21782.5</v>
      </c>
      <c r="C224">
        <f t="shared" si="11"/>
        <v>-7.6414194307356824E-3</v>
      </c>
      <c r="J224">
        <f t="shared" si="9"/>
        <v>26328.55078125</v>
      </c>
      <c r="K224">
        <f t="shared" si="10"/>
        <v>-0.17266619872171207</v>
      </c>
    </row>
    <row r="225" spans="1:11" x14ac:dyDescent="0.3">
      <c r="A225" s="2">
        <v>45334</v>
      </c>
      <c r="B225">
        <v>21616.05078125</v>
      </c>
      <c r="C225">
        <f t="shared" si="11"/>
        <v>5.8844800115076526E-3</v>
      </c>
      <c r="J225">
        <f t="shared" si="9"/>
        <v>26328.55078125</v>
      </c>
      <c r="K225">
        <f t="shared" si="10"/>
        <v>-0.17898820330650445</v>
      </c>
    </row>
    <row r="226" spans="1:11" x14ac:dyDescent="0.3">
      <c r="A226" s="2">
        <v>45335</v>
      </c>
      <c r="B226">
        <v>21743.25</v>
      </c>
      <c r="C226">
        <f t="shared" si="11"/>
        <v>4.4519922849619994E-3</v>
      </c>
      <c r="J226">
        <f t="shared" si="9"/>
        <v>26328.55078125</v>
      </c>
      <c r="K226">
        <f t="shared" si="10"/>
        <v>-0.1741569757996495</v>
      </c>
    </row>
    <row r="227" spans="1:11" x14ac:dyDescent="0.3">
      <c r="A227" s="2">
        <v>45336</v>
      </c>
      <c r="B227">
        <v>21840.05078125</v>
      </c>
      <c r="C227">
        <f t="shared" si="11"/>
        <v>3.2371361888359849E-3</v>
      </c>
      <c r="J227">
        <f t="shared" si="9"/>
        <v>26328.55078125</v>
      </c>
      <c r="K227">
        <f t="shared" si="10"/>
        <v>-0.17048032902731991</v>
      </c>
    </row>
    <row r="228" spans="1:11" x14ac:dyDescent="0.3">
      <c r="A228" s="2">
        <v>45337</v>
      </c>
      <c r="B228">
        <v>21910.75</v>
      </c>
      <c r="C228">
        <f t="shared" si="11"/>
        <v>5.9308430222607626E-3</v>
      </c>
      <c r="J228">
        <f t="shared" si="9"/>
        <v>26328.55078125</v>
      </c>
      <c r="K228">
        <f t="shared" si="10"/>
        <v>-0.16779506088106289</v>
      </c>
    </row>
    <row r="229" spans="1:11" x14ac:dyDescent="0.3">
      <c r="A229" s="2">
        <v>45338</v>
      </c>
      <c r="B229">
        <v>22040.69921875</v>
      </c>
      <c r="C229">
        <f t="shared" si="11"/>
        <v>3.7000088082788604E-3</v>
      </c>
      <c r="J229">
        <f t="shared" si="9"/>
        <v>26328.55078125</v>
      </c>
      <c r="K229">
        <f t="shared" si="10"/>
        <v>-0.16285938402479838</v>
      </c>
    </row>
    <row r="230" spans="1:11" x14ac:dyDescent="0.3">
      <c r="A230" s="2">
        <v>45341</v>
      </c>
      <c r="B230">
        <v>22122.25</v>
      </c>
      <c r="C230">
        <f t="shared" si="11"/>
        <v>3.3766555730090748E-3</v>
      </c>
      <c r="J230">
        <f t="shared" si="9"/>
        <v>26328.55078125</v>
      </c>
      <c r="K230">
        <f t="shared" si="10"/>
        <v>-0.15976195637192214</v>
      </c>
    </row>
    <row r="231" spans="1:11" x14ac:dyDescent="0.3">
      <c r="A231" s="2">
        <v>45342</v>
      </c>
      <c r="B231">
        <v>22196.94921875</v>
      </c>
      <c r="C231">
        <f t="shared" si="11"/>
        <v>-6.3927000103301077E-3</v>
      </c>
      <c r="J231">
        <f t="shared" si="9"/>
        <v>26328.55078125</v>
      </c>
      <c r="K231">
        <f t="shared" si="10"/>
        <v>-0.1569247618992512</v>
      </c>
    </row>
    <row r="232" spans="1:11" x14ac:dyDescent="0.3">
      <c r="A232" s="2">
        <v>45343</v>
      </c>
      <c r="B232">
        <v>22055.05078125</v>
      </c>
      <c r="C232">
        <f t="shared" si="11"/>
        <v>7.3633218581415499E-3</v>
      </c>
      <c r="J232">
        <f t="shared" si="9"/>
        <v>26328.55078125</v>
      </c>
      <c r="K232">
        <f t="shared" si="10"/>
        <v>-0.16231428898256695</v>
      </c>
    </row>
    <row r="233" spans="1:11" x14ac:dyDescent="0.3">
      <c r="A233" s="2">
        <v>45344</v>
      </c>
      <c r="B233">
        <v>22217.44921875</v>
      </c>
      <c r="C233">
        <f t="shared" si="11"/>
        <v>-2.1379592019012364E-4</v>
      </c>
      <c r="J233">
        <f t="shared" si="9"/>
        <v>26328.55078125</v>
      </c>
      <c r="K233">
        <f t="shared" si="10"/>
        <v>-0.15614613947637934</v>
      </c>
    </row>
    <row r="234" spans="1:11" x14ac:dyDescent="0.3">
      <c r="A234" s="2">
        <v>45345</v>
      </c>
      <c r="B234">
        <v>22212.69921875</v>
      </c>
      <c r="C234">
        <f t="shared" si="11"/>
        <v>-4.0809285088361791E-3</v>
      </c>
      <c r="J234">
        <f t="shared" si="9"/>
        <v>26328.55078125</v>
      </c>
      <c r="K234">
        <f t="shared" si="10"/>
        <v>-0.15632655198899603</v>
      </c>
    </row>
    <row r="235" spans="1:11" x14ac:dyDescent="0.3">
      <c r="A235" s="2">
        <v>45348</v>
      </c>
      <c r="B235">
        <v>22122.05078125</v>
      </c>
      <c r="C235">
        <f t="shared" si="11"/>
        <v>3.4489943486464033E-3</v>
      </c>
      <c r="J235">
        <f t="shared" si="9"/>
        <v>26328.55078125</v>
      </c>
      <c r="K235">
        <f t="shared" si="10"/>
        <v>-0.15976952301513225</v>
      </c>
    </row>
    <row r="236" spans="1:11" x14ac:dyDescent="0.3">
      <c r="A236" s="2">
        <v>45349</v>
      </c>
      <c r="B236">
        <v>22198.349609375</v>
      </c>
      <c r="C236">
        <f t="shared" si="11"/>
        <v>-1.1135927809948569E-2</v>
      </c>
      <c r="J236">
        <f t="shared" si="9"/>
        <v>26328.55078125</v>
      </c>
      <c r="K236">
        <f t="shared" si="10"/>
        <v>-0.15687157284845099</v>
      </c>
    </row>
    <row r="237" spans="1:11" x14ac:dyDescent="0.3">
      <c r="A237" s="2">
        <v>45350</v>
      </c>
      <c r="B237">
        <v>21951.150390625</v>
      </c>
      <c r="C237">
        <f t="shared" si="11"/>
        <v>1.4418556686904846E-3</v>
      </c>
      <c r="J237">
        <f t="shared" si="9"/>
        <v>26328.55078125</v>
      </c>
      <c r="K237">
        <f t="shared" si="10"/>
        <v>-0.1662605901477261</v>
      </c>
    </row>
    <row r="238" spans="1:11" x14ac:dyDescent="0.3">
      <c r="A238" s="2">
        <v>45351</v>
      </c>
      <c r="B238">
        <v>21982.80078125</v>
      </c>
      <c r="C238">
        <f t="shared" si="11"/>
        <v>1.6192168700068607E-2</v>
      </c>
      <c r="J238">
        <f t="shared" si="9"/>
        <v>26328.55078125</v>
      </c>
      <c r="K238">
        <f t="shared" si="10"/>
        <v>-0.16505845825341992</v>
      </c>
    </row>
    <row r="239" spans="1:11" x14ac:dyDescent="0.3">
      <c r="A239" s="2">
        <v>45352</v>
      </c>
      <c r="B239">
        <v>22338.75</v>
      </c>
      <c r="C239">
        <f t="shared" si="11"/>
        <v>2.9925402887359411E-3</v>
      </c>
      <c r="J239">
        <f t="shared" si="9"/>
        <v>26328.55078125</v>
      </c>
      <c r="K239">
        <f t="shared" si="10"/>
        <v>-0.15153894395476397</v>
      </c>
    </row>
    <row r="240" spans="1:11" x14ac:dyDescent="0.3">
      <c r="A240" s="2">
        <v>45355</v>
      </c>
      <c r="B240">
        <v>22405.599609375</v>
      </c>
      <c r="C240">
        <f t="shared" si="11"/>
        <v>-2.2002905070379049E-3</v>
      </c>
      <c r="J240">
        <f t="shared" si="9"/>
        <v>26328.55078125</v>
      </c>
      <c r="K240">
        <f t="shared" si="10"/>
        <v>-0.14899989006112513</v>
      </c>
    </row>
    <row r="241" spans="1:11" x14ac:dyDescent="0.3">
      <c r="A241" s="2">
        <v>45356</v>
      </c>
      <c r="B241">
        <v>22356.30078125</v>
      </c>
      <c r="C241">
        <f t="shared" si="11"/>
        <v>5.2669715420341689E-3</v>
      </c>
      <c r="J241">
        <f t="shared" si="9"/>
        <v>26328.55078125</v>
      </c>
      <c r="K241">
        <f t="shared" si="10"/>
        <v>-0.15087233752451179</v>
      </c>
    </row>
    <row r="242" spans="1:11" x14ac:dyDescent="0.3">
      <c r="A242" s="2">
        <v>45357</v>
      </c>
      <c r="B242">
        <v>22474.05078125</v>
      </c>
      <c r="C242">
        <f t="shared" si="11"/>
        <v>8.6766734621195941E-4</v>
      </c>
      <c r="J242">
        <f t="shared" si="9"/>
        <v>26328.55078125</v>
      </c>
      <c r="K242">
        <f t="shared" si="10"/>
        <v>-0.14640000629069949</v>
      </c>
    </row>
    <row r="243" spans="1:11" x14ac:dyDescent="0.3">
      <c r="A243" s="2">
        <v>45358</v>
      </c>
      <c r="B243">
        <v>22493.55078125</v>
      </c>
      <c r="C243">
        <f t="shared" si="11"/>
        <v>-7.1531788017711326E-3</v>
      </c>
      <c r="J243">
        <f t="shared" si="9"/>
        <v>26328.55078125</v>
      </c>
      <c r="K243">
        <f t="shared" si="10"/>
        <v>-0.14565936544943114</v>
      </c>
    </row>
    <row r="244" spans="1:11" x14ac:dyDescent="0.3">
      <c r="A244" s="2">
        <v>45362</v>
      </c>
      <c r="B244">
        <v>22332.650390625</v>
      </c>
      <c r="C244">
        <f t="shared" si="11"/>
        <v>1.3651886684617893E-4</v>
      </c>
      <c r="J244">
        <f t="shared" si="9"/>
        <v>26328.55078125</v>
      </c>
      <c r="K244">
        <f t="shared" si="10"/>
        <v>-0.15177061676599002</v>
      </c>
    </row>
    <row r="245" spans="1:11" x14ac:dyDescent="0.3">
      <c r="A245" s="2">
        <v>45363</v>
      </c>
      <c r="B245">
        <v>22335.69921875</v>
      </c>
      <c r="C245">
        <f t="shared" si="11"/>
        <v>-1.5132725270416491E-2</v>
      </c>
      <c r="J245">
        <f t="shared" si="9"/>
        <v>26328.55078125</v>
      </c>
      <c r="K245">
        <f t="shared" si="10"/>
        <v>-0.15165481745176523</v>
      </c>
    </row>
    <row r="246" spans="1:11" x14ac:dyDescent="0.3">
      <c r="A246" s="2">
        <v>45364</v>
      </c>
      <c r="B246">
        <v>21997.69921875</v>
      </c>
      <c r="C246">
        <f t="shared" si="11"/>
        <v>6.7712159528047237E-3</v>
      </c>
      <c r="J246">
        <f t="shared" si="9"/>
        <v>26328.55078125</v>
      </c>
      <c r="K246">
        <f t="shared" si="10"/>
        <v>-0.164492592033749</v>
      </c>
    </row>
    <row r="247" spans="1:11" x14ac:dyDescent="0.3">
      <c r="A247" s="2">
        <v>45365</v>
      </c>
      <c r="B247">
        <v>22146.650390625</v>
      </c>
      <c r="C247">
        <f t="shared" si="11"/>
        <v>-5.5674686273186943E-3</v>
      </c>
      <c r="J247">
        <f t="shared" si="9"/>
        <v>26328.55078125</v>
      </c>
      <c r="K247">
        <f t="shared" si="10"/>
        <v>-0.15883519094424137</v>
      </c>
    </row>
    <row r="248" spans="1:11" x14ac:dyDescent="0.3">
      <c r="A248" s="2">
        <v>45366</v>
      </c>
      <c r="B248">
        <v>22023.349609375</v>
      </c>
      <c r="C248">
        <f t="shared" si="11"/>
        <v>1.4688778023679591E-3</v>
      </c>
      <c r="J248">
        <f t="shared" si="9"/>
        <v>26328.55078125</v>
      </c>
      <c r="K248">
        <f t="shared" si="10"/>
        <v>-0.16351834962906386</v>
      </c>
    </row>
    <row r="249" spans="1:11" x14ac:dyDescent="0.3">
      <c r="A249" s="2">
        <v>45369</v>
      </c>
      <c r="B249">
        <v>22055.69921875</v>
      </c>
      <c r="C249">
        <f t="shared" si="11"/>
        <v>-1.080219664028873E-2</v>
      </c>
      <c r="J249">
        <f t="shared" si="9"/>
        <v>26328.55078125</v>
      </c>
      <c r="K249">
        <f t="shared" si="10"/>
        <v>-0.16228966030074587</v>
      </c>
    </row>
    <row r="250" spans="1:11" x14ac:dyDescent="0.3">
      <c r="A250" s="2">
        <v>45370</v>
      </c>
      <c r="B250">
        <v>21817.44921875</v>
      </c>
      <c r="C250">
        <f t="shared" si="11"/>
        <v>9.9234289068006964E-4</v>
      </c>
      <c r="J250">
        <f t="shared" si="9"/>
        <v>26328.55078125</v>
      </c>
      <c r="K250">
        <f t="shared" si="10"/>
        <v>-0.17133877211778026</v>
      </c>
    </row>
    <row r="251" spans="1:11" x14ac:dyDescent="0.3">
      <c r="A251" s="2">
        <v>45371</v>
      </c>
      <c r="B251">
        <v>21839.099609375</v>
      </c>
      <c r="C251">
        <f t="shared" si="11"/>
        <v>7.9146856998078725E-3</v>
      </c>
      <c r="J251">
        <f t="shared" si="9"/>
        <v>26328.55078125</v>
      </c>
      <c r="K251">
        <f t="shared" si="10"/>
        <v>-0.17051645603950916</v>
      </c>
    </row>
    <row r="252" spans="1:11" x14ac:dyDescent="0.3">
      <c r="A252" s="2">
        <v>45372</v>
      </c>
      <c r="B252">
        <v>22011.94921875</v>
      </c>
      <c r="C252">
        <f t="shared" si="11"/>
        <v>3.8524885010077091E-3</v>
      </c>
      <c r="J252">
        <f t="shared" si="9"/>
        <v>26328.55078125</v>
      </c>
      <c r="K252">
        <f t="shared" si="10"/>
        <v>-0.16395135449589915</v>
      </c>
    </row>
    <row r="253" spans="1:11" x14ac:dyDescent="0.3">
      <c r="A253" s="2">
        <v>45373</v>
      </c>
      <c r="B253">
        <v>22096.75</v>
      </c>
      <c r="C253">
        <f t="shared" si="11"/>
        <v>-4.1658063402989125E-3</v>
      </c>
      <c r="J253">
        <f t="shared" si="9"/>
        <v>26328.55078125</v>
      </c>
      <c r="K253">
        <f t="shared" si="10"/>
        <v>-0.16073048670281154</v>
      </c>
    </row>
    <row r="254" spans="1:11" x14ac:dyDescent="0.3">
      <c r="A254" s="2">
        <v>45377</v>
      </c>
      <c r="B254">
        <v>22004.69921875</v>
      </c>
      <c r="C254">
        <f t="shared" si="11"/>
        <v>5.40571678315161E-3</v>
      </c>
      <c r="J254">
        <f t="shared" si="9"/>
        <v>26328.55078125</v>
      </c>
      <c r="K254">
        <f t="shared" si="10"/>
        <v>-0.16422672096252444</v>
      </c>
    </row>
    <row r="255" spans="1:11" x14ac:dyDescent="0.3">
      <c r="A255" s="2">
        <v>45378</v>
      </c>
      <c r="B255">
        <v>22123.650390625</v>
      </c>
      <c r="C255">
        <f t="shared" si="11"/>
        <v>9.1870010785438973E-3</v>
      </c>
      <c r="J255">
        <f t="shared" si="9"/>
        <v>26328.55078125</v>
      </c>
      <c r="K255">
        <f t="shared" si="10"/>
        <v>-0.15970876732112194</v>
      </c>
    </row>
    <row r="256" spans="1:11" x14ac:dyDescent="0.3">
      <c r="A256" s="2">
        <v>45379</v>
      </c>
      <c r="B256">
        <v>22326.900390625</v>
      </c>
      <c r="C256">
        <f t="shared" si="11"/>
        <v>6.0509791780917303E-3</v>
      </c>
      <c r="J256">
        <f t="shared" si="9"/>
        <v>26328.55078125</v>
      </c>
      <c r="K256">
        <f t="shared" si="10"/>
        <v>-0.15198901086021011</v>
      </c>
    </row>
    <row r="257" spans="1:11" x14ac:dyDescent="0.3">
      <c r="A257" s="2">
        <v>45383</v>
      </c>
      <c r="B257">
        <v>22462</v>
      </c>
      <c r="C257">
        <f t="shared" si="11"/>
        <v>-3.872860275131333E-4</v>
      </c>
      <c r="J257">
        <f t="shared" si="9"/>
        <v>26328.55078125</v>
      </c>
      <c r="K257">
        <f t="shared" si="10"/>
        <v>-0.14685771402213232</v>
      </c>
    </row>
    <row r="258" spans="1:11" x14ac:dyDescent="0.3">
      <c r="A258" s="2">
        <v>45384</v>
      </c>
      <c r="B258">
        <v>22453.30078125</v>
      </c>
      <c r="C258">
        <f t="shared" si="11"/>
        <v>-8.3063024036868183E-4</v>
      </c>
      <c r="J258">
        <f t="shared" ref="J258:J321" si="12">MAX(B258:B996)</f>
        <v>26328.55078125</v>
      </c>
      <c r="K258">
        <f t="shared" ref="K258:K321" si="13">B258/J258-1</f>
        <v>-0.14718812410897208</v>
      </c>
    </row>
    <row r="259" spans="1:11" x14ac:dyDescent="0.3">
      <c r="A259" s="2">
        <v>45385</v>
      </c>
      <c r="B259">
        <v>22434.650390625</v>
      </c>
      <c r="C259">
        <f t="shared" ref="C259:C322" si="14">(B260-B259)/B259</f>
        <v>3.5659124883635554E-3</v>
      </c>
      <c r="J259">
        <f t="shared" si="12"/>
        <v>26328.55078125</v>
      </c>
      <c r="K259">
        <f t="shared" si="13"/>
        <v>-0.14789649544243277</v>
      </c>
    </row>
    <row r="260" spans="1:11" x14ac:dyDescent="0.3">
      <c r="A260" s="2">
        <v>45386</v>
      </c>
      <c r="B260">
        <v>22514.650390625</v>
      </c>
      <c r="C260">
        <f t="shared" si="14"/>
        <v>-4.2246797462867275E-5</v>
      </c>
      <c r="J260">
        <f t="shared" si="12"/>
        <v>26328.55078125</v>
      </c>
      <c r="K260">
        <f t="shared" si="13"/>
        <v>-0.14485796891415259</v>
      </c>
    </row>
    <row r="261" spans="1:11" x14ac:dyDescent="0.3">
      <c r="A261" s="2">
        <v>45387</v>
      </c>
      <c r="B261">
        <v>22513.69921875</v>
      </c>
      <c r="C261">
        <f t="shared" si="14"/>
        <v>6.7781647528145621E-3</v>
      </c>
      <c r="J261">
        <f t="shared" si="12"/>
        <v>26328.55078125</v>
      </c>
      <c r="K261">
        <f t="shared" si="13"/>
        <v>-0.14489409592634184</v>
      </c>
    </row>
    <row r="262" spans="1:11" x14ac:dyDescent="0.3">
      <c r="A262" s="2">
        <v>45390</v>
      </c>
      <c r="B262">
        <v>22666.30078125</v>
      </c>
      <c r="C262">
        <f t="shared" si="14"/>
        <v>-1.0390218270412109E-3</v>
      </c>
      <c r="J262">
        <f t="shared" si="12"/>
        <v>26328.55078125</v>
      </c>
      <c r="K262">
        <f t="shared" si="13"/>
        <v>-0.13909804722742614</v>
      </c>
    </row>
    <row r="263" spans="1:11" x14ac:dyDescent="0.3">
      <c r="A263" s="2">
        <v>45391</v>
      </c>
      <c r="B263">
        <v>22642.75</v>
      </c>
      <c r="C263">
        <f t="shared" si="14"/>
        <v>4.9044741142308243E-3</v>
      </c>
      <c r="J263">
        <f t="shared" si="12"/>
        <v>26328.55078125</v>
      </c>
      <c r="K263">
        <f t="shared" si="13"/>
        <v>-0.13999254314729925</v>
      </c>
    </row>
    <row r="264" spans="1:11" x14ac:dyDescent="0.3">
      <c r="A264" s="2">
        <v>45392</v>
      </c>
      <c r="B264">
        <v>22753.80078125</v>
      </c>
      <c r="C264">
        <f t="shared" si="14"/>
        <v>-1.0301592814249954E-2</v>
      </c>
      <c r="J264">
        <f t="shared" si="12"/>
        <v>26328.55078125</v>
      </c>
      <c r="K264">
        <f t="shared" si="13"/>
        <v>-0.1357746588371197</v>
      </c>
    </row>
    <row r="265" spans="1:11" x14ac:dyDescent="0.3">
      <c r="A265" s="2">
        <v>45394</v>
      </c>
      <c r="B265">
        <v>22519.400390625</v>
      </c>
      <c r="C265">
        <f t="shared" si="14"/>
        <v>-1.0963897188301094E-2</v>
      </c>
      <c r="J265">
        <f t="shared" si="12"/>
        <v>26328.55078125</v>
      </c>
      <c r="K265">
        <f t="shared" si="13"/>
        <v>-0.1446775564015359</v>
      </c>
    </row>
    <row r="266" spans="1:11" x14ac:dyDescent="0.3">
      <c r="A266" s="2">
        <v>45397</v>
      </c>
      <c r="B266">
        <v>22272.5</v>
      </c>
      <c r="C266">
        <f t="shared" si="14"/>
        <v>-5.5943252609720511E-3</v>
      </c>
      <c r="J266">
        <f t="shared" si="12"/>
        <v>26328.55078125</v>
      </c>
      <c r="K266">
        <f t="shared" si="13"/>
        <v>-0.15405522373599601</v>
      </c>
    </row>
    <row r="267" spans="1:11" x14ac:dyDescent="0.3">
      <c r="A267" s="2">
        <v>45398</v>
      </c>
      <c r="B267">
        <v>22147.900390625</v>
      </c>
      <c r="C267">
        <f t="shared" si="14"/>
        <v>-6.8652458503182393E-3</v>
      </c>
      <c r="J267">
        <f t="shared" si="12"/>
        <v>26328.55078125</v>
      </c>
      <c r="K267">
        <f t="shared" si="13"/>
        <v>-0.15878771396723701</v>
      </c>
    </row>
    <row r="268" spans="1:11" x14ac:dyDescent="0.3">
      <c r="A268" s="2">
        <v>45400</v>
      </c>
      <c r="B268">
        <v>21995.849609375</v>
      </c>
      <c r="C268">
        <f t="shared" si="14"/>
        <v>6.8717686886064708E-3</v>
      </c>
      <c r="J268">
        <f t="shared" si="12"/>
        <v>26328.55078125</v>
      </c>
      <c r="K268">
        <f t="shared" si="13"/>
        <v>-0.16456284312316016</v>
      </c>
    </row>
    <row r="269" spans="1:11" x14ac:dyDescent="0.3">
      <c r="A269" s="2">
        <v>45401</v>
      </c>
      <c r="B269">
        <v>22147</v>
      </c>
      <c r="C269">
        <f t="shared" si="14"/>
        <v>8.5519659829773782E-3</v>
      </c>
      <c r="J269">
        <f t="shared" si="12"/>
        <v>26328.55078125</v>
      </c>
      <c r="K269">
        <f t="shared" si="13"/>
        <v>-0.15882191222723552</v>
      </c>
    </row>
    <row r="270" spans="1:11" x14ac:dyDescent="0.3">
      <c r="A270" s="2">
        <v>45404</v>
      </c>
      <c r="B270">
        <v>22336.400390625</v>
      </c>
      <c r="C270">
        <f t="shared" si="14"/>
        <v>1.4147135985377009E-3</v>
      </c>
      <c r="J270">
        <f t="shared" si="12"/>
        <v>26328.55078125</v>
      </c>
      <c r="K270">
        <f t="shared" si="13"/>
        <v>-0.15162818583497684</v>
      </c>
    </row>
    <row r="271" spans="1:11" x14ac:dyDescent="0.3">
      <c r="A271" s="2">
        <v>45405</v>
      </c>
      <c r="B271">
        <v>22368</v>
      </c>
      <c r="C271">
        <f t="shared" si="14"/>
        <v>1.5379287654238199E-3</v>
      </c>
      <c r="J271">
        <f t="shared" si="12"/>
        <v>26328.55078125</v>
      </c>
      <c r="K271">
        <f t="shared" si="13"/>
        <v>-0.15042798269286151</v>
      </c>
    </row>
    <row r="272" spans="1:11" x14ac:dyDescent="0.3">
      <c r="A272" s="2">
        <v>45406</v>
      </c>
      <c r="B272">
        <v>22402.400390625</v>
      </c>
      <c r="C272">
        <f t="shared" si="14"/>
        <v>7.4969296067167743E-3</v>
      </c>
      <c r="J272">
        <f t="shared" si="12"/>
        <v>26328.55078125</v>
      </c>
      <c r="K272">
        <f t="shared" si="13"/>
        <v>-0.14912140144914565</v>
      </c>
    </row>
    <row r="273" spans="1:11" x14ac:dyDescent="0.3">
      <c r="A273" s="2">
        <v>45407</v>
      </c>
      <c r="B273">
        <v>22570.349609375</v>
      </c>
      <c r="C273">
        <f t="shared" si="14"/>
        <v>-6.6636269808832953E-3</v>
      </c>
      <c r="J273">
        <f t="shared" si="12"/>
        <v>26328.55078125</v>
      </c>
      <c r="K273">
        <f t="shared" si="13"/>
        <v>-0.14274242449194807</v>
      </c>
    </row>
    <row r="274" spans="1:11" x14ac:dyDescent="0.3">
      <c r="A274" s="2">
        <v>45408</v>
      </c>
      <c r="B274">
        <v>22419.94921875</v>
      </c>
      <c r="C274">
        <f t="shared" si="14"/>
        <v>9.9666225688025117E-3</v>
      </c>
      <c r="J274">
        <f t="shared" si="12"/>
        <v>26328.55078125</v>
      </c>
      <c r="K274">
        <f t="shared" si="13"/>
        <v>-0.14845486920167017</v>
      </c>
    </row>
    <row r="275" spans="1:11" x14ac:dyDescent="0.3">
      <c r="A275" s="2">
        <v>45411</v>
      </c>
      <c r="B275">
        <v>22643.400390625</v>
      </c>
      <c r="C275">
        <f t="shared" si="14"/>
        <v>-1.7025173156396201E-3</v>
      </c>
      <c r="J275">
        <f t="shared" si="12"/>
        <v>26328.55078125</v>
      </c>
      <c r="K275">
        <f t="shared" si="13"/>
        <v>-0.13996784028270171</v>
      </c>
    </row>
    <row r="276" spans="1:11" x14ac:dyDescent="0.3">
      <c r="A276" s="2">
        <v>45412</v>
      </c>
      <c r="B276">
        <v>22604.849609375</v>
      </c>
      <c r="C276">
        <f t="shared" si="14"/>
        <v>1.9177127972141625E-3</v>
      </c>
      <c r="J276">
        <f t="shared" si="12"/>
        <v>26328.55078125</v>
      </c>
      <c r="K276">
        <f t="shared" si="13"/>
        <v>-0.14143205992662733</v>
      </c>
    </row>
    <row r="277" spans="1:11" x14ac:dyDescent="0.3">
      <c r="A277" s="2">
        <v>45414</v>
      </c>
      <c r="B277">
        <v>22648.19921875</v>
      </c>
      <c r="C277">
        <f t="shared" si="14"/>
        <v>-7.6098592965534824E-3</v>
      </c>
      <c r="J277">
        <f t="shared" si="12"/>
        <v>26328.55078125</v>
      </c>
      <c r="K277">
        <f t="shared" si="13"/>
        <v>-0.13978557320067075</v>
      </c>
    </row>
    <row r="278" spans="1:11" x14ac:dyDescent="0.3">
      <c r="A278" s="2">
        <v>45415</v>
      </c>
      <c r="B278">
        <v>22475.849609375</v>
      </c>
      <c r="C278">
        <f t="shared" si="14"/>
        <v>-1.4749338156797639E-3</v>
      </c>
      <c r="J278">
        <f t="shared" si="12"/>
        <v>26328.55078125</v>
      </c>
      <c r="K278">
        <f t="shared" si="13"/>
        <v>-0.14633168395347906</v>
      </c>
    </row>
    <row r="279" spans="1:11" x14ac:dyDescent="0.3">
      <c r="A279" s="2">
        <v>45418</v>
      </c>
      <c r="B279">
        <v>22442.69921875</v>
      </c>
      <c r="C279">
        <f t="shared" si="14"/>
        <v>-6.2469855957820357E-3</v>
      </c>
      <c r="J279">
        <f t="shared" si="12"/>
        <v>26328.55078125</v>
      </c>
      <c r="K279">
        <f t="shared" si="13"/>
        <v>-0.14759078822019045</v>
      </c>
    </row>
    <row r="280" spans="1:11" x14ac:dyDescent="0.3">
      <c r="A280" s="2">
        <v>45419</v>
      </c>
      <c r="B280">
        <v>22302.5</v>
      </c>
      <c r="C280">
        <f t="shared" si="14"/>
        <v>0</v>
      </c>
      <c r="J280">
        <f t="shared" si="12"/>
        <v>26328.55078125</v>
      </c>
      <c r="K280">
        <f t="shared" si="13"/>
        <v>-0.15291577628789088</v>
      </c>
    </row>
    <row r="281" spans="1:11" x14ac:dyDescent="0.3">
      <c r="A281" s="2">
        <v>45420</v>
      </c>
      <c r="B281">
        <v>22302.5</v>
      </c>
      <c r="C281">
        <f t="shared" si="14"/>
        <v>-1.5469117811904494E-2</v>
      </c>
      <c r="J281">
        <f t="shared" si="12"/>
        <v>26328.55078125</v>
      </c>
      <c r="K281">
        <f t="shared" si="13"/>
        <v>-0.15291577628789088</v>
      </c>
    </row>
    <row r="282" spans="1:11" x14ac:dyDescent="0.3">
      <c r="A282" s="2">
        <v>45421</v>
      </c>
      <c r="B282">
        <v>21957.5</v>
      </c>
      <c r="C282">
        <f t="shared" si="14"/>
        <v>4.4494691449390869E-3</v>
      </c>
      <c r="J282">
        <f t="shared" si="12"/>
        <v>26328.55078125</v>
      </c>
      <c r="K282">
        <f t="shared" si="13"/>
        <v>-0.1660194219410992</v>
      </c>
    </row>
    <row r="283" spans="1:11" x14ac:dyDescent="0.3">
      <c r="A283" s="2">
        <v>45422</v>
      </c>
      <c r="B283">
        <v>22055.19921875</v>
      </c>
      <c r="C283">
        <f t="shared" si="14"/>
        <v>2.214968090538459E-3</v>
      </c>
      <c r="J283">
        <f t="shared" si="12"/>
        <v>26328.55078125</v>
      </c>
      <c r="K283">
        <f t="shared" si="13"/>
        <v>-0.16230865109154768</v>
      </c>
    </row>
    <row r="284" spans="1:11" x14ac:dyDescent="0.3">
      <c r="A284" s="2">
        <v>45425</v>
      </c>
      <c r="B284">
        <v>22104.05078125</v>
      </c>
      <c r="C284">
        <f t="shared" si="14"/>
        <v>5.1483245877054842E-3</v>
      </c>
      <c r="J284">
        <f t="shared" si="12"/>
        <v>26328.55078125</v>
      </c>
      <c r="K284">
        <f t="shared" si="13"/>
        <v>-0.16045319148399528</v>
      </c>
    </row>
    <row r="285" spans="1:11" x14ac:dyDescent="0.3">
      <c r="A285" s="2">
        <v>45426</v>
      </c>
      <c r="B285">
        <v>22217.849609375</v>
      </c>
      <c r="C285">
        <f t="shared" si="14"/>
        <v>-7.7860046895360301E-4</v>
      </c>
      <c r="J285">
        <f t="shared" si="12"/>
        <v>26328.55078125</v>
      </c>
      <c r="K285">
        <f t="shared" si="13"/>
        <v>-0.15613093200718264</v>
      </c>
    </row>
    <row r="286" spans="1:11" x14ac:dyDescent="0.3">
      <c r="A286" s="2">
        <v>45427</v>
      </c>
      <c r="B286">
        <v>22200.55078125</v>
      </c>
      <c r="C286">
        <f t="shared" si="14"/>
        <v>9.1573776762647191E-3</v>
      </c>
      <c r="J286">
        <f t="shared" si="12"/>
        <v>26328.55078125</v>
      </c>
      <c r="K286">
        <f t="shared" si="13"/>
        <v>-0.15678796885925728</v>
      </c>
    </row>
    <row r="287" spans="1:11" x14ac:dyDescent="0.3">
      <c r="A287" s="2">
        <v>45428</v>
      </c>
      <c r="B287">
        <v>22403.849609375</v>
      </c>
      <c r="C287">
        <f t="shared" si="14"/>
        <v>2.7785403439751347E-3</v>
      </c>
      <c r="J287">
        <f t="shared" si="12"/>
        <v>26328.55078125</v>
      </c>
      <c r="K287">
        <f t="shared" si="13"/>
        <v>-0.1490663578289313</v>
      </c>
    </row>
    <row r="288" spans="1:11" x14ac:dyDescent="0.3">
      <c r="A288" s="2">
        <v>45429</v>
      </c>
      <c r="B288">
        <v>22466.099609375</v>
      </c>
      <c r="C288">
        <f t="shared" si="14"/>
        <v>2.8020516676036979E-3</v>
      </c>
      <c r="J288">
        <f t="shared" si="12"/>
        <v>26328.55078125</v>
      </c>
      <c r="K288">
        <f t="shared" si="13"/>
        <v>-0.14670200437411329</v>
      </c>
    </row>
    <row r="289" spans="1:11" x14ac:dyDescent="0.3">
      <c r="A289" s="2">
        <v>45433</v>
      </c>
      <c r="B289">
        <v>22529.05078125</v>
      </c>
      <c r="C289">
        <f t="shared" si="14"/>
        <v>3.051615474950138E-3</v>
      </c>
      <c r="J289">
        <f t="shared" si="12"/>
        <v>26328.55078125</v>
      </c>
      <c r="K289">
        <f t="shared" si="13"/>
        <v>-0.14431101930250678</v>
      </c>
    </row>
    <row r="290" spans="1:11" x14ac:dyDescent="0.3">
      <c r="A290" s="2">
        <v>45434</v>
      </c>
      <c r="B290">
        <v>22597.80078125</v>
      </c>
      <c r="C290">
        <f t="shared" si="14"/>
        <v>1.6366619608483058E-2</v>
      </c>
      <c r="J290">
        <f t="shared" si="12"/>
        <v>26328.55078125</v>
      </c>
      <c r="K290">
        <f t="shared" si="13"/>
        <v>-0.14169978556726603</v>
      </c>
    </row>
    <row r="291" spans="1:11" x14ac:dyDescent="0.3">
      <c r="A291" s="2">
        <v>45435</v>
      </c>
      <c r="B291">
        <v>22967.650390625</v>
      </c>
      <c r="C291">
        <f t="shared" si="14"/>
        <v>-4.5937573371922485E-4</v>
      </c>
      <c r="J291">
        <f t="shared" si="12"/>
        <v>26328.55078125</v>
      </c>
      <c r="K291">
        <f t="shared" si="13"/>
        <v>-0.12765231244776609</v>
      </c>
    </row>
    <row r="292" spans="1:11" x14ac:dyDescent="0.3">
      <c r="A292" s="2">
        <v>45436</v>
      </c>
      <c r="B292">
        <v>22957.099609375</v>
      </c>
      <c r="C292">
        <f t="shared" si="14"/>
        <v>-1.0737589261900274E-3</v>
      </c>
      <c r="J292">
        <f t="shared" si="12"/>
        <v>26328.55078125</v>
      </c>
      <c r="K292">
        <f t="shared" si="13"/>
        <v>-0.12805304780679361</v>
      </c>
    </row>
    <row r="293" spans="1:11" x14ac:dyDescent="0.3">
      <c r="A293" s="2">
        <v>45439</v>
      </c>
      <c r="B293">
        <v>22932.44921875</v>
      </c>
      <c r="C293">
        <f t="shared" si="14"/>
        <v>-1.9317094176221025E-3</v>
      </c>
      <c r="J293">
        <f t="shared" si="12"/>
        <v>26328.55078125</v>
      </c>
      <c r="K293">
        <f t="shared" si="13"/>
        <v>-0.12898930862987523</v>
      </c>
    </row>
    <row r="294" spans="1:11" x14ac:dyDescent="0.3">
      <c r="A294" s="2">
        <v>45440</v>
      </c>
      <c r="B294">
        <v>22888.150390625</v>
      </c>
      <c r="C294">
        <f t="shared" si="14"/>
        <v>-8.0151156272610692E-3</v>
      </c>
      <c r="J294">
        <f t="shared" si="12"/>
        <v>26328.55078125</v>
      </c>
      <c r="K294">
        <f t="shared" si="13"/>
        <v>-0.13067184818524447</v>
      </c>
    </row>
    <row r="295" spans="1:11" x14ac:dyDescent="0.3">
      <c r="A295" s="2">
        <v>45441</v>
      </c>
      <c r="B295">
        <v>22704.69921875</v>
      </c>
      <c r="C295">
        <f t="shared" si="14"/>
        <v>-9.5155996581792416E-3</v>
      </c>
      <c r="J295">
        <f t="shared" si="12"/>
        <v>26328.55078125</v>
      </c>
      <c r="K295">
        <f t="shared" si="13"/>
        <v>-0.13763961384007295</v>
      </c>
    </row>
    <row r="296" spans="1:11" x14ac:dyDescent="0.3">
      <c r="A296" s="2">
        <v>45442</v>
      </c>
      <c r="B296">
        <v>22488.650390625</v>
      </c>
      <c r="C296">
        <f t="shared" si="14"/>
        <v>1.869779973213919E-3</v>
      </c>
      <c r="J296">
        <f t="shared" si="12"/>
        <v>26328.55078125</v>
      </c>
      <c r="K296">
        <f t="shared" si="13"/>
        <v>-0.14584549003584368</v>
      </c>
    </row>
    <row r="297" spans="1:11" x14ac:dyDescent="0.3">
      <c r="A297" s="2">
        <v>45443</v>
      </c>
      <c r="B297">
        <v>22530.69921875</v>
      </c>
      <c r="C297">
        <f t="shared" si="14"/>
        <v>3.2542317695352818E-2</v>
      </c>
      <c r="J297">
        <f t="shared" si="12"/>
        <v>26328.55078125</v>
      </c>
      <c r="K297">
        <f t="shared" si="13"/>
        <v>-0.14424840903908231</v>
      </c>
    </row>
    <row r="298" spans="1:11" x14ac:dyDescent="0.3">
      <c r="A298" s="2">
        <v>45446</v>
      </c>
      <c r="B298">
        <v>23263.900390625</v>
      </c>
      <c r="C298">
        <f t="shared" si="14"/>
        <v>-5.9293599416410735E-2</v>
      </c>
      <c r="J298">
        <f t="shared" si="12"/>
        <v>26328.55078125</v>
      </c>
      <c r="K298">
        <f t="shared" si="13"/>
        <v>-0.11640026889772848</v>
      </c>
    </row>
    <row r="299" spans="1:11" x14ac:dyDescent="0.3">
      <c r="A299" s="2">
        <v>45447</v>
      </c>
      <c r="B299">
        <v>21884.5</v>
      </c>
      <c r="C299">
        <f t="shared" si="14"/>
        <v>3.362423676003564E-2</v>
      </c>
      <c r="J299">
        <f t="shared" si="12"/>
        <v>26328.55078125</v>
      </c>
      <c r="K299">
        <f t="shared" si="13"/>
        <v>-0.16879207739815483</v>
      </c>
    </row>
    <row r="300" spans="1:11" x14ac:dyDescent="0.3">
      <c r="A300" s="2">
        <v>45448</v>
      </c>
      <c r="B300">
        <v>22620.349609375</v>
      </c>
      <c r="C300">
        <f t="shared" si="14"/>
        <v>8.8880492442377883E-3</v>
      </c>
      <c r="J300">
        <f t="shared" si="12"/>
        <v>26328.55078125</v>
      </c>
      <c r="K300">
        <f t="shared" si="13"/>
        <v>-0.14084334541177301</v>
      </c>
    </row>
    <row r="301" spans="1:11" x14ac:dyDescent="0.3">
      <c r="A301" s="2">
        <v>45449</v>
      </c>
      <c r="B301">
        <v>22821.400390625</v>
      </c>
      <c r="C301">
        <f t="shared" si="14"/>
        <v>2.0539931466807E-2</v>
      </c>
      <c r="J301">
        <f t="shared" si="12"/>
        <v>26328.55078125</v>
      </c>
      <c r="K301">
        <f t="shared" si="13"/>
        <v>-0.13320711875727831</v>
      </c>
    </row>
    <row r="302" spans="1:11" x14ac:dyDescent="0.3">
      <c r="A302" s="2">
        <v>45450</v>
      </c>
      <c r="B302">
        <v>23290.150390625</v>
      </c>
      <c r="C302">
        <f t="shared" si="14"/>
        <v>-1.328938257412833E-3</v>
      </c>
      <c r="J302">
        <f t="shared" si="12"/>
        <v>26328.55078125</v>
      </c>
      <c r="K302">
        <f t="shared" si="13"/>
        <v>-0.11540325238063653</v>
      </c>
    </row>
    <row r="303" spans="1:11" x14ac:dyDescent="0.3">
      <c r="A303" s="2">
        <v>45453</v>
      </c>
      <c r="B303">
        <v>23259.19921875</v>
      </c>
      <c r="C303">
        <f t="shared" si="14"/>
        <v>2.4293143421915555E-4</v>
      </c>
      <c r="J303">
        <f t="shared" si="12"/>
        <v>26328.55078125</v>
      </c>
      <c r="K303">
        <f t="shared" si="13"/>
        <v>-0.1165788268409309</v>
      </c>
    </row>
    <row r="304" spans="1:11" x14ac:dyDescent="0.3">
      <c r="A304" s="2">
        <v>45454</v>
      </c>
      <c r="B304">
        <v>23264.849609375</v>
      </c>
      <c r="C304">
        <f t="shared" si="14"/>
        <v>2.4973129141392641E-3</v>
      </c>
      <c r="J304">
        <f t="shared" si="12"/>
        <v>26328.55078125</v>
      </c>
      <c r="K304">
        <f t="shared" si="13"/>
        <v>-0.11636421606831582</v>
      </c>
    </row>
    <row r="305" spans="1:11" x14ac:dyDescent="0.3">
      <c r="A305" s="2">
        <v>45455</v>
      </c>
      <c r="B305">
        <v>23322.94921875</v>
      </c>
      <c r="C305">
        <f t="shared" si="14"/>
        <v>3.2564994745150257E-3</v>
      </c>
      <c r="J305">
        <f t="shared" si="12"/>
        <v>26328.55078125</v>
      </c>
      <c r="K305">
        <f t="shared" si="13"/>
        <v>-0.1141575010137077</v>
      </c>
    </row>
    <row r="306" spans="1:11" x14ac:dyDescent="0.3">
      <c r="A306" s="2">
        <v>45456</v>
      </c>
      <c r="B306">
        <v>23398.900390625</v>
      </c>
      <c r="C306">
        <f t="shared" si="14"/>
        <v>2.8505279152657831E-3</v>
      </c>
      <c r="J306">
        <f t="shared" si="12"/>
        <v>26328.55078125</v>
      </c>
      <c r="K306">
        <f t="shared" si="13"/>
        <v>-0.11127275538125569</v>
      </c>
    </row>
    <row r="307" spans="1:11" x14ac:dyDescent="0.3">
      <c r="A307" s="2">
        <v>45457</v>
      </c>
      <c r="B307">
        <v>23465.599609375</v>
      </c>
      <c r="C307">
        <f t="shared" si="14"/>
        <v>3.9334507869606666E-3</v>
      </c>
      <c r="J307">
        <f t="shared" si="12"/>
        <v>26328.55078125</v>
      </c>
      <c r="K307">
        <f t="shared" si="13"/>
        <v>-0.1087394135614127</v>
      </c>
    </row>
    <row r="308" spans="1:11" x14ac:dyDescent="0.3">
      <c r="A308" s="2">
        <v>45461</v>
      </c>
      <c r="B308">
        <v>23557.900390625</v>
      </c>
      <c r="C308">
        <f t="shared" si="14"/>
        <v>-1.7786131162042989E-3</v>
      </c>
      <c r="J308">
        <f t="shared" si="12"/>
        <v>26328.55078125</v>
      </c>
      <c r="K308">
        <f t="shared" si="13"/>
        <v>-0.10523368390629884</v>
      </c>
    </row>
    <row r="309" spans="1:11" x14ac:dyDescent="0.3">
      <c r="A309" s="2">
        <v>45462</v>
      </c>
      <c r="B309">
        <v>23516</v>
      </c>
      <c r="C309">
        <f t="shared" si="14"/>
        <v>2.1687361796223848E-3</v>
      </c>
      <c r="J309">
        <f t="shared" si="12"/>
        <v>26328.55078125</v>
      </c>
      <c r="K309">
        <f t="shared" si="13"/>
        <v>-0.10682512701204094</v>
      </c>
    </row>
    <row r="310" spans="1:11" x14ac:dyDescent="0.3">
      <c r="A310" s="2">
        <v>45463</v>
      </c>
      <c r="B310">
        <v>23567</v>
      </c>
      <c r="C310">
        <f t="shared" si="14"/>
        <v>-2.7962995130903384E-3</v>
      </c>
      <c r="J310">
        <f t="shared" si="12"/>
        <v>26328.55078125</v>
      </c>
      <c r="K310">
        <f t="shared" si="13"/>
        <v>-0.10488806635026227</v>
      </c>
    </row>
    <row r="311" spans="1:11" x14ac:dyDescent="0.3">
      <c r="A311" s="2">
        <v>45464</v>
      </c>
      <c r="B311">
        <v>23501.099609375</v>
      </c>
      <c r="C311">
        <f t="shared" si="14"/>
        <v>1.5637566161091365E-3</v>
      </c>
      <c r="J311">
        <f t="shared" si="12"/>
        <v>26328.55078125</v>
      </c>
      <c r="K311">
        <f t="shared" si="13"/>
        <v>-0.10739106741448845</v>
      </c>
    </row>
    <row r="312" spans="1:11" x14ac:dyDescent="0.3">
      <c r="A312" s="2">
        <v>45467</v>
      </c>
      <c r="B312">
        <v>23537.849609375</v>
      </c>
      <c r="C312">
        <f t="shared" si="14"/>
        <v>7.7938798539154731E-3</v>
      </c>
      <c r="J312">
        <f t="shared" si="12"/>
        <v>26328.55078125</v>
      </c>
      <c r="K312">
        <f t="shared" si="13"/>
        <v>-0.10599524429055973</v>
      </c>
    </row>
    <row r="313" spans="1:11" x14ac:dyDescent="0.3">
      <c r="A313" s="2">
        <v>45468</v>
      </c>
      <c r="B313">
        <v>23721.30078125</v>
      </c>
      <c r="C313">
        <f t="shared" si="14"/>
        <v>6.2180401218380173E-3</v>
      </c>
      <c r="J313">
        <f t="shared" si="12"/>
        <v>26328.55078125</v>
      </c>
      <c r="K313">
        <f t="shared" si="13"/>
        <v>-9.9027478635731248E-2</v>
      </c>
    </row>
    <row r="314" spans="1:11" x14ac:dyDescent="0.3">
      <c r="A314" s="2">
        <v>45469</v>
      </c>
      <c r="B314">
        <v>23868.80078125</v>
      </c>
      <c r="C314">
        <f t="shared" si="14"/>
        <v>7.3610408985448281E-3</v>
      </c>
      <c r="J314">
        <f t="shared" si="12"/>
        <v>26328.55078125</v>
      </c>
      <c r="K314">
        <f t="shared" si="13"/>
        <v>-9.3425195349214674E-2</v>
      </c>
    </row>
    <row r="315" spans="1:11" x14ac:dyDescent="0.3">
      <c r="A315" s="2">
        <v>45470</v>
      </c>
      <c r="B315">
        <v>24044.5</v>
      </c>
      <c r="C315">
        <f t="shared" si="14"/>
        <v>-1.4099020825968517E-3</v>
      </c>
      <c r="J315">
        <f t="shared" si="12"/>
        <v>26328.55078125</v>
      </c>
      <c r="K315">
        <f t="shared" si="13"/>
        <v>-8.6751861134589991E-2</v>
      </c>
    </row>
    <row r="316" spans="1:11" x14ac:dyDescent="0.3">
      <c r="A316" s="2">
        <v>45471</v>
      </c>
      <c r="B316">
        <v>24010.599609375</v>
      </c>
      <c r="C316">
        <f t="shared" si="14"/>
        <v>5.4704843490753228E-3</v>
      </c>
      <c r="J316">
        <f t="shared" si="12"/>
        <v>26328.55078125</v>
      </c>
      <c r="K316">
        <f t="shared" si="13"/>
        <v>-8.8039451587504036E-2</v>
      </c>
    </row>
    <row r="317" spans="1:11" x14ac:dyDescent="0.3">
      <c r="A317" s="2">
        <v>45474</v>
      </c>
      <c r="B317">
        <v>24141.94921875</v>
      </c>
      <c r="C317">
        <f t="shared" si="14"/>
        <v>-7.4971615634676354E-4</v>
      </c>
      <c r="J317">
        <f t="shared" si="12"/>
        <v>26328.55078125</v>
      </c>
      <c r="K317">
        <f t="shared" si="13"/>
        <v>-8.3050585680439326E-2</v>
      </c>
    </row>
    <row r="318" spans="1:11" x14ac:dyDescent="0.3">
      <c r="A318" s="2">
        <v>45475</v>
      </c>
      <c r="B318">
        <v>24123.849609375</v>
      </c>
      <c r="C318">
        <f t="shared" si="14"/>
        <v>6.742306607722794E-3</v>
      </c>
      <c r="J318">
        <f t="shared" si="12"/>
        <v>26328.55078125</v>
      </c>
      <c r="K318">
        <f t="shared" si="13"/>
        <v>-8.3738037470907356E-2</v>
      </c>
    </row>
    <row r="319" spans="1:11" x14ac:dyDescent="0.3">
      <c r="A319" s="2">
        <v>45476</v>
      </c>
      <c r="B319">
        <v>24286.5</v>
      </c>
      <c r="C319">
        <f t="shared" si="14"/>
        <v>6.4440700080291519E-4</v>
      </c>
      <c r="J319">
        <f t="shared" si="12"/>
        <v>26328.55078125</v>
      </c>
      <c r="K319">
        <f t="shared" si="13"/>
        <v>-7.7560318386542426E-2</v>
      </c>
    </row>
    <row r="320" spans="1:11" x14ac:dyDescent="0.3">
      <c r="A320" s="2">
        <v>45477</v>
      </c>
      <c r="B320">
        <v>24302.150390625</v>
      </c>
      <c r="C320">
        <f t="shared" si="14"/>
        <v>8.928929498506795E-4</v>
      </c>
      <c r="J320">
        <f t="shared" si="12"/>
        <v>26328.55078125</v>
      </c>
      <c r="K320">
        <f t="shared" si="13"/>
        <v>-7.6965891797892261E-2</v>
      </c>
    </row>
    <row r="321" spans="1:11" x14ac:dyDescent="0.3">
      <c r="A321" s="2">
        <v>45478</v>
      </c>
      <c r="B321">
        <v>24323.849609375</v>
      </c>
      <c r="C321">
        <f t="shared" si="14"/>
        <v>-1.3562113637343622E-4</v>
      </c>
      <c r="J321">
        <f t="shared" si="12"/>
        <v>26328.55078125</v>
      </c>
      <c r="K321">
        <f t="shared" si="13"/>
        <v>-7.6141721150206898E-2</v>
      </c>
    </row>
    <row r="322" spans="1:11" x14ac:dyDescent="0.3">
      <c r="A322" s="2">
        <v>45481</v>
      </c>
      <c r="B322">
        <v>24320.55078125</v>
      </c>
      <c r="C322">
        <f t="shared" si="14"/>
        <v>4.631820986013468E-3</v>
      </c>
      <c r="J322">
        <f t="shared" ref="J322:J385" si="15">MAX(B322:B1060)</f>
        <v>26328.55078125</v>
      </c>
      <c r="K322">
        <f t="shared" ref="K322:K385" si="16">B322/J322-1</f>
        <v>-7.6267015859832532E-2</v>
      </c>
    </row>
    <row r="323" spans="1:11" x14ac:dyDescent="0.3">
      <c r="A323" s="2">
        <v>45482</v>
      </c>
      <c r="B323">
        <v>24433.19921875</v>
      </c>
      <c r="C323">
        <f t="shared" ref="C323:C386" si="17">(B324-B323)/B323</f>
        <v>-4.4509111977667423E-3</v>
      </c>
      <c r="J323">
        <f t="shared" si="15"/>
        <v>26328.55078125</v>
      </c>
      <c r="K323">
        <f t="shared" si="16"/>
        <v>-7.1988450038419249E-2</v>
      </c>
    </row>
    <row r="324" spans="1:11" x14ac:dyDescent="0.3">
      <c r="A324" s="2">
        <v>45483</v>
      </c>
      <c r="B324">
        <v>24324.44921875</v>
      </c>
      <c r="C324">
        <f t="shared" si="17"/>
        <v>-3.4944265021417015E-4</v>
      </c>
      <c r="J324">
        <f t="shared" si="15"/>
        <v>26328.55078125</v>
      </c>
      <c r="K324">
        <f t="shared" si="16"/>
        <v>-7.6118947037800089E-2</v>
      </c>
    </row>
    <row r="325" spans="1:11" x14ac:dyDescent="0.3">
      <c r="A325" s="2">
        <v>45484</v>
      </c>
      <c r="B325">
        <v>24315.94921875</v>
      </c>
      <c r="C325">
        <f t="shared" si="17"/>
        <v>7.6575736443560468E-3</v>
      </c>
      <c r="J325">
        <f t="shared" si="15"/>
        <v>26328.55078125</v>
      </c>
      <c r="K325">
        <f t="shared" si="16"/>
        <v>-7.644179048142985E-2</v>
      </c>
    </row>
    <row r="326" spans="1:11" x14ac:dyDescent="0.3">
      <c r="A326" s="2">
        <v>45485</v>
      </c>
      <c r="B326">
        <v>24502.150390625</v>
      </c>
      <c r="C326">
        <f t="shared" si="17"/>
        <v>3.4506697076412537E-3</v>
      </c>
      <c r="J326">
        <f t="shared" si="15"/>
        <v>26328.55078125</v>
      </c>
      <c r="K326">
        <f t="shared" si="16"/>
        <v>-6.9369575477191803E-2</v>
      </c>
    </row>
    <row r="327" spans="1:11" x14ac:dyDescent="0.3">
      <c r="A327" s="2">
        <v>45488</v>
      </c>
      <c r="B327">
        <v>24586.69921875</v>
      </c>
      <c r="C327">
        <f t="shared" si="17"/>
        <v>1.0697158254550424E-3</v>
      </c>
      <c r="J327">
        <f t="shared" si="15"/>
        <v>26328.55078125</v>
      </c>
      <c r="K327">
        <f t="shared" si="16"/>
        <v>-6.6158277262281628E-2</v>
      </c>
    </row>
    <row r="328" spans="1:11" x14ac:dyDescent="0.3">
      <c r="A328" s="2">
        <v>45489</v>
      </c>
      <c r="B328">
        <v>24613</v>
      </c>
      <c r="C328">
        <f t="shared" si="17"/>
        <v>7.63212974342827E-3</v>
      </c>
      <c r="J328">
        <f t="shared" si="15"/>
        <v>26328.55078125</v>
      </c>
      <c r="K328">
        <f t="shared" si="16"/>
        <v>-6.5159331992998948E-2</v>
      </c>
    </row>
    <row r="329" spans="1:11" x14ac:dyDescent="0.3">
      <c r="A329" s="2">
        <v>45491</v>
      </c>
      <c r="B329">
        <v>24800.849609375</v>
      </c>
      <c r="C329">
        <f t="shared" si="17"/>
        <v>-1.0884676251089243E-2</v>
      </c>
      <c r="J329">
        <f t="shared" si="15"/>
        <v>26328.55078125</v>
      </c>
      <c r="K329">
        <f t="shared" si="16"/>
        <v>-5.8024506725336322E-2</v>
      </c>
    </row>
    <row r="330" spans="1:11" x14ac:dyDescent="0.3">
      <c r="A330" s="2">
        <v>45492</v>
      </c>
      <c r="B330">
        <v>24530.900390625</v>
      </c>
      <c r="C330">
        <f t="shared" si="17"/>
        <v>-8.8257627238477363E-4</v>
      </c>
      <c r="J330">
        <f t="shared" si="15"/>
        <v>26328.55078125</v>
      </c>
      <c r="K330">
        <f t="shared" si="16"/>
        <v>-6.8277605006091147E-2</v>
      </c>
    </row>
    <row r="331" spans="1:11" x14ac:dyDescent="0.3">
      <c r="A331" s="2">
        <v>45495</v>
      </c>
      <c r="B331">
        <v>24509.25</v>
      </c>
      <c r="C331">
        <f t="shared" si="17"/>
        <v>-1.2321559717249609E-3</v>
      </c>
      <c r="J331">
        <f t="shared" si="15"/>
        <v>26328.55078125</v>
      </c>
      <c r="K331">
        <f t="shared" si="16"/>
        <v>-6.9099921084362248E-2</v>
      </c>
    </row>
    <row r="332" spans="1:11" x14ac:dyDescent="0.3">
      <c r="A332" s="2">
        <v>45496</v>
      </c>
      <c r="B332">
        <v>24479.05078125</v>
      </c>
      <c r="C332">
        <f t="shared" si="17"/>
        <v>-2.6778318259059845E-3</v>
      </c>
      <c r="J332">
        <f t="shared" si="15"/>
        <v>26328.55078125</v>
      </c>
      <c r="K332">
        <f t="shared" si="16"/>
        <v>-7.0246935175677372E-2</v>
      </c>
    </row>
    <row r="333" spans="1:11" x14ac:dyDescent="0.3">
      <c r="A333" s="2">
        <v>45497</v>
      </c>
      <c r="B333">
        <v>24413.5</v>
      </c>
      <c r="C333">
        <f t="shared" si="17"/>
        <v>-3.031269840457124E-4</v>
      </c>
      <c r="J333">
        <f t="shared" si="15"/>
        <v>26328.55078125</v>
      </c>
      <c r="K333">
        <f t="shared" si="16"/>
        <v>-7.2736657522897596E-2</v>
      </c>
    </row>
    <row r="334" spans="1:11" x14ac:dyDescent="0.3">
      <c r="A334" s="2">
        <v>45498</v>
      </c>
      <c r="B334">
        <v>24406.099609375</v>
      </c>
      <c r="C334">
        <f t="shared" si="17"/>
        <v>1.756732976027461E-2</v>
      </c>
      <c r="J334">
        <f t="shared" si="15"/>
        <v>26328.55078125</v>
      </c>
      <c r="K334">
        <f t="shared" si="16"/>
        <v>-7.301773606331885E-2</v>
      </c>
    </row>
    <row r="335" spans="1:11" x14ac:dyDescent="0.3">
      <c r="A335" s="2">
        <v>45499</v>
      </c>
      <c r="B335">
        <v>24834.849609375</v>
      </c>
      <c r="C335">
        <f t="shared" si="17"/>
        <v>5.0332497263367071E-5</v>
      </c>
      <c r="J335">
        <f t="shared" si="15"/>
        <v>26328.55078125</v>
      </c>
      <c r="K335">
        <f t="shared" si="16"/>
        <v>-5.6733132950817278E-2</v>
      </c>
    </row>
    <row r="336" spans="1:11" x14ac:dyDescent="0.3">
      <c r="A336" s="2">
        <v>45502</v>
      </c>
      <c r="B336">
        <v>24836.099609375</v>
      </c>
      <c r="C336">
        <f t="shared" si="17"/>
        <v>8.5364337430008915E-4</v>
      </c>
      <c r="J336">
        <f t="shared" si="15"/>
        <v>26328.55078125</v>
      </c>
      <c r="K336">
        <f t="shared" si="16"/>
        <v>-5.6685655973812921E-2</v>
      </c>
    </row>
    <row r="337" spans="1:11" x14ac:dyDescent="0.3">
      <c r="A337" s="2">
        <v>45503</v>
      </c>
      <c r="B337">
        <v>24857.30078125</v>
      </c>
      <c r="C337">
        <f t="shared" si="17"/>
        <v>3.7755350108564997E-3</v>
      </c>
      <c r="J337">
        <f t="shared" si="15"/>
        <v>26328.55078125</v>
      </c>
      <c r="K337">
        <f t="shared" si="16"/>
        <v>-5.5880401934152668E-2</v>
      </c>
    </row>
    <row r="338" spans="1:11" x14ac:dyDescent="0.3">
      <c r="A338" s="2">
        <v>45504</v>
      </c>
      <c r="B338">
        <v>24951.150390625</v>
      </c>
      <c r="C338">
        <f t="shared" si="17"/>
        <v>2.3946791656728628E-3</v>
      </c>
      <c r="J338">
        <f t="shared" si="15"/>
        <v>26328.55078125</v>
      </c>
      <c r="K338">
        <f t="shared" si="16"/>
        <v>-5.2315845337219335E-2</v>
      </c>
    </row>
    <row r="339" spans="1:11" x14ac:dyDescent="0.3">
      <c r="A339" s="2">
        <v>45505</v>
      </c>
      <c r="B339">
        <v>25010.900390625</v>
      </c>
      <c r="C339">
        <f t="shared" si="17"/>
        <v>-1.1722935491954641E-2</v>
      </c>
      <c r="J339">
        <f t="shared" si="15"/>
        <v>26328.55078125</v>
      </c>
      <c r="K339">
        <f t="shared" si="16"/>
        <v>-5.0046445836410047E-2</v>
      </c>
    </row>
    <row r="340" spans="1:11" x14ac:dyDescent="0.3">
      <c r="A340" s="2">
        <v>45506</v>
      </c>
      <c r="B340">
        <v>24717.69921875</v>
      </c>
      <c r="C340">
        <f t="shared" si="17"/>
        <v>-2.6786457894622889E-2</v>
      </c>
      <c r="J340">
        <f t="shared" si="15"/>
        <v>26328.55078125</v>
      </c>
      <c r="K340">
        <f t="shared" si="16"/>
        <v>-6.1182690072222878E-2</v>
      </c>
    </row>
    <row r="341" spans="1:11" x14ac:dyDescent="0.3">
      <c r="A341" s="2">
        <v>45509</v>
      </c>
      <c r="B341">
        <v>24055.599609375</v>
      </c>
      <c r="C341">
        <f t="shared" si="17"/>
        <v>-2.6209626510589443E-3</v>
      </c>
      <c r="J341">
        <f t="shared" si="15"/>
        <v>26328.55078125</v>
      </c>
      <c r="K341">
        <f t="shared" si="16"/>
        <v>-8.6330280415346405E-2</v>
      </c>
    </row>
    <row r="342" spans="1:11" x14ac:dyDescent="0.3">
      <c r="A342" s="2">
        <v>45510</v>
      </c>
      <c r="B342">
        <v>23992.55078125</v>
      </c>
      <c r="C342">
        <f t="shared" si="17"/>
        <v>1.2710162480444369E-2</v>
      </c>
      <c r="J342">
        <f t="shared" si="15"/>
        <v>26328.55078125</v>
      </c>
      <c r="K342">
        <f t="shared" si="16"/>
        <v>-8.8724974625781328E-2</v>
      </c>
    </row>
    <row r="343" spans="1:11" x14ac:dyDescent="0.3">
      <c r="A343" s="2">
        <v>45511</v>
      </c>
      <c r="B343">
        <v>24297.5</v>
      </c>
      <c r="C343">
        <f t="shared" si="17"/>
        <v>-7.428747813561066E-3</v>
      </c>
      <c r="J343">
        <f t="shared" si="15"/>
        <v>26328.55078125</v>
      </c>
      <c r="K343">
        <f t="shared" si="16"/>
        <v>-7.714252098890384E-2</v>
      </c>
    </row>
    <row r="344" spans="1:11" x14ac:dyDescent="0.3">
      <c r="A344" s="2">
        <v>45512</v>
      </c>
      <c r="B344">
        <v>24117</v>
      </c>
      <c r="C344">
        <f t="shared" si="17"/>
        <v>1.0386864037815649E-2</v>
      </c>
      <c r="J344">
        <f t="shared" si="15"/>
        <v>26328.55078125</v>
      </c>
      <c r="K344">
        <f t="shared" si="16"/>
        <v>-8.3998196468336062E-2</v>
      </c>
    </row>
    <row r="345" spans="1:11" x14ac:dyDescent="0.3">
      <c r="A345" s="2">
        <v>45513</v>
      </c>
      <c r="B345">
        <v>24367.5</v>
      </c>
      <c r="C345">
        <f t="shared" si="17"/>
        <v>-8.412844977941931E-4</v>
      </c>
      <c r="J345">
        <f t="shared" si="15"/>
        <v>26328.55078125</v>
      </c>
      <c r="K345">
        <f t="shared" si="16"/>
        <v>-7.4483810276658735E-2</v>
      </c>
    </row>
    <row r="346" spans="1:11" x14ac:dyDescent="0.3">
      <c r="A346" s="2">
        <v>45516</v>
      </c>
      <c r="B346">
        <v>24347</v>
      </c>
      <c r="C346">
        <f t="shared" si="17"/>
        <v>-8.5431469996303452E-3</v>
      </c>
      <c r="J346">
        <f t="shared" si="15"/>
        <v>26328.55078125</v>
      </c>
      <c r="K346">
        <f t="shared" si="16"/>
        <v>-7.5262432699530479E-2</v>
      </c>
    </row>
    <row r="347" spans="1:11" x14ac:dyDescent="0.3">
      <c r="A347" s="2">
        <v>45517</v>
      </c>
      <c r="B347">
        <v>24139</v>
      </c>
      <c r="C347">
        <f t="shared" si="17"/>
        <v>1.9677699987571978E-4</v>
      </c>
      <c r="J347">
        <f t="shared" si="15"/>
        <v>26328.55078125</v>
      </c>
      <c r="K347">
        <f t="shared" si="16"/>
        <v>-8.3162601673059E-2</v>
      </c>
    </row>
    <row r="348" spans="1:11" x14ac:dyDescent="0.3">
      <c r="A348" s="2">
        <v>45518</v>
      </c>
      <c r="B348">
        <v>24143.75</v>
      </c>
      <c r="C348">
        <f t="shared" si="17"/>
        <v>1.6459762490292518E-2</v>
      </c>
      <c r="J348">
        <f t="shared" si="15"/>
        <v>26328.55078125</v>
      </c>
      <c r="K348">
        <f t="shared" si="16"/>
        <v>-8.298218916044231E-2</v>
      </c>
    </row>
    <row r="349" spans="1:11" x14ac:dyDescent="0.3">
      <c r="A349" s="2">
        <v>45520</v>
      </c>
      <c r="B349">
        <v>24541.150390625</v>
      </c>
      <c r="C349">
        <f t="shared" si="17"/>
        <v>1.2835584110202657E-3</v>
      </c>
      <c r="J349">
        <f t="shared" si="15"/>
        <v>26328.55078125</v>
      </c>
      <c r="K349">
        <f t="shared" si="16"/>
        <v>-6.7888293794655219E-2</v>
      </c>
    </row>
    <row r="350" spans="1:11" x14ac:dyDescent="0.3">
      <c r="A350" s="2">
        <v>45523</v>
      </c>
      <c r="B350">
        <v>24572.650390625</v>
      </c>
      <c r="C350">
        <f t="shared" si="17"/>
        <v>5.1357593399101852E-3</v>
      </c>
      <c r="J350">
        <f t="shared" si="15"/>
        <v>26328.55078125</v>
      </c>
      <c r="K350">
        <f t="shared" si="16"/>
        <v>-6.6691873974144888E-2</v>
      </c>
    </row>
    <row r="351" spans="1:11" x14ac:dyDescent="0.3">
      <c r="A351" s="2">
        <v>45524</v>
      </c>
      <c r="B351">
        <v>24698.849609375</v>
      </c>
      <c r="C351">
        <f t="shared" si="17"/>
        <v>2.8887826964992596E-3</v>
      </c>
      <c r="J351">
        <f t="shared" si="15"/>
        <v>26328.55078125</v>
      </c>
      <c r="K351">
        <f t="shared" si="16"/>
        <v>-6.1898628048893567E-2</v>
      </c>
    </row>
    <row r="352" spans="1:11" x14ac:dyDescent="0.3">
      <c r="A352" s="2">
        <v>45525</v>
      </c>
      <c r="B352">
        <v>24770.19921875</v>
      </c>
      <c r="C352">
        <f t="shared" si="17"/>
        <v>1.667357653657345E-3</v>
      </c>
      <c r="J352">
        <f t="shared" si="15"/>
        <v>26328.55078125</v>
      </c>
      <c r="K352">
        <f t="shared" si="16"/>
        <v>-5.9188657038038994E-2</v>
      </c>
    </row>
    <row r="353" spans="1:11" x14ac:dyDescent="0.3">
      <c r="A353" s="2">
        <v>45526</v>
      </c>
      <c r="B353">
        <v>24811.5</v>
      </c>
      <c r="C353">
        <f t="shared" si="17"/>
        <v>4.6955607782681415E-4</v>
      </c>
      <c r="J353">
        <f t="shared" si="15"/>
        <v>26328.55078125</v>
      </c>
      <c r="K353">
        <f t="shared" si="16"/>
        <v>-5.7619988044703696E-2</v>
      </c>
    </row>
    <row r="354" spans="1:11" x14ac:dyDescent="0.3">
      <c r="A354" s="2">
        <v>45527</v>
      </c>
      <c r="B354">
        <v>24823.150390625</v>
      </c>
      <c r="C354">
        <f t="shared" si="17"/>
        <v>7.551387144670978E-3</v>
      </c>
      <c r="J354">
        <f t="shared" si="15"/>
        <v>26328.55078125</v>
      </c>
      <c r="K354">
        <f t="shared" si="16"/>
        <v>-5.7177487782467562E-2</v>
      </c>
    </row>
    <row r="355" spans="1:11" x14ac:dyDescent="0.3">
      <c r="A355" s="2">
        <v>45530</v>
      </c>
      <c r="B355">
        <v>25010.599609375</v>
      </c>
      <c r="C355">
        <f t="shared" si="17"/>
        <v>2.8589441023715959E-4</v>
      </c>
      <c r="J355">
        <f t="shared" si="15"/>
        <v>26328.55078125</v>
      </c>
      <c r="K355">
        <f t="shared" si="16"/>
        <v>-5.0057869984001746E-2</v>
      </c>
    </row>
    <row r="356" spans="1:11" x14ac:dyDescent="0.3">
      <c r="A356" s="2">
        <v>45531</v>
      </c>
      <c r="B356">
        <v>25017.75</v>
      </c>
      <c r="C356">
        <f t="shared" si="17"/>
        <v>1.3830024432652816E-3</v>
      </c>
      <c r="J356">
        <f t="shared" si="15"/>
        <v>26328.55078125</v>
      </c>
      <c r="K356">
        <f t="shared" si="16"/>
        <v>-4.9786286838981342E-2</v>
      </c>
    </row>
    <row r="357" spans="1:11" x14ac:dyDescent="0.3">
      <c r="A357" s="2">
        <v>45532</v>
      </c>
      <c r="B357">
        <v>25052.349609375</v>
      </c>
      <c r="C357">
        <f t="shared" si="17"/>
        <v>3.9756594063228385E-3</v>
      </c>
      <c r="J357">
        <f t="shared" si="15"/>
        <v>26328.55078125</v>
      </c>
      <c r="K357">
        <f t="shared" si="16"/>
        <v>-4.8472138952055488E-2</v>
      </c>
    </row>
    <row r="358" spans="1:11" x14ac:dyDescent="0.3">
      <c r="A358" s="2">
        <v>45533</v>
      </c>
      <c r="B358">
        <v>25151.94921875</v>
      </c>
      <c r="C358">
        <f t="shared" si="17"/>
        <v>3.3377600735777966E-3</v>
      </c>
      <c r="J358">
        <f t="shared" si="15"/>
        <v>26328.55078125</v>
      </c>
      <c r="K358">
        <f t="shared" si="16"/>
        <v>-4.4689188260901958E-2</v>
      </c>
    </row>
    <row r="359" spans="1:11" x14ac:dyDescent="0.3">
      <c r="A359" s="2">
        <v>45534</v>
      </c>
      <c r="B359">
        <v>25235.900390625</v>
      </c>
      <c r="C359">
        <f t="shared" si="17"/>
        <v>1.6959501132323192E-3</v>
      </c>
      <c r="J359">
        <f t="shared" si="15"/>
        <v>26328.55078125</v>
      </c>
      <c r="K359">
        <f t="shared" si="16"/>
        <v>-4.1500589975622004E-2</v>
      </c>
    </row>
    <row r="360" spans="1:11" x14ac:dyDescent="0.3">
      <c r="A360" s="2">
        <v>45537</v>
      </c>
      <c r="B360">
        <v>25278.69921875</v>
      </c>
      <c r="C360">
        <f t="shared" si="17"/>
        <v>4.5508299894905958E-5</v>
      </c>
      <c r="J360">
        <f t="shared" si="15"/>
        <v>26328.55078125</v>
      </c>
      <c r="K360">
        <f t="shared" si="16"/>
        <v>-3.9875022792658088E-2</v>
      </c>
    </row>
    <row r="361" spans="1:11" x14ac:dyDescent="0.3">
      <c r="A361" s="2">
        <v>45538</v>
      </c>
      <c r="B361">
        <v>25279.849609375</v>
      </c>
      <c r="C361">
        <f t="shared" si="17"/>
        <v>-3.2100820170585776E-3</v>
      </c>
      <c r="J361">
        <f t="shared" si="15"/>
        <v>26328.55078125</v>
      </c>
      <c r="K361">
        <f t="shared" si="16"/>
        <v>-3.9831329137258731E-2</v>
      </c>
    </row>
    <row r="362" spans="1:11" x14ac:dyDescent="0.3">
      <c r="A362" s="2">
        <v>45539</v>
      </c>
      <c r="B362">
        <v>25198.69921875</v>
      </c>
      <c r="C362">
        <f t="shared" si="17"/>
        <v>-2.1270784221717794E-3</v>
      </c>
      <c r="J362">
        <f t="shared" si="15"/>
        <v>26328.55078125</v>
      </c>
      <c r="K362">
        <f t="shared" si="16"/>
        <v>-4.2913549320938271E-2</v>
      </c>
    </row>
    <row r="363" spans="1:11" x14ac:dyDescent="0.3">
      <c r="A363" s="2">
        <v>45540</v>
      </c>
      <c r="B363">
        <v>25145.099609375</v>
      </c>
      <c r="C363">
        <f t="shared" si="17"/>
        <v>-1.1650350298901897E-2</v>
      </c>
      <c r="J363">
        <f t="shared" si="15"/>
        <v>26328.55078125</v>
      </c>
      <c r="K363">
        <f t="shared" si="16"/>
        <v>-4.4949347258330663E-2</v>
      </c>
    </row>
    <row r="364" spans="1:11" x14ac:dyDescent="0.3">
      <c r="A364" s="2">
        <v>45541</v>
      </c>
      <c r="B364">
        <v>24852.150390625</v>
      </c>
      <c r="C364">
        <f t="shared" si="17"/>
        <v>3.3900486950127948E-3</v>
      </c>
      <c r="J364">
        <f t="shared" si="15"/>
        <v>26328.55078125</v>
      </c>
      <c r="K364">
        <f t="shared" si="16"/>
        <v>-5.6076021915966057E-2</v>
      </c>
    </row>
    <row r="365" spans="1:11" x14ac:dyDescent="0.3">
      <c r="A365" s="2">
        <v>45544</v>
      </c>
      <c r="B365">
        <v>24936.400390625</v>
      </c>
      <c r="C365">
        <f t="shared" si="17"/>
        <v>4.1986500501236075E-3</v>
      </c>
      <c r="J365">
        <f t="shared" si="15"/>
        <v>26328.55078125</v>
      </c>
      <c r="K365">
        <f t="shared" si="16"/>
        <v>-5.2876073665870993E-2</v>
      </c>
    </row>
    <row r="366" spans="1:11" x14ac:dyDescent="0.3">
      <c r="A366" s="2">
        <v>45545</v>
      </c>
      <c r="B366">
        <v>25041.099609375</v>
      </c>
      <c r="C366">
        <f t="shared" si="17"/>
        <v>-4.8979634496195048E-3</v>
      </c>
      <c r="J366">
        <f t="shared" si="15"/>
        <v>26328.55078125</v>
      </c>
      <c r="K366">
        <f t="shared" si="16"/>
        <v>-4.8899431745094923E-2</v>
      </c>
    </row>
    <row r="367" spans="1:11" x14ac:dyDescent="0.3">
      <c r="A367" s="2">
        <v>45546</v>
      </c>
      <c r="B367">
        <v>24918.44921875</v>
      </c>
      <c r="C367">
        <f t="shared" si="17"/>
        <v>1.8879632827271085E-2</v>
      </c>
      <c r="J367">
        <f t="shared" si="15"/>
        <v>26328.55078125</v>
      </c>
      <c r="K367">
        <f t="shared" si="16"/>
        <v>-5.3557887565319762E-2</v>
      </c>
    </row>
    <row r="368" spans="1:11" x14ac:dyDescent="0.3">
      <c r="A368" s="2">
        <v>45547</v>
      </c>
      <c r="B368">
        <v>25388.900390625</v>
      </c>
      <c r="C368">
        <f t="shared" si="17"/>
        <v>-1.2761636040355664E-3</v>
      </c>
      <c r="J368">
        <f t="shared" si="15"/>
        <v>26328.55078125</v>
      </c>
      <c r="K368">
        <f t="shared" si="16"/>
        <v>-3.5689407990286193E-2</v>
      </c>
    </row>
    <row r="369" spans="1:11" x14ac:dyDescent="0.3">
      <c r="A369" s="2">
        <v>45548</v>
      </c>
      <c r="B369">
        <v>25356.5</v>
      </c>
      <c r="C369">
        <f t="shared" si="17"/>
        <v>1.0746751326089958E-3</v>
      </c>
      <c r="J369">
        <f t="shared" si="15"/>
        <v>26328.55078125</v>
      </c>
      <c r="K369">
        <f t="shared" si="16"/>
        <v>-3.6920026070795031E-2</v>
      </c>
    </row>
    <row r="370" spans="1:11" x14ac:dyDescent="0.3">
      <c r="A370" s="2">
        <v>45551</v>
      </c>
      <c r="B370">
        <v>25383.75</v>
      </c>
      <c r="C370">
        <f t="shared" si="17"/>
        <v>1.3709866056039789E-3</v>
      </c>
      <c r="J370">
        <f t="shared" si="15"/>
        <v>26328.55078125</v>
      </c>
      <c r="K370">
        <f t="shared" si="16"/>
        <v>-3.5885027972099581E-2</v>
      </c>
    </row>
    <row r="371" spans="1:11" x14ac:dyDescent="0.3">
      <c r="A371" s="2">
        <v>45552</v>
      </c>
      <c r="B371">
        <v>25418.55078125</v>
      </c>
      <c r="C371">
        <f t="shared" si="17"/>
        <v>-1.6129951842196943E-3</v>
      </c>
      <c r="J371">
        <f t="shared" si="15"/>
        <v>26328.55078125</v>
      </c>
      <c r="K371">
        <f t="shared" si="16"/>
        <v>-3.4563239259187029E-2</v>
      </c>
    </row>
    <row r="372" spans="1:11" x14ac:dyDescent="0.3">
      <c r="A372" s="2">
        <v>45553</v>
      </c>
      <c r="B372">
        <v>25377.55078125</v>
      </c>
      <c r="C372">
        <f t="shared" si="17"/>
        <v>1.5072376499098844E-3</v>
      </c>
      <c r="J372">
        <f t="shared" si="15"/>
        <v>26328.55078125</v>
      </c>
      <c r="K372">
        <f t="shared" si="16"/>
        <v>-3.6120484104930628E-2</v>
      </c>
    </row>
    <row r="373" spans="1:11" x14ac:dyDescent="0.3">
      <c r="A373" s="2">
        <v>45554</v>
      </c>
      <c r="B373">
        <v>25415.80078125</v>
      </c>
      <c r="C373">
        <f t="shared" si="17"/>
        <v>1.4760441377741608E-2</v>
      </c>
      <c r="J373">
        <f t="shared" si="15"/>
        <v>26328.55078125</v>
      </c>
      <c r="K373">
        <f t="shared" si="16"/>
        <v>-3.4667688608596703E-2</v>
      </c>
    </row>
    <row r="374" spans="1:11" x14ac:dyDescent="0.3">
      <c r="A374" s="2">
        <v>45555</v>
      </c>
      <c r="B374">
        <v>25790.94921875</v>
      </c>
      <c r="C374">
        <f t="shared" si="17"/>
        <v>5.7423850996662926E-3</v>
      </c>
      <c r="J374">
        <f t="shared" si="15"/>
        <v>26328.55078125</v>
      </c>
      <c r="K374">
        <f t="shared" si="16"/>
        <v>-2.0418957616264111E-2</v>
      </c>
    </row>
    <row r="375" spans="1:11" x14ac:dyDescent="0.3">
      <c r="A375" s="2">
        <v>45558</v>
      </c>
      <c r="B375">
        <v>25939.05078125</v>
      </c>
      <c r="C375">
        <f t="shared" si="17"/>
        <v>5.2030021699003842E-5</v>
      </c>
      <c r="J375">
        <f t="shared" si="15"/>
        <v>26328.55078125</v>
      </c>
      <c r="K375">
        <f t="shared" si="16"/>
        <v>-1.4793826034564139E-2</v>
      </c>
    </row>
    <row r="376" spans="1:11" x14ac:dyDescent="0.3">
      <c r="A376" s="2">
        <v>45559</v>
      </c>
      <c r="B376">
        <v>25940.400390625</v>
      </c>
      <c r="C376">
        <f t="shared" si="17"/>
        <v>2.4575565157058869E-3</v>
      </c>
      <c r="J376">
        <f t="shared" si="15"/>
        <v>26328.55078125</v>
      </c>
      <c r="K376">
        <f t="shared" si="16"/>
        <v>-1.4742565735954671E-2</v>
      </c>
    </row>
    <row r="377" spans="1:11" x14ac:dyDescent="0.3">
      <c r="A377" s="2">
        <v>45560</v>
      </c>
      <c r="B377">
        <v>26004.150390625</v>
      </c>
      <c r="C377">
        <f t="shared" si="17"/>
        <v>8.1487142414540942E-3</v>
      </c>
      <c r="J377">
        <f t="shared" si="15"/>
        <v>26328.55078125</v>
      </c>
      <c r="K377">
        <f t="shared" si="16"/>
        <v>-1.2321239908731463E-2</v>
      </c>
    </row>
    <row r="378" spans="1:11" x14ac:dyDescent="0.3">
      <c r="A378" s="2">
        <v>45561</v>
      </c>
      <c r="B378">
        <v>26216.05078125</v>
      </c>
      <c r="C378">
        <f t="shared" si="17"/>
        <v>-1.4152231703234049E-3</v>
      </c>
      <c r="J378">
        <f t="shared" si="15"/>
        <v>26328.55078125</v>
      </c>
      <c r="K378">
        <f t="shared" si="16"/>
        <v>-4.2729279303940215E-3</v>
      </c>
    </row>
    <row r="379" spans="1:11" x14ac:dyDescent="0.3">
      <c r="A379" s="2">
        <v>45562</v>
      </c>
      <c r="B379">
        <v>26178.94921875</v>
      </c>
      <c r="C379">
        <f t="shared" si="17"/>
        <v>-1.406090085202343E-2</v>
      </c>
      <c r="J379">
        <f t="shared" si="15"/>
        <v>26328.55078125</v>
      </c>
      <c r="K379">
        <f t="shared" si="16"/>
        <v>-5.6821039541051777E-3</v>
      </c>
    </row>
    <row r="380" spans="1:11" x14ac:dyDescent="0.3">
      <c r="A380" s="2">
        <v>45565</v>
      </c>
      <c r="B380">
        <v>25810.849609375</v>
      </c>
      <c r="C380">
        <f t="shared" si="17"/>
        <v>-5.4044012347944466E-4</v>
      </c>
      <c r="J380">
        <f t="shared" si="15"/>
        <v>26328.55078125</v>
      </c>
      <c r="K380">
        <f t="shared" si="16"/>
        <v>-1.9663109305799065E-2</v>
      </c>
    </row>
    <row r="381" spans="1:11" x14ac:dyDescent="0.3">
      <c r="A381" s="2">
        <v>45566</v>
      </c>
      <c r="B381">
        <v>25796.900390625</v>
      </c>
      <c r="C381">
        <f t="shared" si="17"/>
        <v>-2.1196375260987402E-2</v>
      </c>
      <c r="J381">
        <f t="shared" si="15"/>
        <v>26328.55078125</v>
      </c>
      <c r="K381">
        <f t="shared" si="16"/>
        <v>-2.0192922696057325E-2</v>
      </c>
    </row>
    <row r="382" spans="1:11" x14ac:dyDescent="0.3">
      <c r="A382" s="2">
        <v>45568</v>
      </c>
      <c r="B382">
        <v>25250.099609375</v>
      </c>
      <c r="C382">
        <f t="shared" si="17"/>
        <v>-9.3266958801446562E-3</v>
      </c>
      <c r="J382">
        <f t="shared" si="15"/>
        <v>26328.55078125</v>
      </c>
      <c r="K382">
        <f t="shared" si="16"/>
        <v>-4.0961281189963006E-2</v>
      </c>
    </row>
    <row r="383" spans="1:11" x14ac:dyDescent="0.3">
      <c r="A383" s="2">
        <v>45569</v>
      </c>
      <c r="B383">
        <v>25014.599609375</v>
      </c>
      <c r="C383">
        <f t="shared" si="17"/>
        <v>-8.7488751686027114E-3</v>
      </c>
      <c r="J383">
        <f t="shared" si="15"/>
        <v>26328.55078125</v>
      </c>
      <c r="K383">
        <f t="shared" si="16"/>
        <v>-4.9905943657587715E-2</v>
      </c>
    </row>
    <row r="384" spans="1:11" x14ac:dyDescent="0.3">
      <c r="A384" s="2">
        <v>45572</v>
      </c>
      <c r="B384">
        <v>24795.75</v>
      </c>
      <c r="C384">
        <f t="shared" si="17"/>
        <v>8.7676473034693451E-3</v>
      </c>
      <c r="J384">
        <f t="shared" si="15"/>
        <v>26328.55078125</v>
      </c>
      <c r="K384">
        <f t="shared" si="16"/>
        <v>-5.8218197954958861E-2</v>
      </c>
    </row>
    <row r="385" spans="1:11" x14ac:dyDescent="0.3">
      <c r="A385" s="2">
        <v>45573</v>
      </c>
      <c r="B385">
        <v>25013.150390625</v>
      </c>
      <c r="C385">
        <f t="shared" si="17"/>
        <v>-1.2473907279865989E-3</v>
      </c>
      <c r="J385">
        <f t="shared" si="15"/>
        <v>26328.55078125</v>
      </c>
      <c r="K385">
        <f t="shared" si="16"/>
        <v>-4.9960987277802182E-2</v>
      </c>
    </row>
    <row r="386" spans="1:11" x14ac:dyDescent="0.3">
      <c r="A386" s="2">
        <v>45574</v>
      </c>
      <c r="B386">
        <v>24981.94921875</v>
      </c>
      <c r="C386">
        <f t="shared" si="17"/>
        <v>6.6047688495083712E-4</v>
      </c>
      <c r="J386">
        <f t="shared" ref="J386:J449" si="18">MAX(B386:B1124)</f>
        <v>26328.55078125</v>
      </c>
      <c r="K386">
        <f t="shared" ref="K386:K449" si="19">B386/J386-1</f>
        <v>-5.1146057133497402E-2</v>
      </c>
    </row>
    <row r="387" spans="1:11" x14ac:dyDescent="0.3">
      <c r="A387" s="2">
        <v>45575</v>
      </c>
      <c r="B387">
        <v>24998.44921875</v>
      </c>
      <c r="C387">
        <f t="shared" ref="C387:C450" si="20">(B388-B387)/B387</f>
        <v>-1.3680536120756241E-3</v>
      </c>
      <c r="J387">
        <f t="shared" si="18"/>
        <v>26328.55078125</v>
      </c>
      <c r="K387">
        <f t="shared" si="19"/>
        <v>-5.0519361037039578E-2</v>
      </c>
    </row>
    <row r="388" spans="1:11" x14ac:dyDescent="0.3">
      <c r="A388" s="2">
        <v>45576</v>
      </c>
      <c r="B388">
        <v>24964.25</v>
      </c>
      <c r="C388">
        <f t="shared" si="20"/>
        <v>6.5573457544288337E-3</v>
      </c>
      <c r="J388">
        <f t="shared" si="18"/>
        <v>26328.55078125</v>
      </c>
      <c r="K388">
        <f t="shared" si="19"/>
        <v>-5.1818301454768734E-2</v>
      </c>
    </row>
    <row r="389" spans="1:11" x14ac:dyDescent="0.3">
      <c r="A389" s="2">
        <v>45579</v>
      </c>
      <c r="B389">
        <v>25127.94921875</v>
      </c>
      <c r="C389">
        <f t="shared" si="20"/>
        <v>-2.8096049048968912E-3</v>
      </c>
      <c r="J389">
        <f t="shared" si="18"/>
        <v>26328.55078125</v>
      </c>
      <c r="K389">
        <f t="shared" si="19"/>
        <v>-4.5600746219386035E-2</v>
      </c>
    </row>
    <row r="390" spans="1:11" x14ac:dyDescent="0.3">
      <c r="A390" s="2">
        <v>45580</v>
      </c>
      <c r="B390">
        <v>25057.349609375</v>
      </c>
      <c r="C390">
        <f t="shared" si="20"/>
        <v>-3.4340754096676505E-3</v>
      </c>
      <c r="J390">
        <f t="shared" si="18"/>
        <v>26328.55078125</v>
      </c>
      <c r="K390">
        <f t="shared" si="19"/>
        <v>-4.828223104403806E-2</v>
      </c>
    </row>
    <row r="391" spans="1:11" x14ac:dyDescent="0.3">
      <c r="A391" s="2">
        <v>45581</v>
      </c>
      <c r="B391">
        <v>24971.30078125</v>
      </c>
      <c r="C391">
        <f t="shared" si="20"/>
        <v>-8.8682273228345102E-3</v>
      </c>
      <c r="J391">
        <f t="shared" si="18"/>
        <v>26328.55078125</v>
      </c>
      <c r="K391">
        <f t="shared" si="19"/>
        <v>-5.155050163135344E-2</v>
      </c>
    </row>
    <row r="392" spans="1:11" x14ac:dyDescent="0.3">
      <c r="A392" s="2">
        <v>45582</v>
      </c>
      <c r="B392">
        <v>24749.849609375</v>
      </c>
      <c r="C392">
        <f t="shared" si="20"/>
        <v>4.2101739412400158E-3</v>
      </c>
      <c r="J392">
        <f t="shared" si="18"/>
        <v>26328.55078125</v>
      </c>
      <c r="K392">
        <f t="shared" si="19"/>
        <v>-5.9961567387115E-2</v>
      </c>
    </row>
    <row r="393" spans="1:11" x14ac:dyDescent="0.3">
      <c r="A393" s="2">
        <v>45583</v>
      </c>
      <c r="B393">
        <v>24854.05078125</v>
      </c>
      <c r="C393">
        <f t="shared" si="20"/>
        <v>-2.9351823779983047E-3</v>
      </c>
      <c r="J393">
        <f t="shared" si="18"/>
        <v>26328.55078125</v>
      </c>
      <c r="K393">
        <f t="shared" si="19"/>
        <v>-5.6003842074364041E-2</v>
      </c>
    </row>
    <row r="394" spans="1:11" x14ac:dyDescent="0.3">
      <c r="A394" s="2">
        <v>45586</v>
      </c>
      <c r="B394">
        <v>24781.099609375</v>
      </c>
      <c r="C394">
        <f t="shared" si="20"/>
        <v>-1.2469180337869326E-2</v>
      </c>
      <c r="J394">
        <f t="shared" si="18"/>
        <v>26328.55078125</v>
      </c>
      <c r="K394">
        <f t="shared" si="19"/>
        <v>-5.8774642962005519E-2</v>
      </c>
    </row>
    <row r="395" spans="1:11" x14ac:dyDescent="0.3">
      <c r="A395" s="2">
        <v>45587</v>
      </c>
      <c r="B395">
        <v>24472.099609375</v>
      </c>
      <c r="C395">
        <f t="shared" si="20"/>
        <v>-1.4955647434917714E-3</v>
      </c>
      <c r="J395">
        <f t="shared" si="18"/>
        <v>26328.55078125</v>
      </c>
      <c r="K395">
        <f t="shared" si="19"/>
        <v>-7.0510951677487665E-2</v>
      </c>
    </row>
    <row r="396" spans="1:11" x14ac:dyDescent="0.3">
      <c r="A396" s="2">
        <v>45588</v>
      </c>
      <c r="B396">
        <v>24435.5</v>
      </c>
      <c r="C396">
        <f t="shared" si="20"/>
        <v>-1.4773427748562542E-3</v>
      </c>
      <c r="J396">
        <f t="shared" si="18"/>
        <v>26328.55078125</v>
      </c>
      <c r="K396">
        <f t="shared" si="19"/>
        <v>-7.1901062727620535E-2</v>
      </c>
    </row>
    <row r="397" spans="1:11" x14ac:dyDescent="0.3">
      <c r="A397" s="2">
        <v>45589</v>
      </c>
      <c r="B397">
        <v>24399.400390625</v>
      </c>
      <c r="C397">
        <f t="shared" si="20"/>
        <v>-8.9592205494932031E-3</v>
      </c>
      <c r="J397">
        <f t="shared" si="18"/>
        <v>26328.55078125</v>
      </c>
      <c r="K397">
        <f t="shared" si="19"/>
        <v>-7.3272182986951706E-2</v>
      </c>
    </row>
    <row r="398" spans="1:11" x14ac:dyDescent="0.3">
      <c r="A398" s="2">
        <v>45590</v>
      </c>
      <c r="B398">
        <v>24180.80078125</v>
      </c>
      <c r="C398">
        <f t="shared" si="20"/>
        <v>6.5485676346080995E-3</v>
      </c>
      <c r="J398">
        <f t="shared" si="18"/>
        <v>26328.55078125</v>
      </c>
      <c r="K398">
        <f t="shared" si="19"/>
        <v>-8.1574941888922003E-2</v>
      </c>
    </row>
    <row r="399" spans="1:11" x14ac:dyDescent="0.3">
      <c r="A399" s="2">
        <v>45593</v>
      </c>
      <c r="B399">
        <v>24339.150390625</v>
      </c>
      <c r="C399">
        <f t="shared" si="20"/>
        <v>5.2466588480092318E-3</v>
      </c>
      <c r="J399">
        <f t="shared" si="18"/>
        <v>26328.55078125</v>
      </c>
      <c r="K399">
        <f t="shared" si="19"/>
        <v>-7.5560573278562693E-2</v>
      </c>
    </row>
    <row r="400" spans="1:11" x14ac:dyDescent="0.3">
      <c r="A400" s="2">
        <v>45594</v>
      </c>
      <c r="B400">
        <v>24466.849609375</v>
      </c>
      <c r="C400">
        <f t="shared" si="20"/>
        <v>-5.149825253829181E-3</v>
      </c>
      <c r="J400">
        <f t="shared" si="18"/>
        <v>26328.55078125</v>
      </c>
      <c r="K400">
        <f t="shared" si="19"/>
        <v>-7.0710354980906054E-2</v>
      </c>
    </row>
    <row r="401" spans="1:11" x14ac:dyDescent="0.3">
      <c r="A401" s="2">
        <v>45595</v>
      </c>
      <c r="B401">
        <v>24340.849609375</v>
      </c>
      <c r="C401">
        <f t="shared" si="20"/>
        <v>-5.566773640794013E-3</v>
      </c>
      <c r="J401">
        <f t="shared" si="18"/>
        <v>26328.55078125</v>
      </c>
      <c r="K401">
        <f t="shared" si="19"/>
        <v>-7.5496034262947376E-2</v>
      </c>
    </row>
    <row r="402" spans="1:11" x14ac:dyDescent="0.3">
      <c r="A402" s="2">
        <v>45596</v>
      </c>
      <c r="B402">
        <v>24205.349609375</v>
      </c>
      <c r="C402">
        <f t="shared" si="20"/>
        <v>4.0900049616162618E-3</v>
      </c>
      <c r="J402">
        <f t="shared" si="18"/>
        <v>26328.55078125</v>
      </c>
      <c r="K402">
        <f t="shared" si="19"/>
        <v>-8.0642538570221967E-2</v>
      </c>
    </row>
    <row r="403" spans="1:11" x14ac:dyDescent="0.3">
      <c r="A403" s="2">
        <v>45597</v>
      </c>
      <c r="B403">
        <v>24304.349609375</v>
      </c>
      <c r="C403">
        <f t="shared" si="20"/>
        <v>-1.2713773664645128E-2</v>
      </c>
      <c r="J403">
        <f t="shared" si="18"/>
        <v>26328.55078125</v>
      </c>
      <c r="K403">
        <f t="shared" si="19"/>
        <v>-7.6882361991475245E-2</v>
      </c>
    </row>
    <row r="404" spans="1:11" x14ac:dyDescent="0.3">
      <c r="A404" s="2">
        <v>45600</v>
      </c>
      <c r="B404">
        <v>23995.349609375</v>
      </c>
      <c r="C404">
        <f t="shared" si="20"/>
        <v>9.0830588186073483E-3</v>
      </c>
      <c r="J404">
        <f t="shared" si="18"/>
        <v>26328.55078125</v>
      </c>
      <c r="K404">
        <f t="shared" si="19"/>
        <v>-8.8618670706957392E-2</v>
      </c>
    </row>
    <row r="405" spans="1:11" x14ac:dyDescent="0.3">
      <c r="A405" s="2">
        <v>45601</v>
      </c>
      <c r="B405">
        <v>24213.30078125</v>
      </c>
      <c r="C405">
        <f t="shared" si="20"/>
        <v>1.1181870759630595E-2</v>
      </c>
      <c r="J405">
        <f t="shared" si="18"/>
        <v>26328.55078125</v>
      </c>
      <c r="K405">
        <f t="shared" si="19"/>
        <v>-8.0340540486808165E-2</v>
      </c>
    </row>
    <row r="406" spans="1:11" x14ac:dyDescent="0.3">
      <c r="A406" s="2">
        <v>45602</v>
      </c>
      <c r="B406">
        <v>24484.05078125</v>
      </c>
      <c r="C406">
        <f t="shared" si="20"/>
        <v>-1.1628025706147672E-2</v>
      </c>
      <c r="J406">
        <f t="shared" si="18"/>
        <v>26328.55078125</v>
      </c>
      <c r="K406">
        <f t="shared" si="19"/>
        <v>-7.0057027267659944E-2</v>
      </c>
    </row>
    <row r="407" spans="1:11" x14ac:dyDescent="0.3">
      <c r="A407" s="2">
        <v>45603</v>
      </c>
      <c r="B407">
        <v>24199.349609375</v>
      </c>
      <c r="C407">
        <f t="shared" si="20"/>
        <v>-2.1137093124678017E-3</v>
      </c>
      <c r="J407">
        <f t="shared" si="18"/>
        <v>26328.55078125</v>
      </c>
      <c r="K407">
        <f t="shared" si="19"/>
        <v>-8.0870428059842903E-2</v>
      </c>
    </row>
    <row r="408" spans="1:11" x14ac:dyDescent="0.3">
      <c r="A408" s="2">
        <v>45604</v>
      </c>
      <c r="B408">
        <v>24148.19921875</v>
      </c>
      <c r="C408">
        <f t="shared" si="20"/>
        <v>-2.8567088740280355E-4</v>
      </c>
      <c r="J408">
        <f t="shared" si="18"/>
        <v>26328.55078125</v>
      </c>
      <c r="K408">
        <f t="shared" si="19"/>
        <v>-8.281320079541743E-2</v>
      </c>
    </row>
    <row r="409" spans="1:11" x14ac:dyDescent="0.3">
      <c r="A409" s="2">
        <v>45607</v>
      </c>
      <c r="B409">
        <v>24141.30078125</v>
      </c>
      <c r="C409">
        <f t="shared" si="20"/>
        <v>-1.0680930776533279E-2</v>
      </c>
      <c r="J409">
        <f t="shared" si="18"/>
        <v>26328.55078125</v>
      </c>
      <c r="K409">
        <f t="shared" si="19"/>
        <v>-8.3075214362260286E-2</v>
      </c>
    </row>
    <row r="410" spans="1:11" x14ac:dyDescent="0.3">
      <c r="A410" s="2">
        <v>45608</v>
      </c>
      <c r="B410">
        <v>23883.44921875</v>
      </c>
      <c r="C410">
        <f t="shared" si="20"/>
        <v>-1.3582562322921387E-2</v>
      </c>
      <c r="J410">
        <f t="shared" si="18"/>
        <v>26328.55078125</v>
      </c>
      <c r="K410">
        <f t="shared" si="19"/>
        <v>-9.2868824524944604E-2</v>
      </c>
    </row>
    <row r="411" spans="1:11" x14ac:dyDescent="0.3">
      <c r="A411" s="2">
        <v>45609</v>
      </c>
      <c r="B411">
        <v>23559.05078125</v>
      </c>
      <c r="C411">
        <f t="shared" si="20"/>
        <v>-1.1185324376894032E-3</v>
      </c>
      <c r="J411">
        <f t="shared" si="18"/>
        <v>26328.55078125</v>
      </c>
      <c r="K411">
        <f t="shared" si="19"/>
        <v>-0.10518999025089948</v>
      </c>
    </row>
    <row r="412" spans="1:11" x14ac:dyDescent="0.3">
      <c r="A412" s="2">
        <v>45610</v>
      </c>
      <c r="B412">
        <v>23532.69921875</v>
      </c>
      <c r="C412">
        <f t="shared" si="20"/>
        <v>-3.3527151631265739E-3</v>
      </c>
      <c r="J412">
        <f t="shared" si="18"/>
        <v>26328.55078125</v>
      </c>
      <c r="K412">
        <f t="shared" si="19"/>
        <v>-0.10619086427237301</v>
      </c>
    </row>
    <row r="413" spans="1:11" x14ac:dyDescent="0.3">
      <c r="A413" s="2">
        <v>45614</v>
      </c>
      <c r="B413">
        <v>23453.80078125</v>
      </c>
      <c r="C413">
        <f t="shared" si="20"/>
        <v>2.7585814066316875E-3</v>
      </c>
      <c r="J413">
        <f t="shared" si="18"/>
        <v>26328.55078125</v>
      </c>
      <c r="K413">
        <f t="shared" si="19"/>
        <v>-0.1091875517146681</v>
      </c>
    </row>
    <row r="414" spans="1:11" x14ac:dyDescent="0.3">
      <c r="A414" s="2">
        <v>45615</v>
      </c>
      <c r="B414">
        <v>23518.5</v>
      </c>
      <c r="C414">
        <f t="shared" si="20"/>
        <v>-7.1688079331164827E-3</v>
      </c>
      <c r="J414">
        <f t="shared" si="18"/>
        <v>26328.55078125</v>
      </c>
      <c r="K414">
        <f t="shared" si="19"/>
        <v>-0.10673017305803212</v>
      </c>
    </row>
    <row r="415" spans="1:11" x14ac:dyDescent="0.3">
      <c r="A415" s="2">
        <v>45617</v>
      </c>
      <c r="B415">
        <v>23349.900390625</v>
      </c>
      <c r="C415">
        <f t="shared" si="20"/>
        <v>2.3869464111237762E-2</v>
      </c>
      <c r="J415">
        <f t="shared" si="18"/>
        <v>26328.55078125</v>
      </c>
      <c r="K415">
        <f t="shared" si="19"/>
        <v>-0.11313385287982736</v>
      </c>
    </row>
    <row r="416" spans="1:11" x14ac:dyDescent="0.3">
      <c r="A416" s="2">
        <v>45618</v>
      </c>
      <c r="B416">
        <v>23907.25</v>
      </c>
      <c r="C416">
        <f t="shared" si="20"/>
        <v>1.3161295867362411E-2</v>
      </c>
      <c r="J416">
        <f t="shared" si="18"/>
        <v>26328.55078125</v>
      </c>
      <c r="K416">
        <f t="shared" si="19"/>
        <v>-9.1964833209670638E-2</v>
      </c>
    </row>
    <row r="417" spans="1:11" x14ac:dyDescent="0.3">
      <c r="A417" s="2">
        <v>45621</v>
      </c>
      <c r="B417">
        <v>24221.900390625</v>
      </c>
      <c r="C417">
        <f t="shared" si="20"/>
        <v>-1.1312238174179439E-3</v>
      </c>
      <c r="J417">
        <f t="shared" si="18"/>
        <v>26328.55078125</v>
      </c>
      <c r="K417">
        <f t="shared" si="19"/>
        <v>-8.0013913721573293E-2</v>
      </c>
    </row>
    <row r="418" spans="1:11" x14ac:dyDescent="0.3">
      <c r="A418" s="2">
        <v>45622</v>
      </c>
      <c r="B418">
        <v>24194.5</v>
      </c>
      <c r="C418">
        <f t="shared" si="20"/>
        <v>3.3230854378061129E-3</v>
      </c>
      <c r="J418">
        <f t="shared" si="18"/>
        <v>26328.55078125</v>
      </c>
      <c r="K418">
        <f t="shared" si="19"/>
        <v>-8.1054623894064592E-2</v>
      </c>
    </row>
    <row r="419" spans="1:11" x14ac:dyDescent="0.3">
      <c r="A419" s="2">
        <v>45623</v>
      </c>
      <c r="B419">
        <v>24274.900390625</v>
      </c>
      <c r="C419">
        <f t="shared" si="20"/>
        <v>-1.4861029054492934E-2</v>
      </c>
      <c r="J419">
        <f t="shared" si="18"/>
        <v>26328.55078125</v>
      </c>
      <c r="K419">
        <f t="shared" si="19"/>
        <v>-7.8000889896587711E-2</v>
      </c>
    </row>
    <row r="420" spans="1:11" x14ac:dyDescent="0.3">
      <c r="A420" s="2">
        <v>45624</v>
      </c>
      <c r="B420">
        <v>23914.150390625</v>
      </c>
      <c r="C420">
        <f t="shared" si="20"/>
        <v>9.0720019405351737E-3</v>
      </c>
      <c r="J420">
        <f t="shared" si="18"/>
        <v>26328.55078125</v>
      </c>
      <c r="K420">
        <f t="shared" si="19"/>
        <v>-9.1702745460051194E-2</v>
      </c>
    </row>
    <row r="421" spans="1:11" x14ac:dyDescent="0.3">
      <c r="A421" s="2">
        <v>45625</v>
      </c>
      <c r="B421">
        <v>24131.099609375</v>
      </c>
      <c r="C421">
        <f t="shared" si="20"/>
        <v>6.0068200049485541E-3</v>
      </c>
      <c r="J421">
        <f t="shared" si="18"/>
        <v>26328.55078125</v>
      </c>
      <c r="K421">
        <f t="shared" si="19"/>
        <v>-8.3462671004281952E-2</v>
      </c>
    </row>
    <row r="422" spans="1:11" x14ac:dyDescent="0.3">
      <c r="A422" s="2">
        <v>45628</v>
      </c>
      <c r="B422">
        <v>24276.05078125</v>
      </c>
      <c r="C422">
        <f t="shared" si="20"/>
        <v>7.4600111445999777E-3</v>
      </c>
      <c r="J422">
        <f t="shared" si="18"/>
        <v>26328.55078125</v>
      </c>
      <c r="K422">
        <f t="shared" si="19"/>
        <v>-7.7957196241188353E-2</v>
      </c>
    </row>
    <row r="423" spans="1:11" x14ac:dyDescent="0.3">
      <c r="A423" s="2">
        <v>45629</v>
      </c>
      <c r="B423">
        <v>24457.150390625</v>
      </c>
      <c r="C423">
        <f t="shared" si="20"/>
        <v>4.2109681465375389E-4</v>
      </c>
      <c r="J423">
        <f t="shared" si="18"/>
        <v>26328.55078125</v>
      </c>
      <c r="K423">
        <f t="shared" si="19"/>
        <v>-7.1078746649349434E-2</v>
      </c>
    </row>
    <row r="424" spans="1:11" x14ac:dyDescent="0.3">
      <c r="A424" s="2">
        <v>45630</v>
      </c>
      <c r="B424">
        <v>24467.44921875</v>
      </c>
      <c r="C424">
        <f t="shared" si="20"/>
        <v>9.8478255628851284E-3</v>
      </c>
      <c r="J424">
        <f t="shared" si="18"/>
        <v>26328.55078125</v>
      </c>
      <c r="K424">
        <f t="shared" si="19"/>
        <v>-7.0687580868499356E-2</v>
      </c>
    </row>
    <row r="425" spans="1:11" x14ac:dyDescent="0.3">
      <c r="A425" s="2">
        <v>45631</v>
      </c>
      <c r="B425">
        <v>24708.400390625</v>
      </c>
      <c r="C425">
        <f t="shared" si="20"/>
        <v>-1.2384293961259537E-3</v>
      </c>
      <c r="J425">
        <f t="shared" si="18"/>
        <v>26328.55078125</v>
      </c>
      <c r="K425">
        <f t="shared" si="19"/>
        <v>-6.1535874271469448E-2</v>
      </c>
    </row>
    <row r="426" spans="1:11" x14ac:dyDescent="0.3">
      <c r="A426" s="2">
        <v>45632</v>
      </c>
      <c r="B426">
        <v>24677.80078125</v>
      </c>
      <c r="C426">
        <f t="shared" si="20"/>
        <v>-2.3827399277279349E-3</v>
      </c>
      <c r="J426">
        <f t="shared" si="18"/>
        <v>26328.55078125</v>
      </c>
      <c r="K426">
        <f t="shared" si="19"/>
        <v>-6.2698095831981382E-2</v>
      </c>
    </row>
    <row r="427" spans="1:11" x14ac:dyDescent="0.3">
      <c r="A427" s="2">
        <v>45635</v>
      </c>
      <c r="B427">
        <v>24619</v>
      </c>
      <c r="C427">
        <f t="shared" si="20"/>
        <v>-3.6350862138998332E-4</v>
      </c>
      <c r="J427">
        <f t="shared" si="18"/>
        <v>26328.55078125</v>
      </c>
      <c r="K427">
        <f t="shared" si="19"/>
        <v>-6.4931442503377901E-2</v>
      </c>
    </row>
    <row r="428" spans="1:11" x14ac:dyDescent="0.3">
      <c r="A428" s="2">
        <v>45636</v>
      </c>
      <c r="B428">
        <v>24610.05078125</v>
      </c>
      <c r="C428">
        <f t="shared" si="20"/>
        <v>1.2901233029632678E-3</v>
      </c>
      <c r="J428">
        <f t="shared" si="18"/>
        <v>26328.55078125</v>
      </c>
      <c r="K428">
        <f t="shared" si="19"/>
        <v>-6.5271347985618622E-2</v>
      </c>
    </row>
    <row r="429" spans="1:11" x14ac:dyDescent="0.3">
      <c r="A429" s="2">
        <v>45637</v>
      </c>
      <c r="B429">
        <v>24641.80078125</v>
      </c>
      <c r="C429">
        <f t="shared" si="20"/>
        <v>-3.778196379659119E-3</v>
      </c>
      <c r="J429">
        <f t="shared" si="18"/>
        <v>26328.55078125</v>
      </c>
      <c r="K429">
        <f t="shared" si="19"/>
        <v>-6.4065432769707442E-2</v>
      </c>
    </row>
    <row r="430" spans="1:11" x14ac:dyDescent="0.3">
      <c r="A430" s="2">
        <v>45638</v>
      </c>
      <c r="B430">
        <v>24548.69921875</v>
      </c>
      <c r="C430">
        <f t="shared" si="20"/>
        <v>8.9455478085890185E-3</v>
      </c>
      <c r="J430">
        <f t="shared" si="18"/>
        <v>26328.55078125</v>
      </c>
      <c r="K430">
        <f t="shared" si="19"/>
        <v>-6.7601577363214704E-2</v>
      </c>
    </row>
    <row r="431" spans="1:11" x14ac:dyDescent="0.3">
      <c r="A431" s="2">
        <v>45639</v>
      </c>
      <c r="B431">
        <v>24768.30078125</v>
      </c>
      <c r="C431">
        <f t="shared" si="20"/>
        <v>-4.0394689217332193E-3</v>
      </c>
      <c r="J431">
        <f t="shared" si="18"/>
        <v>26328.55078125</v>
      </c>
      <c r="K431">
        <f t="shared" si="19"/>
        <v>-5.9260762696864422E-2</v>
      </c>
    </row>
    <row r="432" spans="1:11" x14ac:dyDescent="0.3">
      <c r="A432" s="2">
        <v>45642</v>
      </c>
      <c r="B432">
        <v>24668.25</v>
      </c>
      <c r="C432">
        <f t="shared" si="20"/>
        <v>-1.3468730047733423E-2</v>
      </c>
      <c r="J432">
        <f t="shared" si="18"/>
        <v>26328.55078125</v>
      </c>
      <c r="K432">
        <f t="shared" si="19"/>
        <v>-6.3060849609405389E-2</v>
      </c>
    </row>
    <row r="433" spans="1:11" x14ac:dyDescent="0.3">
      <c r="A433" s="2">
        <v>45643</v>
      </c>
      <c r="B433">
        <v>24336</v>
      </c>
      <c r="C433">
        <f t="shared" si="20"/>
        <v>-5.6356998120069036E-3</v>
      </c>
      <c r="J433">
        <f t="shared" si="18"/>
        <v>26328.55078125</v>
      </c>
      <c r="K433">
        <f t="shared" si="19"/>
        <v>-7.5680230097169066E-2</v>
      </c>
    </row>
    <row r="434" spans="1:11" x14ac:dyDescent="0.3">
      <c r="A434" s="2">
        <v>45644</v>
      </c>
      <c r="B434">
        <v>24198.849609375</v>
      </c>
      <c r="C434">
        <f t="shared" si="20"/>
        <v>-1.0213311567061031E-2</v>
      </c>
      <c r="J434">
        <f t="shared" si="18"/>
        <v>26328.55078125</v>
      </c>
      <c r="K434">
        <f t="shared" si="19"/>
        <v>-8.0889418850644712E-2</v>
      </c>
    </row>
    <row r="435" spans="1:11" x14ac:dyDescent="0.3">
      <c r="A435" s="2">
        <v>45645</v>
      </c>
      <c r="B435">
        <v>23951.69921875</v>
      </c>
      <c r="C435">
        <f t="shared" si="20"/>
        <v>-1.5205569150805617E-2</v>
      </c>
      <c r="J435">
        <f t="shared" si="18"/>
        <v>26328.55078125</v>
      </c>
      <c r="K435">
        <f t="shared" si="19"/>
        <v>-9.0276581580505555E-2</v>
      </c>
    </row>
    <row r="436" spans="1:11" x14ac:dyDescent="0.3">
      <c r="A436" s="2">
        <v>45646</v>
      </c>
      <c r="B436">
        <v>23587.5</v>
      </c>
      <c r="C436">
        <f t="shared" si="20"/>
        <v>7.0354729729729731E-3</v>
      </c>
      <c r="J436">
        <f t="shared" si="18"/>
        <v>26328.55078125</v>
      </c>
      <c r="K436">
        <f t="shared" si="19"/>
        <v>-0.10410944392739052</v>
      </c>
    </row>
    <row r="437" spans="1:11" x14ac:dyDescent="0.3">
      <c r="A437" s="2">
        <v>45649</v>
      </c>
      <c r="B437">
        <v>23753.44921875</v>
      </c>
      <c r="C437">
        <f t="shared" si="20"/>
        <v>-1.0861087115144297E-3</v>
      </c>
      <c r="J437">
        <f t="shared" si="18"/>
        <v>26328.55078125</v>
      </c>
      <c r="K437">
        <f t="shared" si="19"/>
        <v>-9.7806430133399958E-2</v>
      </c>
    </row>
    <row r="438" spans="1:11" x14ac:dyDescent="0.3">
      <c r="A438" s="2">
        <v>45650</v>
      </c>
      <c r="B438">
        <v>23727.650390625</v>
      </c>
      <c r="C438">
        <f t="shared" si="20"/>
        <v>9.5031862631915877E-4</v>
      </c>
      <c r="J438">
        <f t="shared" si="18"/>
        <v>26328.55078125</v>
      </c>
      <c r="K438">
        <f t="shared" si="19"/>
        <v>-9.8786310429104351E-2</v>
      </c>
    </row>
    <row r="439" spans="1:11" x14ac:dyDescent="0.3">
      <c r="A439" s="2">
        <v>45652</v>
      </c>
      <c r="B439">
        <v>23750.19921875</v>
      </c>
      <c r="C439">
        <f t="shared" si="20"/>
        <v>2.6610796521279179E-3</v>
      </c>
      <c r="J439">
        <f t="shared" si="18"/>
        <v>26328.55078125</v>
      </c>
      <c r="K439">
        <f t="shared" si="19"/>
        <v>-9.792987027361133E-2</v>
      </c>
    </row>
    <row r="440" spans="1:11" x14ac:dyDescent="0.3">
      <c r="A440" s="2">
        <v>45653</v>
      </c>
      <c r="B440">
        <v>23813.400390625</v>
      </c>
      <c r="C440">
        <f t="shared" si="20"/>
        <v>-7.0758479358679106E-3</v>
      </c>
      <c r="J440">
        <f t="shared" si="18"/>
        <v>26328.55078125</v>
      </c>
      <c r="K440">
        <f t="shared" si="19"/>
        <v>-9.552938980660397E-2</v>
      </c>
    </row>
    <row r="441" spans="1:11" x14ac:dyDescent="0.3">
      <c r="A441" s="2">
        <v>45656</v>
      </c>
      <c r="B441">
        <v>23644.900390625</v>
      </c>
      <c r="C441">
        <f t="shared" si="20"/>
        <v>-4.2127212783477941E-6</v>
      </c>
      <c r="J441">
        <f t="shared" si="18"/>
        <v>26328.55078125</v>
      </c>
      <c r="K441">
        <f t="shared" si="19"/>
        <v>-0.1019292863067941</v>
      </c>
    </row>
    <row r="442" spans="1:11" x14ac:dyDescent="0.3">
      <c r="A442" s="2">
        <v>45657</v>
      </c>
      <c r="B442">
        <v>23644.80078125</v>
      </c>
      <c r="C442">
        <f t="shared" si="20"/>
        <v>4.1488871182535671E-3</v>
      </c>
      <c r="J442">
        <f t="shared" si="18"/>
        <v>26328.55078125</v>
      </c>
      <c r="K442">
        <f t="shared" si="19"/>
        <v>-0.10193306962839921</v>
      </c>
    </row>
    <row r="443" spans="1:11" x14ac:dyDescent="0.3">
      <c r="A443" s="2">
        <v>45658</v>
      </c>
      <c r="B443">
        <v>23742.900390625</v>
      </c>
      <c r="C443">
        <f t="shared" si="20"/>
        <v>1.8774033191665436E-2</v>
      </c>
      <c r="J443">
        <f t="shared" si="18"/>
        <v>26328.55078125</v>
      </c>
      <c r="K443">
        <f t="shared" si="19"/>
        <v>-9.8207091309650885E-2</v>
      </c>
    </row>
    <row r="444" spans="1:11" x14ac:dyDescent="0.3">
      <c r="A444" s="2">
        <v>45659</v>
      </c>
      <c r="B444">
        <v>24188.650390625</v>
      </c>
      <c r="C444">
        <f t="shared" si="20"/>
        <v>-7.602755327609176E-3</v>
      </c>
      <c r="J444">
        <f t="shared" si="18"/>
        <v>26328.55078125</v>
      </c>
      <c r="K444">
        <f t="shared" si="19"/>
        <v>-8.127680130988979E-2</v>
      </c>
    </row>
    <row r="445" spans="1:11" x14ac:dyDescent="0.3">
      <c r="A445" s="2">
        <v>45660</v>
      </c>
      <c r="B445">
        <v>24004.75</v>
      </c>
      <c r="C445">
        <f t="shared" si="20"/>
        <v>-1.6192595996625668E-2</v>
      </c>
      <c r="J445">
        <f t="shared" si="18"/>
        <v>26328.55078125</v>
      </c>
      <c r="K445">
        <f t="shared" si="19"/>
        <v>-8.8261629003329123E-2</v>
      </c>
    </row>
    <row r="446" spans="1:11" x14ac:dyDescent="0.3">
      <c r="A446" s="2">
        <v>45663</v>
      </c>
      <c r="B446">
        <v>23616.05078125</v>
      </c>
      <c r="C446">
        <f t="shared" si="20"/>
        <v>3.8892874268344705E-3</v>
      </c>
      <c r="J446">
        <f t="shared" si="18"/>
        <v>26328.55078125</v>
      </c>
      <c r="K446">
        <f t="shared" si="19"/>
        <v>-0.10302504009949986</v>
      </c>
    </row>
    <row r="447" spans="1:11" x14ac:dyDescent="0.3">
      <c r="A447" s="2">
        <v>45664</v>
      </c>
      <c r="B447">
        <v>23707.900390625</v>
      </c>
      <c r="C447">
        <f t="shared" si="20"/>
        <v>-7.9936103841966573E-4</v>
      </c>
      <c r="J447">
        <f t="shared" si="18"/>
        <v>26328.55078125</v>
      </c>
      <c r="K447">
        <f t="shared" si="19"/>
        <v>-9.9536446665773548E-2</v>
      </c>
    </row>
    <row r="448" spans="1:11" x14ac:dyDescent="0.3">
      <c r="A448" s="2">
        <v>45665</v>
      </c>
      <c r="B448">
        <v>23688.94921875</v>
      </c>
      <c r="C448">
        <f t="shared" si="20"/>
        <v>-6.8575949591474531E-3</v>
      </c>
      <c r="J448">
        <f t="shared" si="18"/>
        <v>26328.55078125</v>
      </c>
      <c r="K448">
        <f t="shared" si="19"/>
        <v>-0.10025624214682582</v>
      </c>
    </row>
    <row r="449" spans="1:11" x14ac:dyDescent="0.3">
      <c r="A449" s="2">
        <v>45666</v>
      </c>
      <c r="B449">
        <v>23526.5</v>
      </c>
      <c r="C449">
        <f t="shared" si="20"/>
        <v>-4.0379997024631801E-3</v>
      </c>
      <c r="J449">
        <f t="shared" si="18"/>
        <v>26328.55078125</v>
      </c>
      <c r="K449">
        <f t="shared" si="19"/>
        <v>-0.10642632040520417</v>
      </c>
    </row>
    <row r="450" spans="1:11" x14ac:dyDescent="0.3">
      <c r="A450" s="2">
        <v>45667</v>
      </c>
      <c r="B450">
        <v>23431.5</v>
      </c>
      <c r="C450">
        <f t="shared" si="20"/>
        <v>-1.4747275302477434E-2</v>
      </c>
      <c r="J450">
        <f t="shared" ref="J450:J513" si="21">MAX(B450:B1188)</f>
        <v>26328.55078125</v>
      </c>
      <c r="K450">
        <f t="shared" ref="K450:K513" si="22">B450/J450-1</f>
        <v>-0.11003457065753686</v>
      </c>
    </row>
    <row r="451" spans="1:11" x14ac:dyDescent="0.3">
      <c r="A451" s="2">
        <v>45670</v>
      </c>
      <c r="B451">
        <v>23085.94921875</v>
      </c>
      <c r="C451">
        <f t="shared" ref="C451:C514" si="23">(B452-B451)/B451</f>
        <v>3.9028744993868871E-3</v>
      </c>
      <c r="J451">
        <f t="shared" si="21"/>
        <v>26328.55078125</v>
      </c>
      <c r="K451">
        <f t="shared" si="22"/>
        <v>-0.12315913585373772</v>
      </c>
    </row>
    <row r="452" spans="1:11" x14ac:dyDescent="0.3">
      <c r="A452" s="2">
        <v>45671</v>
      </c>
      <c r="B452">
        <v>23176.05078125</v>
      </c>
      <c r="C452">
        <f t="shared" si="23"/>
        <v>1.6028803979862699E-3</v>
      </c>
      <c r="J452">
        <f t="shared" si="21"/>
        <v>26328.55078125</v>
      </c>
      <c r="K452">
        <f t="shared" si="22"/>
        <v>-0.11973693600504087</v>
      </c>
    </row>
    <row r="453" spans="1:11" x14ac:dyDescent="0.3">
      <c r="A453" s="2">
        <v>45672</v>
      </c>
      <c r="B453">
        <v>23213.19921875</v>
      </c>
      <c r="C453">
        <f t="shared" si="23"/>
        <v>4.2476507253837101E-3</v>
      </c>
      <c r="J453">
        <f t="shared" si="21"/>
        <v>26328.55078125</v>
      </c>
      <c r="K453">
        <f t="shared" si="22"/>
        <v>-0.11832597959469204</v>
      </c>
    </row>
    <row r="454" spans="1:11" x14ac:dyDescent="0.3">
      <c r="A454" s="2">
        <v>45673</v>
      </c>
      <c r="B454">
        <v>23311.80078125</v>
      </c>
      <c r="C454">
        <f t="shared" si="23"/>
        <v>-4.6586517926727362E-3</v>
      </c>
      <c r="J454">
        <f t="shared" si="21"/>
        <v>26328.55078125</v>
      </c>
      <c r="K454">
        <f t="shared" si="22"/>
        <v>-0.11458093630236543</v>
      </c>
    </row>
    <row r="455" spans="1:11" x14ac:dyDescent="0.3">
      <c r="A455" s="2">
        <v>45674</v>
      </c>
      <c r="B455">
        <v>23203.19921875</v>
      </c>
      <c r="C455">
        <f t="shared" si="23"/>
        <v>6.1004855371674738E-3</v>
      </c>
      <c r="J455">
        <f t="shared" si="21"/>
        <v>26328.55078125</v>
      </c>
      <c r="K455">
        <f t="shared" si="22"/>
        <v>-0.11870579541072701</v>
      </c>
    </row>
    <row r="456" spans="1:11" x14ac:dyDescent="0.3">
      <c r="A456" s="2">
        <v>45677</v>
      </c>
      <c r="B456">
        <v>23344.75</v>
      </c>
      <c r="C456">
        <f t="shared" si="23"/>
        <v>-1.371184567729361E-2</v>
      </c>
      <c r="J456">
        <f t="shared" si="21"/>
        <v>26328.55078125</v>
      </c>
      <c r="K456">
        <f t="shared" si="22"/>
        <v>-0.11332947286164063</v>
      </c>
    </row>
    <row r="457" spans="1:11" x14ac:dyDescent="0.3">
      <c r="A457" s="2">
        <v>45678</v>
      </c>
      <c r="B457">
        <v>23024.650390625</v>
      </c>
      <c r="C457">
        <f t="shared" si="23"/>
        <v>5.6764909144165375E-3</v>
      </c>
      <c r="J457">
        <f t="shared" si="21"/>
        <v>26328.55078125</v>
      </c>
      <c r="K457">
        <f t="shared" si="22"/>
        <v>-0.12548736229636648</v>
      </c>
    </row>
    <row r="458" spans="1:11" x14ac:dyDescent="0.3">
      <c r="A458" s="2">
        <v>45679</v>
      </c>
      <c r="B458">
        <v>23155.349609375</v>
      </c>
      <c r="C458">
        <f t="shared" si="23"/>
        <v>2.1593282262409156E-3</v>
      </c>
      <c r="J458">
        <f t="shared" si="21"/>
        <v>26328.55078125</v>
      </c>
      <c r="K458">
        <f t="shared" si="22"/>
        <v>-0.12052319925389932</v>
      </c>
    </row>
    <row r="459" spans="1:11" x14ac:dyDescent="0.3">
      <c r="A459" s="2">
        <v>45680</v>
      </c>
      <c r="B459">
        <v>23205.349609375</v>
      </c>
      <c r="C459">
        <f t="shared" si="23"/>
        <v>-4.8760476583936943E-3</v>
      </c>
      <c r="J459">
        <f t="shared" si="21"/>
        <v>26328.55078125</v>
      </c>
      <c r="K459">
        <f t="shared" si="22"/>
        <v>-0.11862412017372415</v>
      </c>
    </row>
    <row r="460" spans="1:11" x14ac:dyDescent="0.3">
      <c r="A460" s="2">
        <v>45681</v>
      </c>
      <c r="B460">
        <v>23092.19921875</v>
      </c>
      <c r="C460">
        <f t="shared" si="23"/>
        <v>-1.1391241935562993E-2</v>
      </c>
      <c r="J460">
        <f t="shared" si="21"/>
        <v>26328.55078125</v>
      </c>
      <c r="K460">
        <f t="shared" si="22"/>
        <v>-0.12292175096871583</v>
      </c>
    </row>
    <row r="461" spans="1:11" x14ac:dyDescent="0.3">
      <c r="A461" s="2">
        <v>45684</v>
      </c>
      <c r="B461">
        <v>22829.150390625</v>
      </c>
      <c r="C461">
        <f t="shared" si="23"/>
        <v>5.6112298172780566E-3</v>
      </c>
      <c r="J461">
        <f t="shared" si="21"/>
        <v>26328.55078125</v>
      </c>
      <c r="K461">
        <f t="shared" si="22"/>
        <v>-0.1329127614998511</v>
      </c>
    </row>
    <row r="462" spans="1:11" x14ac:dyDescent="0.3">
      <c r="A462" s="2">
        <v>45685</v>
      </c>
      <c r="B462">
        <v>22957.25</v>
      </c>
      <c r="C462">
        <f t="shared" si="23"/>
        <v>8.9666492883511747E-3</v>
      </c>
      <c r="J462">
        <f t="shared" si="21"/>
        <v>26328.55078125</v>
      </c>
      <c r="K462">
        <f t="shared" si="22"/>
        <v>-0.12804733573299776</v>
      </c>
    </row>
    <row r="463" spans="1:11" x14ac:dyDescent="0.3">
      <c r="A463" s="2">
        <v>45686</v>
      </c>
      <c r="B463">
        <v>23163.099609375</v>
      </c>
      <c r="C463">
        <f t="shared" si="23"/>
        <v>3.7300875997627893E-3</v>
      </c>
      <c r="J463">
        <f t="shared" si="21"/>
        <v>26328.55078125</v>
      </c>
      <c r="K463">
        <f t="shared" si="22"/>
        <v>-0.12022884199647221</v>
      </c>
    </row>
    <row r="464" spans="1:11" x14ac:dyDescent="0.3">
      <c r="A464" s="2">
        <v>45687</v>
      </c>
      <c r="B464">
        <v>23249.5</v>
      </c>
      <c r="C464">
        <f t="shared" si="23"/>
        <v>1.1135740150325814E-2</v>
      </c>
      <c r="J464">
        <f t="shared" si="21"/>
        <v>26328.55078125</v>
      </c>
      <c r="K464">
        <f t="shared" si="22"/>
        <v>-0.11694721850937428</v>
      </c>
    </row>
    <row r="465" spans="1:11" x14ac:dyDescent="0.3">
      <c r="A465" s="2">
        <v>45688</v>
      </c>
      <c r="B465">
        <v>23508.400390625</v>
      </c>
      <c r="C465">
        <f t="shared" si="23"/>
        <v>-1.1166221250199708E-3</v>
      </c>
      <c r="J465">
        <f t="shared" si="21"/>
        <v>26328.55078125</v>
      </c>
      <c r="K465">
        <f t="shared" si="22"/>
        <v>-0.1071137721956722</v>
      </c>
    </row>
    <row r="466" spans="1:11" x14ac:dyDescent="0.3">
      <c r="A466" s="2">
        <v>45689</v>
      </c>
      <c r="B466">
        <v>23482.150390625</v>
      </c>
      <c r="C466">
        <f t="shared" si="23"/>
        <v>-5.1570919766934014E-3</v>
      </c>
      <c r="J466">
        <f t="shared" si="21"/>
        <v>26328.55078125</v>
      </c>
      <c r="K466">
        <f t="shared" si="22"/>
        <v>-0.10811078871276414</v>
      </c>
    </row>
    <row r="467" spans="1:11" x14ac:dyDescent="0.3">
      <c r="A467" s="2">
        <v>45691</v>
      </c>
      <c r="B467">
        <v>23361.05078125</v>
      </c>
      <c r="C467">
        <f t="shared" si="23"/>
        <v>1.6189306820631095E-2</v>
      </c>
      <c r="J467">
        <f t="shared" si="21"/>
        <v>26328.55078125</v>
      </c>
      <c r="K467">
        <f t="shared" si="22"/>
        <v>-0.11271034340839292</v>
      </c>
    </row>
    <row r="468" spans="1:11" x14ac:dyDescent="0.3">
      <c r="A468" s="2">
        <v>45692</v>
      </c>
      <c r="B468">
        <v>23739.25</v>
      </c>
      <c r="C468">
        <f t="shared" si="23"/>
        <v>-1.8092070621439178E-3</v>
      </c>
      <c r="J468">
        <f t="shared" si="21"/>
        <v>26328.55078125</v>
      </c>
      <c r="K468">
        <f t="shared" si="22"/>
        <v>-9.8345738919059067E-2</v>
      </c>
    </row>
    <row r="469" spans="1:11" x14ac:dyDescent="0.3">
      <c r="A469" s="2">
        <v>45693</v>
      </c>
      <c r="B469">
        <v>23696.30078125</v>
      </c>
      <c r="C469">
        <f t="shared" si="23"/>
        <v>-3.9226026346082174E-3</v>
      </c>
      <c r="J469">
        <f t="shared" si="21"/>
        <v>26328.55078125</v>
      </c>
      <c r="K469">
        <f t="shared" si="22"/>
        <v>-9.9977018175818833E-2</v>
      </c>
    </row>
    <row r="470" spans="1:11" x14ac:dyDescent="0.3">
      <c r="A470" s="2">
        <v>45694</v>
      </c>
      <c r="B470">
        <v>23603.349609375</v>
      </c>
      <c r="C470">
        <f t="shared" si="23"/>
        <v>-1.8387386257991884E-3</v>
      </c>
      <c r="J470">
        <f t="shared" si="21"/>
        <v>26328.55078125</v>
      </c>
      <c r="K470">
        <f t="shared" si="22"/>
        <v>-0.10350745069553025</v>
      </c>
    </row>
    <row r="471" spans="1:11" x14ac:dyDescent="0.3">
      <c r="A471" s="2">
        <v>45695</v>
      </c>
      <c r="B471">
        <v>23559.94921875</v>
      </c>
      <c r="C471">
        <f t="shared" si="23"/>
        <v>-7.5700336923078711E-3</v>
      </c>
      <c r="J471">
        <f t="shared" si="21"/>
        <v>26328.55078125</v>
      </c>
      <c r="K471">
        <f t="shared" si="22"/>
        <v>-0.10515586617367756</v>
      </c>
    </row>
    <row r="472" spans="1:11" x14ac:dyDescent="0.3">
      <c r="A472" s="2">
        <v>45698</v>
      </c>
      <c r="B472">
        <v>23381.599609375</v>
      </c>
      <c r="C472">
        <f t="shared" si="23"/>
        <v>-1.3249684936046216E-2</v>
      </c>
      <c r="J472">
        <f t="shared" si="21"/>
        <v>26328.55078125</v>
      </c>
      <c r="K472">
        <f t="shared" si="22"/>
        <v>-0.11192986641610692</v>
      </c>
    </row>
    <row r="473" spans="1:11" x14ac:dyDescent="0.3">
      <c r="A473" s="2">
        <v>45699</v>
      </c>
      <c r="B473">
        <v>23071.80078125</v>
      </c>
      <c r="C473">
        <f t="shared" si="23"/>
        <v>-1.1507892904301298E-3</v>
      </c>
      <c r="J473">
        <f t="shared" si="21"/>
        <v>26328.55078125</v>
      </c>
      <c r="K473">
        <f t="shared" si="22"/>
        <v>-0.12369651588720598</v>
      </c>
    </row>
    <row r="474" spans="1:11" x14ac:dyDescent="0.3">
      <c r="A474" s="2">
        <v>45700</v>
      </c>
      <c r="B474">
        <v>23045.25</v>
      </c>
      <c r="C474">
        <f t="shared" si="23"/>
        <v>-6.0097457719052736E-4</v>
      </c>
      <c r="J474">
        <f t="shared" si="21"/>
        <v>26328.55078125</v>
      </c>
      <c r="K474">
        <f t="shared" si="22"/>
        <v>-0.12470495655188962</v>
      </c>
    </row>
    <row r="475" spans="1:11" x14ac:dyDescent="0.3">
      <c r="A475" s="2">
        <v>45701</v>
      </c>
      <c r="B475">
        <v>23031.400390625</v>
      </c>
      <c r="C475">
        <f t="shared" si="23"/>
        <v>-4.4352661537064254E-3</v>
      </c>
      <c r="J475">
        <f t="shared" si="21"/>
        <v>26328.55078125</v>
      </c>
      <c r="K475">
        <f t="shared" si="22"/>
        <v>-0.12523098662054277</v>
      </c>
    </row>
    <row r="476" spans="1:11" x14ac:dyDescent="0.3">
      <c r="A476" s="2">
        <v>45702</v>
      </c>
      <c r="B476">
        <v>22929.25</v>
      </c>
      <c r="C476">
        <f t="shared" si="23"/>
        <v>1.3192755977626831E-3</v>
      </c>
      <c r="J476">
        <f t="shared" si="21"/>
        <v>26328.55078125</v>
      </c>
      <c r="K476">
        <f t="shared" si="22"/>
        <v>-0.12911082001789587</v>
      </c>
    </row>
    <row r="477" spans="1:11" x14ac:dyDescent="0.3">
      <c r="A477" s="2">
        <v>45705</v>
      </c>
      <c r="B477">
        <v>22959.5</v>
      </c>
      <c r="C477">
        <f t="shared" si="23"/>
        <v>-6.1844634029486708E-4</v>
      </c>
      <c r="J477">
        <f t="shared" si="21"/>
        <v>26328.55078125</v>
      </c>
      <c r="K477">
        <f t="shared" si="22"/>
        <v>-0.12796187717438989</v>
      </c>
    </row>
    <row r="478" spans="1:11" x14ac:dyDescent="0.3">
      <c r="A478" s="2">
        <v>45706</v>
      </c>
      <c r="B478">
        <v>22945.30078125</v>
      </c>
      <c r="C478">
        <f t="shared" si="23"/>
        <v>-5.4043269004052947E-4</v>
      </c>
      <c r="J478">
        <f t="shared" si="21"/>
        <v>26328.55078125</v>
      </c>
      <c r="K478">
        <f t="shared" si="22"/>
        <v>-0.128501185960049</v>
      </c>
    </row>
    <row r="479" spans="1:11" x14ac:dyDescent="0.3">
      <c r="A479" s="2">
        <v>45707</v>
      </c>
      <c r="B479">
        <v>22932.900390625</v>
      </c>
      <c r="C479">
        <f t="shared" si="23"/>
        <v>-8.6120811862392364E-4</v>
      </c>
      <c r="J479">
        <f t="shared" si="21"/>
        <v>26328.55078125</v>
      </c>
      <c r="K479">
        <f t="shared" si="22"/>
        <v>-0.1289721724084878</v>
      </c>
    </row>
    <row r="480" spans="1:11" x14ac:dyDescent="0.3">
      <c r="A480" s="2">
        <v>45708</v>
      </c>
      <c r="B480">
        <v>22913.150390625</v>
      </c>
      <c r="C480">
        <f t="shared" si="23"/>
        <v>-5.1171487988824647E-3</v>
      </c>
      <c r="J480">
        <f t="shared" si="21"/>
        <v>26328.55078125</v>
      </c>
      <c r="K480">
        <f t="shared" si="22"/>
        <v>-0.12972230864515688</v>
      </c>
    </row>
    <row r="481" spans="1:11" x14ac:dyDescent="0.3">
      <c r="A481" s="2">
        <v>45709</v>
      </c>
      <c r="B481">
        <v>22795.900390625</v>
      </c>
      <c r="C481">
        <f t="shared" si="23"/>
        <v>-1.0640105330068515E-2</v>
      </c>
      <c r="J481">
        <f t="shared" si="21"/>
        <v>26328.55078125</v>
      </c>
      <c r="K481">
        <f t="shared" si="22"/>
        <v>-0.13417564908816759</v>
      </c>
    </row>
    <row r="482" spans="1:11" x14ac:dyDescent="0.3">
      <c r="A482" s="2">
        <v>45712</v>
      </c>
      <c r="B482">
        <v>22553.349609375</v>
      </c>
      <c r="C482">
        <f t="shared" si="23"/>
        <v>-2.5711604818955748E-4</v>
      </c>
      <c r="J482">
        <f t="shared" si="21"/>
        <v>26328.55078125</v>
      </c>
      <c r="K482">
        <f t="shared" si="22"/>
        <v>-0.14338811137920771</v>
      </c>
    </row>
    <row r="483" spans="1:11" x14ac:dyDescent="0.3">
      <c r="A483" s="2">
        <v>45713</v>
      </c>
      <c r="B483">
        <v>22547.55078125</v>
      </c>
      <c r="C483">
        <f t="shared" si="23"/>
        <v>-1.1087678764998901E-4</v>
      </c>
      <c r="J483">
        <f t="shared" si="21"/>
        <v>26328.55078125</v>
      </c>
      <c r="K483">
        <f t="shared" si="22"/>
        <v>-0.14360836004284205</v>
      </c>
    </row>
    <row r="484" spans="1:11" x14ac:dyDescent="0.3">
      <c r="A484" s="2">
        <v>45715</v>
      </c>
      <c r="B484">
        <v>22545.05078125</v>
      </c>
      <c r="C484">
        <f t="shared" si="23"/>
        <v>-1.8644959666695139E-2</v>
      </c>
      <c r="J484">
        <f t="shared" si="21"/>
        <v>26328.55078125</v>
      </c>
      <c r="K484">
        <f t="shared" si="22"/>
        <v>-0.14370331399685077</v>
      </c>
    </row>
    <row r="485" spans="1:11" x14ac:dyDescent="0.3">
      <c r="A485" s="2">
        <v>45716</v>
      </c>
      <c r="B485">
        <v>22124.69921875</v>
      </c>
      <c r="C485">
        <f t="shared" si="23"/>
        <v>-2.4400049223833022E-4</v>
      </c>
      <c r="J485">
        <f t="shared" si="21"/>
        <v>26328.55078125</v>
      </c>
      <c r="K485">
        <f t="shared" si="22"/>
        <v>-0.15966893117010417</v>
      </c>
    </row>
    <row r="486" spans="1:11" x14ac:dyDescent="0.3">
      <c r="A486" s="2">
        <v>45719</v>
      </c>
      <c r="B486">
        <v>22119.30078125</v>
      </c>
      <c r="C486">
        <f t="shared" si="23"/>
        <v>-1.6569416451024373E-3</v>
      </c>
      <c r="J486">
        <f t="shared" si="21"/>
        <v>26328.55078125</v>
      </c>
      <c r="K486">
        <f t="shared" si="22"/>
        <v>-0.15987397236454193</v>
      </c>
    </row>
    <row r="487" spans="1:11" x14ac:dyDescent="0.3">
      <c r="A487" s="2">
        <v>45720</v>
      </c>
      <c r="B487">
        <v>22082.650390625</v>
      </c>
      <c r="C487">
        <f t="shared" si="23"/>
        <v>1.153169506922546E-2</v>
      </c>
      <c r="J487">
        <f t="shared" si="21"/>
        <v>26328.55078125</v>
      </c>
      <c r="K487">
        <f t="shared" si="22"/>
        <v>-0.16126601216686554</v>
      </c>
    </row>
    <row r="488" spans="1:11" x14ac:dyDescent="0.3">
      <c r="A488" s="2">
        <v>45721</v>
      </c>
      <c r="B488">
        <v>22337.30078125</v>
      </c>
      <c r="C488">
        <f t="shared" si="23"/>
        <v>9.2848477768670643E-3</v>
      </c>
      <c r="J488">
        <f t="shared" si="21"/>
        <v>26328.55078125</v>
      </c>
      <c r="K488">
        <f t="shared" si="22"/>
        <v>-0.15159398757497844</v>
      </c>
    </row>
    <row r="489" spans="1:11" x14ac:dyDescent="0.3">
      <c r="A489" s="2">
        <v>45722</v>
      </c>
      <c r="B489">
        <v>22544.69921875</v>
      </c>
      <c r="C489">
        <f t="shared" si="23"/>
        <v>3.4601398645018238E-4</v>
      </c>
      <c r="J489">
        <f t="shared" si="21"/>
        <v>26328.55078125</v>
      </c>
      <c r="K489">
        <f t="shared" si="22"/>
        <v>-0.14371666689663332</v>
      </c>
    </row>
    <row r="490" spans="1:11" x14ac:dyDescent="0.3">
      <c r="A490" s="2">
        <v>45723</v>
      </c>
      <c r="B490">
        <v>22552.5</v>
      </c>
      <c r="C490">
        <f t="shared" si="23"/>
        <v>-4.0882039130916746E-3</v>
      </c>
      <c r="J490">
        <f t="shared" si="21"/>
        <v>26328.55078125</v>
      </c>
      <c r="K490">
        <f t="shared" si="22"/>
        <v>-0.14342038088701536</v>
      </c>
    </row>
    <row r="491" spans="1:11" x14ac:dyDescent="0.3">
      <c r="A491" s="2">
        <v>45726</v>
      </c>
      <c r="B491">
        <v>22460.30078125</v>
      </c>
      <c r="C491">
        <f t="shared" si="23"/>
        <v>1.6740474556061328E-3</v>
      </c>
      <c r="J491">
        <f t="shared" si="21"/>
        <v>26328.55078125</v>
      </c>
      <c r="K491">
        <f t="shared" si="22"/>
        <v>-0.14692225303774764</v>
      </c>
    </row>
    <row r="492" spans="1:11" x14ac:dyDescent="0.3">
      <c r="A492" s="2">
        <v>45727</v>
      </c>
      <c r="B492">
        <v>22497.900390625</v>
      </c>
      <c r="C492">
        <f t="shared" si="23"/>
        <v>-1.217908789231634E-3</v>
      </c>
      <c r="J492">
        <f t="shared" si="21"/>
        <v>26328.55078125</v>
      </c>
      <c r="K492">
        <f t="shared" si="22"/>
        <v>-0.14549416040601126</v>
      </c>
    </row>
    <row r="493" spans="1:11" x14ac:dyDescent="0.3">
      <c r="A493" s="2">
        <v>45728</v>
      </c>
      <c r="B493">
        <v>22470.5</v>
      </c>
      <c r="C493">
        <f t="shared" si="23"/>
        <v>-3.2620894617387242E-3</v>
      </c>
      <c r="J493">
        <f t="shared" si="21"/>
        <v>26328.55078125</v>
      </c>
      <c r="K493">
        <f t="shared" si="22"/>
        <v>-0.14653487057850256</v>
      </c>
    </row>
    <row r="494" spans="1:11" x14ac:dyDescent="0.3">
      <c r="A494" s="2">
        <v>45729</v>
      </c>
      <c r="B494">
        <v>22397.19921875</v>
      </c>
      <c r="C494">
        <f t="shared" si="23"/>
        <v>4.9805683362683286E-3</v>
      </c>
      <c r="J494">
        <f t="shared" si="21"/>
        <v>26328.55078125</v>
      </c>
      <c r="K494">
        <f t="shared" si="22"/>
        <v>-0.14931895018314989</v>
      </c>
    </row>
    <row r="495" spans="1:11" x14ac:dyDescent="0.3">
      <c r="A495" s="2">
        <v>45733</v>
      </c>
      <c r="B495">
        <v>22508.75</v>
      </c>
      <c r="C495">
        <f t="shared" si="23"/>
        <v>1.4463298994835342E-2</v>
      </c>
      <c r="J495">
        <f t="shared" si="21"/>
        <v>26328.55078125</v>
      </c>
      <c r="K495">
        <f t="shared" si="22"/>
        <v>-0.14508207508216853</v>
      </c>
    </row>
    <row r="496" spans="1:11" x14ac:dyDescent="0.3">
      <c r="A496" s="2">
        <v>45734</v>
      </c>
      <c r="B496">
        <v>22834.30078125</v>
      </c>
      <c r="C496">
        <f t="shared" si="23"/>
        <v>3.2100316461272198E-3</v>
      </c>
      <c r="J496">
        <f t="shared" si="21"/>
        <v>26328.55078125</v>
      </c>
      <c r="K496">
        <f t="shared" si="22"/>
        <v>-0.13271714151803782</v>
      </c>
    </row>
    <row r="497" spans="1:11" x14ac:dyDescent="0.3">
      <c r="A497" s="2">
        <v>45735</v>
      </c>
      <c r="B497">
        <v>22907.599609375</v>
      </c>
      <c r="C497">
        <f t="shared" si="23"/>
        <v>1.2356195589090036E-2</v>
      </c>
      <c r="J497">
        <f t="shared" si="21"/>
        <v>26328.55078125</v>
      </c>
      <c r="K497">
        <f t="shared" si="22"/>
        <v>-0.12993313609616697</v>
      </c>
    </row>
    <row r="498" spans="1:11" x14ac:dyDescent="0.3">
      <c r="A498" s="2">
        <v>45736</v>
      </c>
      <c r="B498">
        <v>23190.650390625</v>
      </c>
      <c r="C498">
        <f t="shared" si="23"/>
        <v>6.8885519512889631E-3</v>
      </c>
      <c r="J498">
        <f t="shared" si="21"/>
        <v>26328.55078125</v>
      </c>
      <c r="K498">
        <f t="shared" si="22"/>
        <v>-0.11918241975018506</v>
      </c>
    </row>
    <row r="499" spans="1:11" x14ac:dyDescent="0.3">
      <c r="A499" s="2">
        <v>45737</v>
      </c>
      <c r="B499">
        <v>23350.400390625</v>
      </c>
      <c r="C499">
        <f t="shared" si="23"/>
        <v>1.3188177230298765E-2</v>
      </c>
      <c r="J499">
        <f t="shared" si="21"/>
        <v>26328.55078125</v>
      </c>
      <c r="K499">
        <f t="shared" si="22"/>
        <v>-0.11311486208902555</v>
      </c>
    </row>
    <row r="500" spans="1:11" x14ac:dyDescent="0.3">
      <c r="A500" s="2">
        <v>45740</v>
      </c>
      <c r="B500">
        <v>23658.349609375</v>
      </c>
      <c r="C500">
        <f t="shared" si="23"/>
        <v>4.3539728764165997E-4</v>
      </c>
      <c r="J500">
        <f t="shared" si="21"/>
        <v>26328.55078125</v>
      </c>
      <c r="K500">
        <f t="shared" si="22"/>
        <v>-0.10141846370733765</v>
      </c>
    </row>
    <row r="501" spans="1:11" x14ac:dyDescent="0.3">
      <c r="A501" s="2">
        <v>45741</v>
      </c>
      <c r="B501">
        <v>23668.650390625</v>
      </c>
      <c r="C501">
        <f t="shared" si="23"/>
        <v>-7.6810793285454976E-3</v>
      </c>
      <c r="J501">
        <f t="shared" si="21"/>
        <v>26328.55078125</v>
      </c>
      <c r="K501">
        <f t="shared" si="22"/>
        <v>-0.10102722374371098</v>
      </c>
    </row>
    <row r="502" spans="1:11" x14ac:dyDescent="0.3">
      <c r="A502" s="2">
        <v>45742</v>
      </c>
      <c r="B502">
        <v>23486.849609375</v>
      </c>
      <c r="C502">
        <f t="shared" si="23"/>
        <v>4.4748278770026483E-3</v>
      </c>
      <c r="J502">
        <f t="shared" si="21"/>
        <v>26328.55078125</v>
      </c>
      <c r="K502">
        <f t="shared" si="22"/>
        <v>-0.1079323049523383</v>
      </c>
    </row>
    <row r="503" spans="1:11" x14ac:dyDescent="0.3">
      <c r="A503" s="2">
        <v>45743</v>
      </c>
      <c r="B503">
        <v>23591.94921875</v>
      </c>
      <c r="C503">
        <f t="shared" si="23"/>
        <v>-3.0773044101544836E-3</v>
      </c>
      <c r="J503">
        <f t="shared" si="21"/>
        <v>26328.55078125</v>
      </c>
      <c r="K503">
        <f t="shared" si="22"/>
        <v>-0.10394045556236553</v>
      </c>
    </row>
    <row r="504" spans="1:11" x14ac:dyDescent="0.3">
      <c r="A504" s="2">
        <v>45744</v>
      </c>
      <c r="B504">
        <v>23519.349609375</v>
      </c>
      <c r="C504">
        <f t="shared" si="23"/>
        <v>-1.5036571865236959E-2</v>
      </c>
      <c r="J504">
        <f t="shared" si="21"/>
        <v>26328.55078125</v>
      </c>
      <c r="K504">
        <f t="shared" si="22"/>
        <v>-0.10669790355022446</v>
      </c>
    </row>
    <row r="505" spans="1:11" x14ac:dyDescent="0.3">
      <c r="A505" s="2">
        <v>45748</v>
      </c>
      <c r="B505">
        <v>23165.69921875</v>
      </c>
      <c r="C505">
        <f t="shared" si="23"/>
        <v>7.1938424586863083E-3</v>
      </c>
      <c r="J505">
        <f t="shared" si="21"/>
        <v>26328.55078125</v>
      </c>
      <c r="K505">
        <f t="shared" si="22"/>
        <v>-0.12013010472085839</v>
      </c>
    </row>
    <row r="506" spans="1:11" x14ac:dyDescent="0.3">
      <c r="A506" s="2">
        <v>45749</v>
      </c>
      <c r="B506">
        <v>23332.349609375</v>
      </c>
      <c r="C506">
        <f t="shared" si="23"/>
        <v>-3.5251486188494162E-3</v>
      </c>
      <c r="J506">
        <f t="shared" si="21"/>
        <v>26328.55078125</v>
      </c>
      <c r="K506">
        <f t="shared" si="22"/>
        <v>-0.11380045931007943</v>
      </c>
    </row>
    <row r="507" spans="1:11" x14ac:dyDescent="0.3">
      <c r="A507" s="2">
        <v>45750</v>
      </c>
      <c r="B507">
        <v>23250.099609375</v>
      </c>
      <c r="C507">
        <f t="shared" si="23"/>
        <v>-1.4866619775066488E-2</v>
      </c>
      <c r="J507">
        <f t="shared" si="21"/>
        <v>26328.55078125</v>
      </c>
      <c r="K507">
        <f t="shared" si="22"/>
        <v>-0.11692444439696748</v>
      </c>
    </row>
    <row r="508" spans="1:11" x14ac:dyDescent="0.3">
      <c r="A508" s="2">
        <v>45751</v>
      </c>
      <c r="B508">
        <v>22904.44921875</v>
      </c>
      <c r="C508">
        <f t="shared" si="23"/>
        <v>-3.2432546283055336E-2</v>
      </c>
      <c r="J508">
        <f t="shared" si="21"/>
        <v>26328.55078125</v>
      </c>
      <c r="K508">
        <f t="shared" si="22"/>
        <v>-0.13005279291477334</v>
      </c>
    </row>
    <row r="509" spans="1:11" x14ac:dyDescent="0.3">
      <c r="A509" s="2">
        <v>45754</v>
      </c>
      <c r="B509">
        <v>22161.599609375</v>
      </c>
      <c r="C509">
        <f t="shared" si="23"/>
        <v>1.688731890281428E-2</v>
      </c>
      <c r="J509">
        <f t="shared" si="21"/>
        <v>26328.55078125</v>
      </c>
      <c r="K509">
        <f t="shared" si="22"/>
        <v>-0.15826739597237971</v>
      </c>
    </row>
    <row r="510" spans="1:11" x14ac:dyDescent="0.3">
      <c r="A510" s="2">
        <v>45755</v>
      </c>
      <c r="B510">
        <v>22535.849609375</v>
      </c>
      <c r="C510">
        <f t="shared" si="23"/>
        <v>-6.0658560080704745E-3</v>
      </c>
      <c r="J510">
        <f t="shared" si="21"/>
        <v>26328.55078125</v>
      </c>
      <c r="K510">
        <f t="shared" si="22"/>
        <v>-0.14405278905726893</v>
      </c>
    </row>
    <row r="511" spans="1:11" x14ac:dyDescent="0.3">
      <c r="A511" s="2">
        <v>45756</v>
      </c>
      <c r="B511">
        <v>22399.150390625</v>
      </c>
      <c r="C511">
        <f t="shared" si="23"/>
        <v>1.9170387409190411E-2</v>
      </c>
      <c r="J511">
        <f t="shared" si="21"/>
        <v>26328.55078125</v>
      </c>
      <c r="K511">
        <f t="shared" si="22"/>
        <v>-0.14924484158935714</v>
      </c>
    </row>
    <row r="512" spans="1:11" x14ac:dyDescent="0.3">
      <c r="A512" s="2">
        <v>45758</v>
      </c>
      <c r="B512">
        <v>22828.55078125</v>
      </c>
      <c r="C512">
        <f t="shared" si="23"/>
        <v>2.1902397782108445E-2</v>
      </c>
      <c r="J512">
        <f t="shared" si="21"/>
        <v>26328.55078125</v>
      </c>
      <c r="K512">
        <f t="shared" si="22"/>
        <v>-0.1329355356122579</v>
      </c>
    </row>
    <row r="513" spans="1:11" x14ac:dyDescent="0.3">
      <c r="A513" s="2">
        <v>45762</v>
      </c>
      <c r="B513">
        <v>23328.55078125</v>
      </c>
      <c r="C513">
        <f t="shared" si="23"/>
        <v>4.657316201027141E-3</v>
      </c>
      <c r="J513">
        <f t="shared" si="21"/>
        <v>26328.55078125</v>
      </c>
      <c r="K513">
        <f t="shared" si="22"/>
        <v>-0.11394474481050676</v>
      </c>
    </row>
    <row r="514" spans="1:11" x14ac:dyDescent="0.3">
      <c r="A514" s="2">
        <v>45763</v>
      </c>
      <c r="B514">
        <v>23437.19921875</v>
      </c>
      <c r="C514">
        <f t="shared" si="23"/>
        <v>1.7683476937954037E-2</v>
      </c>
      <c r="J514">
        <f t="shared" ref="J514:J577" si="24">MAX(B514:B1252)</f>
        <v>26328.55078125</v>
      </c>
      <c r="K514">
        <f t="shared" ref="K514:K577" si="25">B514/J514-1</f>
        <v>-0.10981810531550751</v>
      </c>
    </row>
    <row r="515" spans="1:11" x14ac:dyDescent="0.3">
      <c r="A515" s="2">
        <v>45764</v>
      </c>
      <c r="B515">
        <v>23851.650390625</v>
      </c>
      <c r="C515">
        <f t="shared" ref="C515:C578" si="26">(B516-B515)/B515</f>
        <v>1.1483498464016469E-2</v>
      </c>
      <c r="J515">
        <f t="shared" si="24"/>
        <v>26328.55078125</v>
      </c>
      <c r="K515">
        <f t="shared" si="25"/>
        <v>-9.4076594310270045E-2</v>
      </c>
    </row>
    <row r="516" spans="1:11" x14ac:dyDescent="0.3">
      <c r="A516" s="2">
        <v>45768</v>
      </c>
      <c r="B516">
        <v>24125.55078125</v>
      </c>
      <c r="C516">
        <f t="shared" si="26"/>
        <v>1.728425565413743E-3</v>
      </c>
      <c r="J516">
        <f t="shared" si="24"/>
        <v>26328.55078125</v>
      </c>
      <c r="K516">
        <f t="shared" si="25"/>
        <v>-8.3673424272515451E-2</v>
      </c>
    </row>
    <row r="517" spans="1:11" x14ac:dyDescent="0.3">
      <c r="A517" s="2">
        <v>45769</v>
      </c>
      <c r="B517">
        <v>24167.25</v>
      </c>
      <c r="C517">
        <f t="shared" si="26"/>
        <v>6.6908406521221904E-3</v>
      </c>
      <c r="J517">
        <f t="shared" si="24"/>
        <v>26328.55078125</v>
      </c>
      <c r="K517">
        <f t="shared" si="25"/>
        <v>-8.2089621992760042E-2</v>
      </c>
    </row>
    <row r="518" spans="1:11" x14ac:dyDescent="0.3">
      <c r="A518" s="2">
        <v>45770</v>
      </c>
      <c r="B518">
        <v>24328.94921875</v>
      </c>
      <c r="C518">
        <f t="shared" si="26"/>
        <v>-3.3807460922566689E-3</v>
      </c>
      <c r="J518">
        <f t="shared" si="24"/>
        <v>26328.55078125</v>
      </c>
      <c r="K518">
        <f t="shared" si="25"/>
        <v>-7.5948029920584359E-2</v>
      </c>
    </row>
    <row r="519" spans="1:11" x14ac:dyDescent="0.3">
      <c r="A519" s="2">
        <v>45771</v>
      </c>
      <c r="B519">
        <v>24246.69921875</v>
      </c>
      <c r="C519">
        <f t="shared" si="26"/>
        <v>-8.5516633626838701E-3</v>
      </c>
      <c r="J519">
        <f t="shared" si="24"/>
        <v>26328.55078125</v>
      </c>
      <c r="K519">
        <f t="shared" si="25"/>
        <v>-7.9072015007472407E-2</v>
      </c>
    </row>
    <row r="520" spans="1:11" x14ac:dyDescent="0.3">
      <c r="A520" s="2">
        <v>45772</v>
      </c>
      <c r="B520">
        <v>24039.349609375</v>
      </c>
      <c r="C520">
        <f t="shared" si="26"/>
        <v>1.2028211882747256E-2</v>
      </c>
      <c r="J520">
        <f t="shared" si="24"/>
        <v>26328.55078125</v>
      </c>
      <c r="K520">
        <f t="shared" si="25"/>
        <v>-8.6947481116403269E-2</v>
      </c>
    </row>
    <row r="521" spans="1:11" x14ac:dyDescent="0.3">
      <c r="A521" s="2">
        <v>45775</v>
      </c>
      <c r="B521">
        <v>24328.5</v>
      </c>
      <c r="C521">
        <f t="shared" si="26"/>
        <v>3.0619309657397702E-4</v>
      </c>
      <c r="J521">
        <f t="shared" si="24"/>
        <v>26328.55078125</v>
      </c>
      <c r="K521">
        <f t="shared" si="25"/>
        <v>-7.5965091959195319E-2</v>
      </c>
    </row>
    <row r="522" spans="1:11" x14ac:dyDescent="0.3">
      <c r="A522" s="2">
        <v>45776</v>
      </c>
      <c r="B522">
        <v>24335.94921875</v>
      </c>
      <c r="C522">
        <f t="shared" si="26"/>
        <v>-7.1910077731904783E-5</v>
      </c>
      <c r="J522">
        <f t="shared" si="24"/>
        <v>26328.55078125</v>
      </c>
      <c r="K522">
        <f t="shared" si="25"/>
        <v>-7.5682158849359804E-2</v>
      </c>
    </row>
    <row r="523" spans="1:11" x14ac:dyDescent="0.3">
      <c r="A523" s="2">
        <v>45777</v>
      </c>
      <c r="B523">
        <v>24334.19921875</v>
      </c>
      <c r="C523">
        <f t="shared" si="26"/>
        <v>5.1368035116473008E-4</v>
      </c>
      <c r="J523">
        <f t="shared" si="24"/>
        <v>26328.55078125</v>
      </c>
      <c r="K523">
        <f t="shared" si="25"/>
        <v>-7.5748626617165971E-2</v>
      </c>
    </row>
    <row r="524" spans="1:11" x14ac:dyDescent="0.3">
      <c r="A524" s="2">
        <v>45779</v>
      </c>
      <c r="B524">
        <v>24346.69921875</v>
      </c>
      <c r="C524">
        <f t="shared" si="26"/>
        <v>4.700890697612853E-3</v>
      </c>
      <c r="J524">
        <f t="shared" si="24"/>
        <v>26328.55078125</v>
      </c>
      <c r="K524">
        <f t="shared" si="25"/>
        <v>-7.5273856847122178E-2</v>
      </c>
    </row>
    <row r="525" spans="1:11" x14ac:dyDescent="0.3">
      <c r="A525" s="2">
        <v>45782</v>
      </c>
      <c r="B525">
        <v>24461.150390625</v>
      </c>
      <c r="C525">
        <f t="shared" si="26"/>
        <v>-3.3338898599493184E-3</v>
      </c>
      <c r="J525">
        <f t="shared" si="24"/>
        <v>26328.55078125</v>
      </c>
      <c r="K525">
        <f t="shared" si="25"/>
        <v>-7.0926820322935402E-2</v>
      </c>
    </row>
    <row r="526" spans="1:11" x14ac:dyDescent="0.3">
      <c r="A526" s="2">
        <v>45783</v>
      </c>
      <c r="B526">
        <v>24379.599609375</v>
      </c>
      <c r="C526">
        <f t="shared" si="26"/>
        <v>1.4274549954716078E-3</v>
      </c>
      <c r="J526">
        <f t="shared" si="24"/>
        <v>26328.55078125</v>
      </c>
      <c r="K526">
        <f t="shared" si="25"/>
        <v>-7.4024247975811641E-2</v>
      </c>
    </row>
    <row r="527" spans="1:11" x14ac:dyDescent="0.3">
      <c r="A527" s="2">
        <v>45784</v>
      </c>
      <c r="B527">
        <v>24414.400390625</v>
      </c>
      <c r="C527">
        <f t="shared" si="26"/>
        <v>-5.7588802970966885E-3</v>
      </c>
      <c r="J527">
        <f t="shared" si="24"/>
        <v>26328.55078125</v>
      </c>
      <c r="K527">
        <f t="shared" si="25"/>
        <v>-7.2702459262899199E-2</v>
      </c>
    </row>
    <row r="528" spans="1:11" x14ac:dyDescent="0.3">
      <c r="A528" s="2">
        <v>45785</v>
      </c>
      <c r="B528">
        <v>24273.80078125</v>
      </c>
      <c r="C528">
        <f t="shared" si="26"/>
        <v>-1.0950109694206379E-2</v>
      </c>
      <c r="J528">
        <f t="shared" si="24"/>
        <v>26328.55078125</v>
      </c>
      <c r="K528">
        <f t="shared" si="25"/>
        <v>-7.8042654799796218E-2</v>
      </c>
    </row>
    <row r="529" spans="1:11" x14ac:dyDescent="0.3">
      <c r="A529" s="2">
        <v>45786</v>
      </c>
      <c r="B529">
        <v>24008</v>
      </c>
      <c r="C529">
        <f t="shared" si="26"/>
        <v>3.8183073090219927E-2</v>
      </c>
      <c r="J529">
        <f t="shared" si="24"/>
        <v>26328.55078125</v>
      </c>
      <c r="K529">
        <f t="shared" si="25"/>
        <v>-8.813818886311775E-2</v>
      </c>
    </row>
    <row r="530" spans="1:11" x14ac:dyDescent="0.3">
      <c r="A530" s="2">
        <v>45789</v>
      </c>
      <c r="B530">
        <v>24924.69921875</v>
      </c>
      <c r="C530">
        <f t="shared" si="26"/>
        <v>-1.389583907654352E-2</v>
      </c>
      <c r="J530">
        <f t="shared" si="24"/>
        <v>26328.55078125</v>
      </c>
      <c r="K530">
        <f t="shared" si="25"/>
        <v>-5.3320502680297865E-2</v>
      </c>
    </row>
    <row r="531" spans="1:11" x14ac:dyDescent="0.3">
      <c r="A531" s="2">
        <v>45790</v>
      </c>
      <c r="B531">
        <v>24578.349609375</v>
      </c>
      <c r="C531">
        <f t="shared" si="26"/>
        <v>3.6027960647212775E-3</v>
      </c>
      <c r="J531">
        <f t="shared" si="24"/>
        <v>26328.55078125</v>
      </c>
      <c r="K531">
        <f t="shared" si="25"/>
        <v>-6.647540863211554E-2</v>
      </c>
    </row>
    <row r="532" spans="1:11" x14ac:dyDescent="0.3">
      <c r="A532" s="2">
        <v>45791</v>
      </c>
      <c r="B532">
        <v>24666.900390625</v>
      </c>
      <c r="C532">
        <f t="shared" si="26"/>
        <v>1.6021438141461865E-2</v>
      </c>
      <c r="J532">
        <f t="shared" si="24"/>
        <v>26328.55078125</v>
      </c>
      <c r="K532">
        <f t="shared" si="25"/>
        <v>-6.3112109908014857E-2</v>
      </c>
    </row>
    <row r="533" spans="1:11" x14ac:dyDescent="0.3">
      <c r="A533" s="2">
        <v>45792</v>
      </c>
      <c r="B533">
        <v>25062.099609375</v>
      </c>
      <c r="C533">
        <f t="shared" si="26"/>
        <v>-1.6877607536591724E-3</v>
      </c>
      <c r="J533">
        <f t="shared" si="24"/>
        <v>26328.55078125</v>
      </c>
      <c r="K533">
        <f t="shared" si="25"/>
        <v>-4.810181853142137E-2</v>
      </c>
    </row>
    <row r="534" spans="1:11" x14ac:dyDescent="0.3">
      <c r="A534" s="2">
        <v>45793</v>
      </c>
      <c r="B534">
        <v>25019.80078125</v>
      </c>
      <c r="C534">
        <f t="shared" si="26"/>
        <v>-2.9717088137536066E-3</v>
      </c>
      <c r="J534">
        <f t="shared" si="24"/>
        <v>26328.55078125</v>
      </c>
      <c r="K534">
        <f t="shared" si="25"/>
        <v>-4.9708394923583588E-2</v>
      </c>
    </row>
    <row r="535" spans="1:11" x14ac:dyDescent="0.3">
      <c r="A535" s="2">
        <v>45796</v>
      </c>
      <c r="B535">
        <v>24945.44921875</v>
      </c>
      <c r="C535">
        <f t="shared" si="26"/>
        <v>-1.0484831354666864E-2</v>
      </c>
      <c r="J535">
        <f t="shared" si="24"/>
        <v>26328.55078125</v>
      </c>
      <c r="K535">
        <f t="shared" si="25"/>
        <v>-5.2532384862025272E-2</v>
      </c>
    </row>
    <row r="536" spans="1:11" x14ac:dyDescent="0.3">
      <c r="A536" s="2">
        <v>45797</v>
      </c>
      <c r="B536">
        <v>24683.900390625</v>
      </c>
      <c r="C536">
        <f t="shared" si="26"/>
        <v>5.2483127088862724E-3</v>
      </c>
      <c r="J536">
        <f t="shared" si="24"/>
        <v>26328.55078125</v>
      </c>
      <c r="K536">
        <f t="shared" si="25"/>
        <v>-6.2466423020755335E-2</v>
      </c>
    </row>
    <row r="537" spans="1:11" x14ac:dyDescent="0.3">
      <c r="A537" s="2">
        <v>45798</v>
      </c>
      <c r="B537">
        <v>24813.44921875</v>
      </c>
      <c r="C537">
        <f t="shared" si="26"/>
        <v>-8.2112727740421762E-3</v>
      </c>
      <c r="J537">
        <f t="shared" si="24"/>
        <v>26328.55078125</v>
      </c>
      <c r="K537">
        <f t="shared" si="25"/>
        <v>-5.754595363368753E-2</v>
      </c>
    </row>
    <row r="538" spans="1:11" x14ac:dyDescent="0.3">
      <c r="A538" s="2">
        <v>45799</v>
      </c>
      <c r="B538">
        <v>24609.69921875</v>
      </c>
      <c r="C538">
        <f t="shared" si="26"/>
        <v>9.8924887180057795E-3</v>
      </c>
      <c r="J538">
        <f t="shared" si="24"/>
        <v>26328.55078125</v>
      </c>
      <c r="K538">
        <f t="shared" si="25"/>
        <v>-6.5284700885401059E-2</v>
      </c>
    </row>
    <row r="539" spans="1:11" x14ac:dyDescent="0.3">
      <c r="A539" s="2">
        <v>45800</v>
      </c>
      <c r="B539">
        <v>24853.150390625</v>
      </c>
      <c r="C539">
        <f t="shared" si="26"/>
        <v>5.9549794562796321E-3</v>
      </c>
      <c r="J539">
        <f t="shared" si="24"/>
        <v>26328.55078125</v>
      </c>
      <c r="K539">
        <f t="shared" si="25"/>
        <v>-5.6038040334362549E-2</v>
      </c>
    </row>
    <row r="540" spans="1:11" x14ac:dyDescent="0.3">
      <c r="A540" s="2">
        <v>45803</v>
      </c>
      <c r="B540">
        <v>25001.150390625</v>
      </c>
      <c r="C540">
        <f t="shared" si="26"/>
        <v>-6.9977248703165145E-3</v>
      </c>
      <c r="J540">
        <f t="shared" si="24"/>
        <v>26328.55078125</v>
      </c>
      <c r="K540">
        <f t="shared" si="25"/>
        <v>-5.0416766257044165E-2</v>
      </c>
    </row>
    <row r="541" spans="1:11" x14ac:dyDescent="0.3">
      <c r="A541" s="2">
        <v>45804</v>
      </c>
      <c r="B541">
        <v>24826.19921875</v>
      </c>
      <c r="C541">
        <f t="shared" si="26"/>
        <v>-2.9706520659956788E-3</v>
      </c>
      <c r="J541">
        <f t="shared" si="24"/>
        <v>26328.55078125</v>
      </c>
      <c r="K541">
        <f t="shared" si="25"/>
        <v>-5.7061688468242888E-2</v>
      </c>
    </row>
    <row r="542" spans="1:11" x14ac:dyDescent="0.3">
      <c r="A542" s="2">
        <v>45805</v>
      </c>
      <c r="B542">
        <v>24752.44921875</v>
      </c>
      <c r="C542">
        <f t="shared" si="26"/>
        <v>3.2784792287758142E-3</v>
      </c>
      <c r="J542">
        <f t="shared" si="24"/>
        <v>26328.55078125</v>
      </c>
      <c r="K542">
        <f t="shared" si="25"/>
        <v>-5.9862830111501175E-2</v>
      </c>
    </row>
    <row r="543" spans="1:11" x14ac:dyDescent="0.3">
      <c r="A543" s="2">
        <v>45806</v>
      </c>
      <c r="B543">
        <v>24833.599609375</v>
      </c>
      <c r="C543">
        <f t="shared" si="26"/>
        <v>-3.3382349691143463E-3</v>
      </c>
      <c r="J543">
        <f t="shared" si="24"/>
        <v>26328.55078125</v>
      </c>
      <c r="K543">
        <f t="shared" si="25"/>
        <v>-5.6780609927821635E-2</v>
      </c>
    </row>
    <row r="544" spans="1:11" x14ac:dyDescent="0.3">
      <c r="A544" s="2">
        <v>45807</v>
      </c>
      <c r="B544">
        <v>24750.69921875</v>
      </c>
      <c r="C544">
        <f t="shared" si="26"/>
        <v>-1.3777230725331466E-3</v>
      </c>
      <c r="J544">
        <f t="shared" si="24"/>
        <v>26328.55078125</v>
      </c>
      <c r="K544">
        <f t="shared" si="25"/>
        <v>-5.9929297879307342E-2</v>
      </c>
    </row>
    <row r="545" spans="1:11" x14ac:dyDescent="0.3">
      <c r="A545" s="2">
        <v>45810</v>
      </c>
      <c r="B545">
        <v>24716.599609375</v>
      </c>
      <c r="C545">
        <f t="shared" si="26"/>
        <v>-7.0438333802585072E-3</v>
      </c>
      <c r="J545">
        <f t="shared" si="24"/>
        <v>26328.55078125</v>
      </c>
      <c r="K545">
        <f t="shared" si="25"/>
        <v>-6.1224454975431386E-2</v>
      </c>
    </row>
    <row r="546" spans="1:11" x14ac:dyDescent="0.3">
      <c r="A546" s="2">
        <v>45811</v>
      </c>
      <c r="B546">
        <v>24542.5</v>
      </c>
      <c r="C546">
        <f t="shared" si="26"/>
        <v>3.1659048079861465E-3</v>
      </c>
      <c r="J546">
        <f t="shared" si="24"/>
        <v>26328.55078125</v>
      </c>
      <c r="K546">
        <f t="shared" si="25"/>
        <v>-6.7837033496045862E-2</v>
      </c>
    </row>
    <row r="547" spans="1:11" x14ac:dyDescent="0.3">
      <c r="A547" s="2">
        <v>45812</v>
      </c>
      <c r="B547">
        <v>24620.19921875</v>
      </c>
      <c r="C547">
        <f t="shared" si="26"/>
        <v>5.3086967621066988E-3</v>
      </c>
      <c r="J547">
        <f t="shared" si="24"/>
        <v>26328.55078125</v>
      </c>
      <c r="K547">
        <f t="shared" si="25"/>
        <v>-6.4885894278564393E-2</v>
      </c>
    </row>
    <row r="548" spans="1:11" x14ac:dyDescent="0.3">
      <c r="A548" s="2">
        <v>45813</v>
      </c>
      <c r="B548">
        <v>24750.900390625</v>
      </c>
      <c r="C548">
        <f t="shared" si="26"/>
        <v>1.0187523954502602E-2</v>
      </c>
      <c r="J548">
        <f t="shared" si="24"/>
        <v>26328.55078125</v>
      </c>
      <c r="K548">
        <f t="shared" si="25"/>
        <v>-5.9921657053320643E-2</v>
      </c>
    </row>
    <row r="549" spans="1:11" x14ac:dyDescent="0.3">
      <c r="A549" s="2">
        <v>45814</v>
      </c>
      <c r="B549">
        <v>25003.05078125</v>
      </c>
      <c r="C549">
        <f t="shared" si="26"/>
        <v>4.0054487100870968E-3</v>
      </c>
      <c r="J549">
        <f t="shared" si="24"/>
        <v>26328.55078125</v>
      </c>
      <c r="K549">
        <f t="shared" si="25"/>
        <v>-5.0344586415442261E-2</v>
      </c>
    </row>
    <row r="550" spans="1:11" x14ac:dyDescent="0.3">
      <c r="A550" s="2">
        <v>45817</v>
      </c>
      <c r="B550">
        <v>25103.19921875</v>
      </c>
      <c r="C550">
        <f t="shared" si="26"/>
        <v>4.185845958690213E-5</v>
      </c>
      <c r="J550">
        <f t="shared" si="24"/>
        <v>26328.55078125</v>
      </c>
      <c r="K550">
        <f t="shared" si="25"/>
        <v>-4.654079036407277E-2</v>
      </c>
    </row>
    <row r="551" spans="1:11" x14ac:dyDescent="0.3">
      <c r="A551" s="2">
        <v>45818</v>
      </c>
      <c r="B551">
        <v>25104.25</v>
      </c>
      <c r="C551">
        <f t="shared" si="26"/>
        <v>1.4798446727147794E-3</v>
      </c>
      <c r="J551">
        <f t="shared" si="24"/>
        <v>26328.55078125</v>
      </c>
      <c r="K551">
        <f t="shared" si="25"/>
        <v>-4.6500880030278413E-2</v>
      </c>
    </row>
    <row r="552" spans="1:11" x14ac:dyDescent="0.3">
      <c r="A552" s="2">
        <v>45819</v>
      </c>
      <c r="B552">
        <v>25141.400390625</v>
      </c>
      <c r="C552">
        <f t="shared" si="26"/>
        <v>-1.0071084662786582E-2</v>
      </c>
      <c r="J552">
        <f t="shared" si="24"/>
        <v>26328.55078125</v>
      </c>
      <c r="K552">
        <f t="shared" si="25"/>
        <v>-4.5089849437152996E-2</v>
      </c>
    </row>
    <row r="553" spans="1:11" x14ac:dyDescent="0.3">
      <c r="A553" s="2">
        <v>45820</v>
      </c>
      <c r="B553">
        <v>24888.19921875</v>
      </c>
      <c r="C553">
        <f t="shared" si="26"/>
        <v>-6.814458847919736E-3</v>
      </c>
      <c r="J553">
        <f t="shared" si="24"/>
        <v>26328.55078125</v>
      </c>
      <c r="K553">
        <f t="shared" si="25"/>
        <v>-5.4706830408825735E-2</v>
      </c>
    </row>
    <row r="554" spans="1:11" x14ac:dyDescent="0.3">
      <c r="A554" s="2">
        <v>45821</v>
      </c>
      <c r="B554">
        <v>24718.599609375</v>
      </c>
      <c r="C554">
        <f t="shared" si="26"/>
        <v>9.2197937677086055E-3</v>
      </c>
      <c r="J554">
        <f t="shared" si="24"/>
        <v>26328.55078125</v>
      </c>
      <c r="K554">
        <f t="shared" si="25"/>
        <v>-6.114849181222437E-2</v>
      </c>
    </row>
    <row r="555" spans="1:11" x14ac:dyDescent="0.3">
      <c r="A555" s="2">
        <v>45824</v>
      </c>
      <c r="B555">
        <v>24946.5</v>
      </c>
      <c r="C555">
        <f t="shared" si="26"/>
        <v>-3.7319707924959415E-3</v>
      </c>
      <c r="J555">
        <f t="shared" si="24"/>
        <v>26328.55078125</v>
      </c>
      <c r="K555">
        <f t="shared" si="25"/>
        <v>-5.2492474528230915E-2</v>
      </c>
    </row>
    <row r="556" spans="1:11" x14ac:dyDescent="0.3">
      <c r="A556" s="2">
        <v>45825</v>
      </c>
      <c r="B556">
        <v>24853.400390625</v>
      </c>
      <c r="C556">
        <f t="shared" si="26"/>
        <v>-1.6637405234334682E-3</v>
      </c>
      <c r="J556">
        <f t="shared" si="24"/>
        <v>26328.55078125</v>
      </c>
      <c r="K556">
        <f t="shared" si="25"/>
        <v>-5.60285449389617E-2</v>
      </c>
    </row>
    <row r="557" spans="1:11" x14ac:dyDescent="0.3">
      <c r="A557" s="2">
        <v>45826</v>
      </c>
      <c r="B557">
        <v>24812.05078125</v>
      </c>
      <c r="C557">
        <f t="shared" si="26"/>
        <v>-7.5772782410260889E-4</v>
      </c>
      <c r="J557">
        <f t="shared" si="24"/>
        <v>26328.55078125</v>
      </c>
      <c r="K557">
        <f t="shared" si="25"/>
        <v>-5.7599068501711148E-2</v>
      </c>
    </row>
    <row r="558" spans="1:11" x14ac:dyDescent="0.3">
      <c r="A558" s="2">
        <v>45827</v>
      </c>
      <c r="B558">
        <v>24793.25</v>
      </c>
      <c r="C558">
        <f t="shared" si="26"/>
        <v>1.2872470959837859E-2</v>
      </c>
      <c r="J558">
        <f t="shared" si="24"/>
        <v>26328.55078125</v>
      </c>
      <c r="K558">
        <f t="shared" si="25"/>
        <v>-5.8313151908967686E-2</v>
      </c>
    </row>
    <row r="559" spans="1:11" x14ac:dyDescent="0.3">
      <c r="A559" s="2">
        <v>45828</v>
      </c>
      <c r="B559">
        <v>25112.400390625</v>
      </c>
      <c r="C559">
        <f t="shared" si="26"/>
        <v>-5.5948454872697742E-3</v>
      </c>
      <c r="J559">
        <f t="shared" si="24"/>
        <v>26328.55078125</v>
      </c>
      <c r="K559">
        <f t="shared" si="25"/>
        <v>-4.6191315303654612E-2</v>
      </c>
    </row>
    <row r="560" spans="1:11" x14ac:dyDescent="0.3">
      <c r="A560" s="2">
        <v>45831</v>
      </c>
      <c r="B560">
        <v>24971.900390625</v>
      </c>
      <c r="C560">
        <f t="shared" si="26"/>
        <v>2.9012296868362901E-3</v>
      </c>
      <c r="J560">
        <f t="shared" si="24"/>
        <v>26328.55078125</v>
      </c>
      <c r="K560">
        <f t="shared" si="25"/>
        <v>-5.1527727518946631E-2</v>
      </c>
    </row>
    <row r="561" spans="1:11" x14ac:dyDescent="0.3">
      <c r="A561" s="2">
        <v>45832</v>
      </c>
      <c r="B561">
        <v>25044.349609375</v>
      </c>
      <c r="C561">
        <f t="shared" si="26"/>
        <v>8.0018205204252114E-3</v>
      </c>
      <c r="J561">
        <f t="shared" si="24"/>
        <v>26328.55078125</v>
      </c>
      <c r="K561">
        <f t="shared" si="25"/>
        <v>-4.8775991604883551E-2</v>
      </c>
    </row>
    <row r="562" spans="1:11" x14ac:dyDescent="0.3">
      <c r="A562" s="2">
        <v>45833</v>
      </c>
      <c r="B562">
        <v>25244.75</v>
      </c>
      <c r="C562">
        <f t="shared" si="26"/>
        <v>1.205201081412967E-2</v>
      </c>
      <c r="J562">
        <f t="shared" si="24"/>
        <v>26328.55078125</v>
      </c>
      <c r="K562">
        <f t="shared" si="25"/>
        <v>-4.1164467814986394E-2</v>
      </c>
    </row>
    <row r="563" spans="1:11" x14ac:dyDescent="0.3">
      <c r="A563" s="2">
        <v>45834</v>
      </c>
      <c r="B563">
        <v>25549</v>
      </c>
      <c r="C563">
        <f t="shared" si="26"/>
        <v>3.4757047731809464E-3</v>
      </c>
      <c r="J563">
        <f t="shared" si="24"/>
        <v>26328.55078125</v>
      </c>
      <c r="K563">
        <f t="shared" si="25"/>
        <v>-2.9608571612120826E-2</v>
      </c>
    </row>
    <row r="564" spans="1:11" x14ac:dyDescent="0.3">
      <c r="A564" s="2">
        <v>45835</v>
      </c>
      <c r="B564">
        <v>25637.80078125</v>
      </c>
      <c r="C564">
        <f t="shared" si="26"/>
        <v>-4.7098423546652075E-3</v>
      </c>
      <c r="J564">
        <f t="shared" si="24"/>
        <v>26328.55078125</v>
      </c>
      <c r="K564">
        <f t="shared" si="25"/>
        <v>-2.6235777492619183E-2</v>
      </c>
    </row>
    <row r="565" spans="1:11" x14ac:dyDescent="0.3">
      <c r="A565" s="2">
        <v>45838</v>
      </c>
      <c r="B565">
        <v>25517.05078125</v>
      </c>
      <c r="C565">
        <f t="shared" si="26"/>
        <v>9.6993967728380148E-4</v>
      </c>
      <c r="J565">
        <f t="shared" si="24"/>
        <v>26328.55078125</v>
      </c>
      <c r="K565">
        <f t="shared" si="25"/>
        <v>-3.0822053471242117E-2</v>
      </c>
    </row>
    <row r="566" spans="1:11" x14ac:dyDescent="0.3">
      <c r="A566" s="2">
        <v>45839</v>
      </c>
      <c r="B566">
        <v>25541.80078125</v>
      </c>
      <c r="C566">
        <f t="shared" si="26"/>
        <v>-3.4610085397695964E-3</v>
      </c>
      <c r="J566">
        <f t="shared" si="24"/>
        <v>26328.55078125</v>
      </c>
      <c r="K566">
        <f t="shared" si="25"/>
        <v>-2.9882009326555381E-2</v>
      </c>
    </row>
    <row r="567" spans="1:11" x14ac:dyDescent="0.3">
      <c r="A567" s="2">
        <v>45840</v>
      </c>
      <c r="B567">
        <v>25453.400390625</v>
      </c>
      <c r="C567">
        <f t="shared" si="26"/>
        <v>-1.8897125192245848E-3</v>
      </c>
      <c r="J567">
        <f t="shared" si="24"/>
        <v>26328.55078125</v>
      </c>
      <c r="K567">
        <f t="shared" si="25"/>
        <v>-3.3239595976860326E-2</v>
      </c>
    </row>
    <row r="568" spans="1:11" x14ac:dyDescent="0.3">
      <c r="A568" s="2">
        <v>45841</v>
      </c>
      <c r="B568">
        <v>25405.30078125</v>
      </c>
      <c r="C568">
        <f t="shared" si="26"/>
        <v>2.1924250859926041E-3</v>
      </c>
      <c r="J568">
        <f t="shared" si="24"/>
        <v>26328.55078125</v>
      </c>
      <c r="K568">
        <f t="shared" si="25"/>
        <v>-3.506649521543348E-2</v>
      </c>
    </row>
    <row r="569" spans="1:11" x14ac:dyDescent="0.3">
      <c r="A569" s="2">
        <v>45842</v>
      </c>
      <c r="B569">
        <v>25461</v>
      </c>
      <c r="C569">
        <f t="shared" si="26"/>
        <v>1.1813410706570834E-5</v>
      </c>
      <c r="J569">
        <f t="shared" si="24"/>
        <v>26328.55078125</v>
      </c>
      <c r="K569">
        <f t="shared" si="25"/>
        <v>-3.2950950793228961E-2</v>
      </c>
    </row>
    <row r="570" spans="1:11" x14ac:dyDescent="0.3">
      <c r="A570" s="2">
        <v>45845</v>
      </c>
      <c r="B570">
        <v>25461.30078125</v>
      </c>
      <c r="C570">
        <f t="shared" si="26"/>
        <v>2.4036171315751404E-3</v>
      </c>
      <c r="J570">
        <f t="shared" si="24"/>
        <v>26328.55078125</v>
      </c>
      <c r="K570">
        <f t="shared" si="25"/>
        <v>-3.2939526645637374E-2</v>
      </c>
    </row>
    <row r="571" spans="1:11" x14ac:dyDescent="0.3">
      <c r="A571" s="2">
        <v>45846</v>
      </c>
      <c r="B571">
        <v>25522.5</v>
      </c>
      <c r="C571">
        <f t="shared" si="26"/>
        <v>-1.8180190273288275E-3</v>
      </c>
      <c r="J571">
        <f t="shared" si="24"/>
        <v>26328.55078125</v>
      </c>
      <c r="K571">
        <f t="shared" si="25"/>
        <v>-3.0615083524613618E-2</v>
      </c>
    </row>
    <row r="572" spans="1:11" x14ac:dyDescent="0.3">
      <c r="A572" s="2">
        <v>45847</v>
      </c>
      <c r="B572">
        <v>25476.099609375</v>
      </c>
      <c r="C572">
        <f t="shared" si="26"/>
        <v>-4.7436464461980792E-3</v>
      </c>
      <c r="J572">
        <f t="shared" si="24"/>
        <v>26328.55078125</v>
      </c>
      <c r="K572">
        <f t="shared" si="25"/>
        <v>-3.2377443747571455E-2</v>
      </c>
    </row>
    <row r="573" spans="1:11" x14ac:dyDescent="0.3">
      <c r="A573" s="2">
        <v>45848</v>
      </c>
      <c r="B573">
        <v>25355.25</v>
      </c>
      <c r="C573">
        <f t="shared" si="26"/>
        <v>-8.1009018102759789E-3</v>
      </c>
      <c r="J573">
        <f t="shared" si="24"/>
        <v>26328.55078125</v>
      </c>
      <c r="K573">
        <f t="shared" si="25"/>
        <v>-3.6967503047799388E-2</v>
      </c>
    </row>
    <row r="574" spans="1:11" x14ac:dyDescent="0.3">
      <c r="A574" s="2">
        <v>45849</v>
      </c>
      <c r="B574">
        <v>25149.849609375</v>
      </c>
      <c r="C574">
        <f t="shared" si="26"/>
        <v>-2.685854157148523E-3</v>
      </c>
      <c r="J574">
        <f t="shared" si="24"/>
        <v>26328.55078125</v>
      </c>
      <c r="K574">
        <f t="shared" si="25"/>
        <v>-4.4768934745714084E-2</v>
      </c>
    </row>
    <row r="575" spans="1:11" x14ac:dyDescent="0.3">
      <c r="A575" s="2">
        <v>45852</v>
      </c>
      <c r="B575">
        <v>25082.30078125</v>
      </c>
      <c r="C575">
        <f t="shared" si="26"/>
        <v>4.5251032187942535E-3</v>
      </c>
      <c r="J575">
        <f t="shared" si="24"/>
        <v>26328.55078125</v>
      </c>
      <c r="K575">
        <f t="shared" si="25"/>
        <v>-4.7334546073364736E-2</v>
      </c>
    </row>
    <row r="576" spans="1:11" x14ac:dyDescent="0.3">
      <c r="A576" s="2">
        <v>45853</v>
      </c>
      <c r="B576">
        <v>25195.80078125</v>
      </c>
      <c r="C576">
        <f t="shared" si="26"/>
        <v>6.4494874130346306E-4</v>
      </c>
      <c r="J576">
        <f t="shared" si="24"/>
        <v>26328.55078125</v>
      </c>
      <c r="K576">
        <f t="shared" si="25"/>
        <v>-4.3023636561367207E-2</v>
      </c>
    </row>
    <row r="577" spans="1:11" x14ac:dyDescent="0.3">
      <c r="A577" s="2">
        <v>45854</v>
      </c>
      <c r="B577">
        <v>25212.05078125</v>
      </c>
      <c r="C577">
        <f t="shared" si="26"/>
        <v>-3.9902173517283477E-3</v>
      </c>
      <c r="J577">
        <f t="shared" si="24"/>
        <v>26328.55078125</v>
      </c>
      <c r="K577">
        <f t="shared" si="25"/>
        <v>-4.2406435860310232E-2</v>
      </c>
    </row>
    <row r="578" spans="1:11" x14ac:dyDescent="0.3">
      <c r="A578" s="2">
        <v>45855</v>
      </c>
      <c r="B578">
        <v>25111.44921875</v>
      </c>
      <c r="C578">
        <f t="shared" si="26"/>
        <v>-5.6965580472428303E-3</v>
      </c>
      <c r="J578">
        <f t="shared" ref="J578:J641" si="27">MAX(B578:B1316)</f>
        <v>26328.55078125</v>
      </c>
      <c r="K578">
        <f t="shared" ref="K578:K641" si="28">B578/J578-1</f>
        <v>-4.6227442315843859E-2</v>
      </c>
    </row>
    <row r="579" spans="1:11" x14ac:dyDescent="0.3">
      <c r="A579" s="2">
        <v>45856</v>
      </c>
      <c r="B579">
        <v>24968.400390625</v>
      </c>
      <c r="C579">
        <f t="shared" ref="C579:C642" si="29">(B580-B579)/B579</f>
        <v>4.8981443028653171E-3</v>
      </c>
      <c r="J579">
        <f t="shared" si="27"/>
        <v>26328.55078125</v>
      </c>
      <c r="K579">
        <f t="shared" si="28"/>
        <v>-5.1660663054558964E-2</v>
      </c>
    </row>
    <row r="580" spans="1:11" x14ac:dyDescent="0.3">
      <c r="A580" s="2">
        <v>45859</v>
      </c>
      <c r="B580">
        <v>25090.69921875</v>
      </c>
      <c r="C580">
        <f t="shared" si="29"/>
        <v>-1.1876443882732318E-3</v>
      </c>
      <c r="J580">
        <f t="shared" si="27"/>
        <v>26328.55078125</v>
      </c>
      <c r="K580">
        <f t="shared" si="28"/>
        <v>-4.7015560134116563E-2</v>
      </c>
    </row>
    <row r="581" spans="1:11" x14ac:dyDescent="0.3">
      <c r="A581" s="2">
        <v>45860</v>
      </c>
      <c r="B581">
        <v>25060.900390625</v>
      </c>
      <c r="C581">
        <f t="shared" si="29"/>
        <v>6.3445445902446549E-3</v>
      </c>
      <c r="J581">
        <f t="shared" si="27"/>
        <v>26328.55078125</v>
      </c>
      <c r="K581">
        <f t="shared" si="28"/>
        <v>-4.8147366756234988E-2</v>
      </c>
    </row>
    <row r="582" spans="1:11" x14ac:dyDescent="0.3">
      <c r="A582" s="2">
        <v>45861</v>
      </c>
      <c r="B582">
        <v>25219.900390625</v>
      </c>
      <c r="C582">
        <f t="shared" si="29"/>
        <v>-6.2569946274910479E-3</v>
      </c>
      <c r="J582">
        <f t="shared" si="27"/>
        <v>26328.55078125</v>
      </c>
      <c r="K582">
        <f t="shared" si="28"/>
        <v>-4.210829528127813E-2</v>
      </c>
    </row>
    <row r="583" spans="1:11" x14ac:dyDescent="0.3">
      <c r="A583" s="2">
        <v>45862</v>
      </c>
      <c r="B583">
        <v>25062.099609375</v>
      </c>
      <c r="C583">
        <f t="shared" si="29"/>
        <v>-8.9816740370306722E-3</v>
      </c>
      <c r="J583">
        <f t="shared" si="27"/>
        <v>26328.55078125</v>
      </c>
      <c r="K583">
        <f t="shared" si="28"/>
        <v>-4.810181853142137E-2</v>
      </c>
    </row>
    <row r="584" spans="1:11" x14ac:dyDescent="0.3">
      <c r="A584" s="2">
        <v>45863</v>
      </c>
      <c r="B584">
        <v>24837</v>
      </c>
      <c r="C584">
        <f t="shared" si="29"/>
        <v>-6.2849623293876073E-3</v>
      </c>
      <c r="J584">
        <f t="shared" si="27"/>
        <v>26328.55078125</v>
      </c>
      <c r="K584">
        <f t="shared" si="28"/>
        <v>-5.6651457713814413E-2</v>
      </c>
    </row>
    <row r="585" spans="1:11" x14ac:dyDescent="0.3">
      <c r="A585" s="2">
        <v>45866</v>
      </c>
      <c r="B585">
        <v>24680.900390625</v>
      </c>
      <c r="C585">
        <f t="shared" si="29"/>
        <v>5.6804742343700898E-3</v>
      </c>
      <c r="J585">
        <f t="shared" si="27"/>
        <v>26328.55078125</v>
      </c>
      <c r="K585">
        <f t="shared" si="28"/>
        <v>-6.2580367765565859E-2</v>
      </c>
    </row>
    <row r="586" spans="1:11" x14ac:dyDescent="0.3">
      <c r="A586" s="2">
        <v>45867</v>
      </c>
      <c r="B586">
        <v>24821.099609375</v>
      </c>
      <c r="C586">
        <f t="shared" si="29"/>
        <v>1.3678351245235141E-3</v>
      </c>
      <c r="J586">
        <f t="shared" si="27"/>
        <v>26328.55078125</v>
      </c>
      <c r="K586">
        <f t="shared" si="28"/>
        <v>-5.7255379697865427E-2</v>
      </c>
    </row>
    <row r="587" spans="1:11" x14ac:dyDescent="0.3">
      <c r="A587" s="2">
        <v>45868</v>
      </c>
      <c r="B587">
        <v>24855.05078125</v>
      </c>
      <c r="C587">
        <f t="shared" si="29"/>
        <v>-3.4882717656889721E-3</v>
      </c>
      <c r="J587">
        <f t="shared" si="27"/>
        <v>26328.55078125</v>
      </c>
      <c r="K587">
        <f t="shared" si="28"/>
        <v>-5.5965860492760533E-2</v>
      </c>
    </row>
    <row r="588" spans="1:11" x14ac:dyDescent="0.3">
      <c r="A588" s="2">
        <v>45869</v>
      </c>
      <c r="B588">
        <v>24768.349609375</v>
      </c>
      <c r="C588">
        <f t="shared" si="29"/>
        <v>-8.1959437427822409E-3</v>
      </c>
      <c r="J588">
        <f t="shared" si="27"/>
        <v>26328.55078125</v>
      </c>
      <c r="K588">
        <f t="shared" si="28"/>
        <v>-5.9258908127450161E-2</v>
      </c>
    </row>
    <row r="589" spans="1:11" x14ac:dyDescent="0.3">
      <c r="A589" s="2">
        <v>45870</v>
      </c>
      <c r="B589">
        <v>24565.349609375</v>
      </c>
      <c r="C589">
        <f t="shared" si="29"/>
        <v>6.4074150430544043E-3</v>
      </c>
      <c r="J589">
        <f t="shared" si="27"/>
        <v>26328.55078125</v>
      </c>
      <c r="K589">
        <f t="shared" si="28"/>
        <v>-6.6969169192961142E-2</v>
      </c>
    </row>
    <row r="590" spans="1:11" x14ac:dyDescent="0.3">
      <c r="A590" s="2">
        <v>45873</v>
      </c>
      <c r="B590">
        <v>24722.75</v>
      </c>
      <c r="C590">
        <f t="shared" si="29"/>
        <v>-2.9608040671041855E-3</v>
      </c>
      <c r="J590">
        <f t="shared" si="27"/>
        <v>26328.55078125</v>
      </c>
      <c r="K590">
        <f t="shared" si="28"/>
        <v>-6.0990853412014601E-2</v>
      </c>
    </row>
    <row r="591" spans="1:11" x14ac:dyDescent="0.3">
      <c r="A591" s="2">
        <v>45874</v>
      </c>
      <c r="B591">
        <v>24649.55078125</v>
      </c>
      <c r="C591">
        <f t="shared" si="29"/>
        <v>-3.0569142281212337E-3</v>
      </c>
      <c r="J591">
        <f t="shared" si="27"/>
        <v>26328.55078125</v>
      </c>
      <c r="K591">
        <f t="shared" si="28"/>
        <v>-6.377107551228034E-2</v>
      </c>
    </row>
    <row r="592" spans="1:11" x14ac:dyDescent="0.3">
      <c r="A592" s="2">
        <v>45875</v>
      </c>
      <c r="B592">
        <v>24574.19921875</v>
      </c>
      <c r="C592">
        <f t="shared" si="29"/>
        <v>8.9326092295415906E-4</v>
      </c>
      <c r="J592">
        <f t="shared" si="27"/>
        <v>26328.55078125</v>
      </c>
      <c r="K592">
        <f t="shared" si="28"/>
        <v>-6.6633047032325421E-2</v>
      </c>
    </row>
    <row r="593" spans="1:11" x14ac:dyDescent="0.3">
      <c r="A593" s="2">
        <v>45876</v>
      </c>
      <c r="B593">
        <v>24596.150390625</v>
      </c>
      <c r="C593">
        <f t="shared" si="29"/>
        <v>-9.4669127354072569E-3</v>
      </c>
      <c r="J593">
        <f t="shared" si="27"/>
        <v>26328.55078125</v>
      </c>
      <c r="K593">
        <f t="shared" si="28"/>
        <v>-6.5799306806462621E-2</v>
      </c>
    </row>
    <row r="594" spans="1:11" x14ac:dyDescent="0.3">
      <c r="A594" s="2">
        <v>45877</v>
      </c>
      <c r="B594">
        <v>24363.30078125</v>
      </c>
      <c r="C594">
        <f t="shared" si="29"/>
        <v>9.1018044718578876E-3</v>
      </c>
      <c r="J594">
        <f t="shared" si="27"/>
        <v>26328.55078125</v>
      </c>
      <c r="K594">
        <f t="shared" si="28"/>
        <v>-7.4643303246282766E-2</v>
      </c>
    </row>
    <row r="595" spans="1:11" x14ac:dyDescent="0.3">
      <c r="A595" s="2">
        <v>45880</v>
      </c>
      <c r="B595">
        <v>24585.05078125</v>
      </c>
      <c r="C595">
        <f t="shared" si="29"/>
        <v>-3.9719417907191756E-3</v>
      </c>
      <c r="J595">
        <f t="shared" si="27"/>
        <v>26328.55078125</v>
      </c>
      <c r="K595">
        <f t="shared" si="28"/>
        <v>-6.6220887525706207E-2</v>
      </c>
    </row>
    <row r="596" spans="1:11" x14ac:dyDescent="0.3">
      <c r="A596" s="2">
        <v>45881</v>
      </c>
      <c r="B596">
        <v>24487.400390625</v>
      </c>
      <c r="C596">
        <f t="shared" si="29"/>
        <v>5.3884535167120782E-3</v>
      </c>
      <c r="J596">
        <f t="shared" si="27"/>
        <v>26328.55078125</v>
      </c>
      <c r="K596">
        <f t="shared" si="28"/>
        <v>-6.992980380584346E-2</v>
      </c>
    </row>
    <row r="597" spans="1:11" x14ac:dyDescent="0.3">
      <c r="A597" s="2">
        <v>45882</v>
      </c>
      <c r="B597">
        <v>24619.349609375</v>
      </c>
      <c r="C597">
        <f t="shared" si="29"/>
        <v>4.8543816407111817E-4</v>
      </c>
      <c r="J597">
        <f t="shared" si="27"/>
        <v>26328.55078125</v>
      </c>
      <c r="K597">
        <f t="shared" si="28"/>
        <v>-6.4918163786372052E-2</v>
      </c>
    </row>
    <row r="598" spans="1:11" x14ac:dyDescent="0.3">
      <c r="A598" s="2">
        <v>45883</v>
      </c>
      <c r="B598">
        <v>24631.30078125</v>
      </c>
      <c r="C598">
        <f t="shared" si="29"/>
        <v>9.9730192766349594E-3</v>
      </c>
      <c r="J598">
        <f t="shared" si="27"/>
        <v>26328.55078125</v>
      </c>
      <c r="K598">
        <f t="shared" si="28"/>
        <v>-6.4464239376544219E-2</v>
      </c>
    </row>
    <row r="599" spans="1:11" x14ac:dyDescent="0.3">
      <c r="A599" s="2">
        <v>45887</v>
      </c>
      <c r="B599">
        <v>24876.94921875</v>
      </c>
      <c r="C599">
        <f t="shared" si="29"/>
        <v>4.1685646806256856E-3</v>
      </c>
      <c r="J599">
        <f t="shared" si="27"/>
        <v>26328.55078125</v>
      </c>
      <c r="K599">
        <f t="shared" si="28"/>
        <v>-5.5134123201865171E-2</v>
      </c>
    </row>
    <row r="600" spans="1:11" x14ac:dyDescent="0.3">
      <c r="A600" s="2">
        <v>45888</v>
      </c>
      <c r="B600">
        <v>24980.650390625</v>
      </c>
      <c r="C600">
        <f t="shared" si="29"/>
        <v>2.7981813736616301E-3</v>
      </c>
      <c r="J600">
        <f t="shared" si="27"/>
        <v>26328.55078125</v>
      </c>
      <c r="K600">
        <f t="shared" si="28"/>
        <v>-5.1195388679916021E-2</v>
      </c>
    </row>
    <row r="601" spans="1:11" x14ac:dyDescent="0.3">
      <c r="A601" s="2">
        <v>45889</v>
      </c>
      <c r="B601">
        <v>25050.55078125</v>
      </c>
      <c r="C601">
        <f t="shared" si="29"/>
        <v>1.325288974278728E-3</v>
      </c>
      <c r="J601">
        <f t="shared" si="27"/>
        <v>26328.55078125</v>
      </c>
      <c r="K601">
        <f t="shared" si="28"/>
        <v>-4.8540461289275916E-2</v>
      </c>
    </row>
    <row r="602" spans="1:11" x14ac:dyDescent="0.3">
      <c r="A602" s="2">
        <v>45890</v>
      </c>
      <c r="B602">
        <v>25083.75</v>
      </c>
      <c r="C602">
        <f t="shared" si="29"/>
        <v>-8.5174820600986689E-3</v>
      </c>
      <c r="J602">
        <f t="shared" si="27"/>
        <v>26328.55078125</v>
      </c>
      <c r="K602">
        <f t="shared" si="28"/>
        <v>-4.7279502453150268E-2</v>
      </c>
    </row>
    <row r="603" spans="1:11" x14ac:dyDescent="0.3">
      <c r="A603" s="2">
        <v>45891</v>
      </c>
      <c r="B603">
        <v>24870.099609375</v>
      </c>
      <c r="C603">
        <f t="shared" si="29"/>
        <v>3.9264173509055761E-3</v>
      </c>
      <c r="J603">
        <f t="shared" si="27"/>
        <v>26328.55078125</v>
      </c>
      <c r="K603">
        <f t="shared" si="28"/>
        <v>-5.5394282199293765E-2</v>
      </c>
    </row>
    <row r="604" spans="1:11" x14ac:dyDescent="0.3">
      <c r="A604" s="2">
        <v>45894</v>
      </c>
      <c r="B604">
        <v>24967.75</v>
      </c>
      <c r="C604">
        <f t="shared" si="29"/>
        <v>-1.0241179872034925E-2</v>
      </c>
      <c r="J604">
        <f t="shared" si="27"/>
        <v>26328.55078125</v>
      </c>
      <c r="K604">
        <f t="shared" si="28"/>
        <v>-5.1685365919156512E-2</v>
      </c>
    </row>
    <row r="605" spans="1:11" x14ac:dyDescent="0.3">
      <c r="A605" s="2">
        <v>45895</v>
      </c>
      <c r="B605">
        <v>24712.05078125</v>
      </c>
      <c r="C605">
        <f t="shared" si="29"/>
        <v>-8.5444301039235507E-3</v>
      </c>
      <c r="J605">
        <f t="shared" si="27"/>
        <v>26328.55078125</v>
      </c>
      <c r="K605">
        <f t="shared" si="28"/>
        <v>-6.1397226662061377E-2</v>
      </c>
    </row>
    <row r="606" spans="1:11" x14ac:dyDescent="0.3">
      <c r="A606" s="2">
        <v>45897</v>
      </c>
      <c r="B606">
        <v>24500.900390625</v>
      </c>
      <c r="C606">
        <f t="shared" si="29"/>
        <v>-3.0223697933295024E-3</v>
      </c>
      <c r="J606">
        <f t="shared" si="27"/>
        <v>26328.55078125</v>
      </c>
      <c r="K606">
        <f t="shared" si="28"/>
        <v>-6.9417052454196271E-2</v>
      </c>
    </row>
    <row r="607" spans="1:11" x14ac:dyDescent="0.3">
      <c r="A607" s="2">
        <v>45898</v>
      </c>
      <c r="B607">
        <v>24426.849609375</v>
      </c>
      <c r="C607">
        <f t="shared" si="29"/>
        <v>8.1140701746053485E-3</v>
      </c>
      <c r="J607">
        <f t="shared" si="27"/>
        <v>26328.55078125</v>
      </c>
      <c r="K607">
        <f t="shared" si="28"/>
        <v>-7.2229618245046145E-2</v>
      </c>
    </row>
    <row r="608" spans="1:11" x14ac:dyDescent="0.3">
      <c r="A608" s="2">
        <v>45901</v>
      </c>
      <c r="B608">
        <v>24625.05078125</v>
      </c>
      <c r="C608">
        <f t="shared" si="29"/>
        <v>-1.8457290617896885E-3</v>
      </c>
      <c r="J608">
        <f t="shared" si="27"/>
        <v>26328.55078125</v>
      </c>
      <c r="K608">
        <f t="shared" si="28"/>
        <v>-6.4701624261566115E-2</v>
      </c>
    </row>
    <row r="609" spans="1:11" x14ac:dyDescent="0.3">
      <c r="A609" s="2">
        <v>45902</v>
      </c>
      <c r="B609">
        <v>24579.599609375</v>
      </c>
      <c r="C609">
        <f t="shared" si="29"/>
        <v>5.5107151470171652E-3</v>
      </c>
      <c r="J609">
        <f t="shared" si="27"/>
        <v>26328.55078125</v>
      </c>
      <c r="K609">
        <f t="shared" si="28"/>
        <v>-6.6427931655111183E-2</v>
      </c>
    </row>
    <row r="610" spans="1:11" x14ac:dyDescent="0.3">
      <c r="A610" s="2">
        <v>45903</v>
      </c>
      <c r="B610">
        <v>24715.05078125</v>
      </c>
      <c r="C610">
        <f t="shared" si="29"/>
        <v>7.7887762280480347E-4</v>
      </c>
      <c r="J610">
        <f t="shared" si="27"/>
        <v>26328.55078125</v>
      </c>
      <c r="K610">
        <f t="shared" si="28"/>
        <v>-6.1283281917250854E-2</v>
      </c>
    </row>
    <row r="611" spans="1:11" x14ac:dyDescent="0.3">
      <c r="A611" s="2">
        <v>45904</v>
      </c>
      <c r="B611">
        <v>24734.30078125</v>
      </c>
      <c r="C611">
        <f t="shared" si="29"/>
        <v>2.708473067117542E-4</v>
      </c>
      <c r="J611">
        <f t="shared" si="27"/>
        <v>26328.55078125</v>
      </c>
      <c r="K611">
        <f t="shared" si="28"/>
        <v>-6.0552136471383466E-2</v>
      </c>
    </row>
    <row r="612" spans="1:11" x14ac:dyDescent="0.3">
      <c r="A612" s="2">
        <v>45905</v>
      </c>
      <c r="B612">
        <v>24741</v>
      </c>
      <c r="C612">
        <f t="shared" si="29"/>
        <v>1.2994782193524919E-3</v>
      </c>
      <c r="J612">
        <f t="shared" si="27"/>
        <v>26328.55078125</v>
      </c>
      <c r="K612">
        <f t="shared" si="28"/>
        <v>-6.029768954775061E-2</v>
      </c>
    </row>
    <row r="613" spans="1:11" x14ac:dyDescent="0.3">
      <c r="A613" s="2">
        <v>45908</v>
      </c>
      <c r="B613">
        <v>24773.150390625</v>
      </c>
      <c r="C613">
        <f t="shared" si="29"/>
        <v>3.852930178235273E-3</v>
      </c>
      <c r="J613">
        <f t="shared" si="27"/>
        <v>26328.55078125</v>
      </c>
      <c r="K613">
        <f t="shared" si="28"/>
        <v>-5.9076566862642732E-2</v>
      </c>
    </row>
    <row r="614" spans="1:11" x14ac:dyDescent="0.3">
      <c r="A614" s="2">
        <v>45909</v>
      </c>
      <c r="B614">
        <v>24868.599609375</v>
      </c>
      <c r="C614">
        <f t="shared" si="29"/>
        <v>4.20208623088714E-3</v>
      </c>
      <c r="J614">
        <f t="shared" si="27"/>
        <v>26328.55078125</v>
      </c>
      <c r="K614">
        <f t="shared" si="28"/>
        <v>-5.5451254571699082E-2</v>
      </c>
    </row>
    <row r="615" spans="1:11" x14ac:dyDescent="0.3">
      <c r="A615" s="2">
        <v>45910</v>
      </c>
      <c r="B615">
        <v>24973.099609375</v>
      </c>
      <c r="C615">
        <f t="shared" si="29"/>
        <v>1.2974116602184522E-3</v>
      </c>
      <c r="J615">
        <f t="shared" si="27"/>
        <v>26328.55078125</v>
      </c>
      <c r="K615">
        <f t="shared" si="28"/>
        <v>-5.1482179294133124E-2</v>
      </c>
    </row>
    <row r="616" spans="1:11" x14ac:dyDescent="0.3">
      <c r="A616" s="2">
        <v>45911</v>
      </c>
      <c r="B616">
        <v>25005.5</v>
      </c>
      <c r="C616">
        <f t="shared" si="29"/>
        <v>4.3390454100097975E-3</v>
      </c>
      <c r="J616">
        <f t="shared" si="27"/>
        <v>26328.55078125</v>
      </c>
      <c r="K616">
        <f t="shared" si="28"/>
        <v>-5.0251561213624285E-2</v>
      </c>
    </row>
    <row r="617" spans="1:11" x14ac:dyDescent="0.3">
      <c r="A617" s="2">
        <v>45912</v>
      </c>
      <c r="B617">
        <v>25114</v>
      </c>
      <c r="C617">
        <f t="shared" si="29"/>
        <v>-1.7838966811340288E-3</v>
      </c>
      <c r="J617">
        <f t="shared" si="27"/>
        <v>26328.55078125</v>
      </c>
      <c r="K617">
        <f t="shared" si="28"/>
        <v>-4.6130559609644295E-2</v>
      </c>
    </row>
    <row r="618" spans="1:11" x14ac:dyDescent="0.3">
      <c r="A618" s="2">
        <v>45915</v>
      </c>
      <c r="B618">
        <v>25069.19921875</v>
      </c>
      <c r="C618">
        <f t="shared" si="29"/>
        <v>6.7772563910987009E-3</v>
      </c>
      <c r="J618">
        <f t="shared" si="27"/>
        <v>26328.55078125</v>
      </c>
      <c r="K618">
        <f t="shared" si="28"/>
        <v>-4.7832164138591815E-2</v>
      </c>
    </row>
    <row r="619" spans="1:11" x14ac:dyDescent="0.3">
      <c r="A619" s="2">
        <v>45916</v>
      </c>
      <c r="B619">
        <v>25239.099609375</v>
      </c>
      <c r="C619">
        <f t="shared" si="29"/>
        <v>3.6114755294654973E-3</v>
      </c>
      <c r="J619">
        <f t="shared" si="27"/>
        <v>26328.55078125</v>
      </c>
      <c r="K619">
        <f t="shared" si="28"/>
        <v>-4.1379078587601481E-2</v>
      </c>
    </row>
    <row r="620" spans="1:11" x14ac:dyDescent="0.3">
      <c r="A620" s="2">
        <v>45917</v>
      </c>
      <c r="B620">
        <v>25330.25</v>
      </c>
      <c r="C620">
        <f t="shared" si="29"/>
        <v>3.6853015416350018E-3</v>
      </c>
      <c r="J620">
        <f t="shared" si="27"/>
        <v>26328.55078125</v>
      </c>
      <c r="K620">
        <f t="shared" si="28"/>
        <v>-3.7917042587886973E-2</v>
      </c>
    </row>
    <row r="621" spans="1:11" x14ac:dyDescent="0.3">
      <c r="A621" s="2">
        <v>45918</v>
      </c>
      <c r="B621">
        <v>25423.599609375</v>
      </c>
      <c r="C621">
        <f t="shared" si="29"/>
        <v>-3.7976065391384403E-3</v>
      </c>
      <c r="J621">
        <f t="shared" si="27"/>
        <v>26328.55078125</v>
      </c>
      <c r="K621">
        <f t="shared" si="28"/>
        <v>-3.4371476781755339E-2</v>
      </c>
    </row>
    <row r="622" spans="1:11" x14ac:dyDescent="0.3">
      <c r="A622" s="2">
        <v>45919</v>
      </c>
      <c r="B622">
        <v>25327.05078125</v>
      </c>
      <c r="C622">
        <f t="shared" si="29"/>
        <v>-4.9236357186648108E-3</v>
      </c>
      <c r="J622">
        <f t="shared" si="27"/>
        <v>26328.55078125</v>
      </c>
      <c r="K622">
        <f t="shared" si="28"/>
        <v>-3.8038553975907496E-2</v>
      </c>
    </row>
    <row r="623" spans="1:11" x14ac:dyDescent="0.3">
      <c r="A623" s="2">
        <v>45922</v>
      </c>
      <c r="B623">
        <v>25202.349609375</v>
      </c>
      <c r="C623">
        <f t="shared" si="29"/>
        <v>-1.3034343973539794E-3</v>
      </c>
      <c r="J623">
        <f t="shared" si="27"/>
        <v>26328.55078125</v>
      </c>
      <c r="K623">
        <f t="shared" si="28"/>
        <v>-4.27749017115302E-2</v>
      </c>
    </row>
    <row r="624" spans="1:11" x14ac:dyDescent="0.3">
      <c r="A624" s="2">
        <v>45923</v>
      </c>
      <c r="B624">
        <v>25169.5</v>
      </c>
      <c r="C624">
        <f t="shared" si="29"/>
        <v>-4.4736530076084149E-3</v>
      </c>
      <c r="J624">
        <f t="shared" si="27"/>
        <v>26328.55078125</v>
      </c>
      <c r="K624">
        <f t="shared" si="28"/>
        <v>-4.4022581830649887E-2</v>
      </c>
    </row>
    <row r="625" spans="1:11" x14ac:dyDescent="0.3">
      <c r="A625" s="2">
        <v>45924</v>
      </c>
      <c r="B625">
        <v>25056.900390625</v>
      </c>
      <c r="C625">
        <f t="shared" si="29"/>
        <v>-6.6269482123226878E-3</v>
      </c>
      <c r="J625">
        <f t="shared" si="27"/>
        <v>26328.55078125</v>
      </c>
      <c r="K625">
        <f t="shared" si="28"/>
        <v>-4.8299293082648909E-2</v>
      </c>
    </row>
    <row r="626" spans="1:11" x14ac:dyDescent="0.3">
      <c r="A626" s="2">
        <v>45925</v>
      </c>
      <c r="B626">
        <v>24890.849609375</v>
      </c>
      <c r="C626">
        <f t="shared" si="29"/>
        <v>-9.4874379272315099E-3</v>
      </c>
      <c r="J626">
        <f t="shared" si="27"/>
        <v>26328.55078125</v>
      </c>
      <c r="K626">
        <f t="shared" si="28"/>
        <v>-5.4606164381021172E-2</v>
      </c>
    </row>
    <row r="627" spans="1:11" x14ac:dyDescent="0.3">
      <c r="A627" s="2">
        <v>45926</v>
      </c>
      <c r="B627">
        <v>24654.69921875</v>
      </c>
      <c r="C627">
        <f t="shared" si="29"/>
        <v>-8.030448049409952E-4</v>
      </c>
      <c r="J627">
        <f t="shared" si="27"/>
        <v>26328.55078125</v>
      </c>
      <c r="K627">
        <f t="shared" si="28"/>
        <v>-6.3575529713243539E-2</v>
      </c>
    </row>
    <row r="628" spans="1:11" x14ac:dyDescent="0.3">
      <c r="A628" s="2">
        <v>45929</v>
      </c>
      <c r="B628">
        <v>24634.900390625</v>
      </c>
      <c r="C628">
        <f t="shared" si="29"/>
        <v>-9.6614075448251335E-4</v>
      </c>
      <c r="J628">
        <f t="shared" si="27"/>
        <v>26328.55078125</v>
      </c>
      <c r="K628">
        <f t="shared" si="28"/>
        <v>-6.4327520519326886E-2</v>
      </c>
    </row>
    <row r="629" spans="1:11" x14ac:dyDescent="0.3">
      <c r="A629" s="2">
        <v>45930</v>
      </c>
      <c r="B629">
        <v>24611.099609375</v>
      </c>
      <c r="C629">
        <f t="shared" si="29"/>
        <v>9.1503904924758045E-3</v>
      </c>
      <c r="J629">
        <f t="shared" si="27"/>
        <v>26328.55078125</v>
      </c>
      <c r="K629">
        <f t="shared" si="28"/>
        <v>-6.5231511834600853E-2</v>
      </c>
    </row>
    <row r="630" spans="1:11" x14ac:dyDescent="0.3">
      <c r="A630" s="2">
        <v>45931</v>
      </c>
      <c r="B630">
        <v>24836.30078125</v>
      </c>
      <c r="C630">
        <f t="shared" si="29"/>
        <v>2.3332467769817144E-3</v>
      </c>
      <c r="J630">
        <f t="shared" si="27"/>
        <v>26328.55078125</v>
      </c>
      <c r="K630">
        <f t="shared" si="28"/>
        <v>-5.6678015147826222E-2</v>
      </c>
    </row>
    <row r="631" spans="1:11" x14ac:dyDescent="0.3">
      <c r="A631" s="2">
        <v>45933</v>
      </c>
      <c r="B631">
        <v>24894.25</v>
      </c>
      <c r="C631">
        <f t="shared" si="29"/>
        <v>7.3671787912871446E-3</v>
      </c>
      <c r="J631">
        <f t="shared" si="27"/>
        <v>26328.55078125</v>
      </c>
      <c r="K631">
        <f t="shared" si="28"/>
        <v>-5.447701216701395E-2</v>
      </c>
    </row>
    <row r="632" spans="1:11" x14ac:dyDescent="0.3">
      <c r="A632" s="2">
        <v>45936</v>
      </c>
      <c r="B632">
        <v>25077.650390625</v>
      </c>
      <c r="C632">
        <f t="shared" si="29"/>
        <v>1.2222193924698109E-3</v>
      </c>
      <c r="J632">
        <f t="shared" si="27"/>
        <v>26328.55078125</v>
      </c>
      <c r="K632">
        <f t="shared" si="28"/>
        <v>-4.7511175264376315E-2</v>
      </c>
    </row>
    <row r="633" spans="1:11" x14ac:dyDescent="0.3">
      <c r="A633" s="2">
        <v>45937</v>
      </c>
      <c r="B633">
        <v>25108.30078125</v>
      </c>
      <c r="C633">
        <f t="shared" si="29"/>
        <v>-2.4752925801897249E-3</v>
      </c>
      <c r="J633">
        <f t="shared" si="27"/>
        <v>26328.55078125</v>
      </c>
      <c r="K633">
        <f t="shared" si="28"/>
        <v>-4.6347024951673643E-2</v>
      </c>
    </row>
    <row r="634" spans="1:11" x14ac:dyDescent="0.3">
      <c r="A634" s="2">
        <v>45938</v>
      </c>
      <c r="B634">
        <v>25046.150390625</v>
      </c>
      <c r="C634">
        <f t="shared" si="29"/>
        <v>5.4160175719369296E-3</v>
      </c>
      <c r="J634">
        <f t="shared" si="27"/>
        <v>26328.55078125</v>
      </c>
      <c r="K634">
        <f t="shared" si="28"/>
        <v>-4.8707595084886646E-2</v>
      </c>
    </row>
    <row r="635" spans="1:11" x14ac:dyDescent="0.3">
      <c r="A635" s="2">
        <v>45939</v>
      </c>
      <c r="B635">
        <v>25181.80078125</v>
      </c>
      <c r="C635">
        <f t="shared" si="29"/>
        <v>4.1120501676790702E-3</v>
      </c>
      <c r="J635">
        <f t="shared" si="27"/>
        <v>26328.55078125</v>
      </c>
      <c r="K635">
        <f t="shared" si="28"/>
        <v>-4.3555378703816205E-2</v>
      </c>
    </row>
    <row r="636" spans="1:11" x14ac:dyDescent="0.3">
      <c r="A636" s="2">
        <v>45940</v>
      </c>
      <c r="B636">
        <v>25285.349609375</v>
      </c>
      <c r="C636">
        <f t="shared" si="29"/>
        <v>-2.2938183927065595E-3</v>
      </c>
      <c r="J636">
        <f t="shared" si="27"/>
        <v>26328.55078125</v>
      </c>
      <c r="K636">
        <f t="shared" si="28"/>
        <v>-3.9622430438439493E-2</v>
      </c>
    </row>
    <row r="637" spans="1:11" x14ac:dyDescent="0.3">
      <c r="A637" s="2">
        <v>45943</v>
      </c>
      <c r="B637">
        <v>25227.349609375</v>
      </c>
      <c r="C637">
        <f t="shared" si="29"/>
        <v>-3.2444791324643557E-3</v>
      </c>
      <c r="J637">
        <f t="shared" si="27"/>
        <v>26328.55078125</v>
      </c>
      <c r="K637">
        <f t="shared" si="28"/>
        <v>-4.1825362171442615E-2</v>
      </c>
    </row>
    <row r="638" spans="1:11" x14ac:dyDescent="0.3">
      <c r="A638" s="2">
        <v>45944</v>
      </c>
      <c r="B638">
        <v>25145.5</v>
      </c>
      <c r="C638">
        <f t="shared" si="29"/>
        <v>7.0808208725219226E-3</v>
      </c>
      <c r="J638">
        <f t="shared" si="27"/>
        <v>26328.55078125</v>
      </c>
      <c r="K638">
        <f t="shared" si="28"/>
        <v>-4.4934139789133964E-2</v>
      </c>
    </row>
    <row r="639" spans="1:11" x14ac:dyDescent="0.3">
      <c r="A639" s="2">
        <v>45945</v>
      </c>
      <c r="B639">
        <v>25323.55078125</v>
      </c>
      <c r="C639">
        <f t="shared" si="29"/>
        <v>1.0336228211479895E-2</v>
      </c>
      <c r="J639">
        <f t="shared" si="27"/>
        <v>26328.55078125</v>
      </c>
      <c r="K639">
        <f t="shared" si="28"/>
        <v>-3.8171489511519718E-2</v>
      </c>
    </row>
    <row r="640" spans="1:11" x14ac:dyDescent="0.3">
      <c r="A640" s="2">
        <v>45946</v>
      </c>
      <c r="B640">
        <v>25585.30078125</v>
      </c>
      <c r="C640">
        <f t="shared" si="29"/>
        <v>4.8679837376105692E-3</v>
      </c>
      <c r="J640">
        <f t="shared" si="27"/>
        <v>26328.55078125</v>
      </c>
      <c r="K640">
        <f t="shared" si="28"/>
        <v>-2.8229810526803067E-2</v>
      </c>
    </row>
    <row r="641" spans="1:11" x14ac:dyDescent="0.3">
      <c r="A641" s="2">
        <v>45947</v>
      </c>
      <c r="B641">
        <v>25709.849609375</v>
      </c>
      <c r="C641">
        <f t="shared" si="29"/>
        <v>5.1848137299641134E-3</v>
      </c>
      <c r="J641">
        <f t="shared" si="27"/>
        <v>26328.55078125</v>
      </c>
      <c r="K641">
        <f t="shared" si="28"/>
        <v>-2.3499249047752802E-2</v>
      </c>
    </row>
    <row r="642" spans="1:11" x14ac:dyDescent="0.3">
      <c r="A642" s="2">
        <v>45950</v>
      </c>
      <c r="B642">
        <v>25843.150390625</v>
      </c>
      <c r="C642">
        <f t="shared" si="29"/>
        <v>9.8475682590277742E-4</v>
      </c>
      <c r="J642">
        <f t="shared" ref="J642:J705" si="30">MAX(B642:B1380)</f>
        <v>26328.55078125</v>
      </c>
      <c r="K642">
        <f t="shared" ref="K642:K705" si="31">B642/J642-1</f>
        <v>-1.8436274546895337E-2</v>
      </c>
    </row>
    <row r="643" spans="1:11" x14ac:dyDescent="0.3">
      <c r="A643" s="2">
        <v>45951</v>
      </c>
      <c r="B643">
        <v>25868.599609375</v>
      </c>
      <c r="C643">
        <f t="shared" ref="C643:C706" si="32">(B644-B643)/B643</f>
        <v>8.8140763683770514E-4</v>
      </c>
      <c r="J643">
        <f t="shared" si="30"/>
        <v>26328.55078125</v>
      </c>
      <c r="K643">
        <f t="shared" si="31"/>
        <v>-1.7469672968196792E-2</v>
      </c>
    </row>
    <row r="644" spans="1:11" x14ac:dyDescent="0.3">
      <c r="A644" s="2">
        <v>45953</v>
      </c>
      <c r="B644">
        <v>25891.400390625</v>
      </c>
      <c r="C644">
        <f t="shared" si="32"/>
        <v>-3.7174505259611641E-3</v>
      </c>
      <c r="J644">
        <f t="shared" si="30"/>
        <v>26328.55078125</v>
      </c>
      <c r="K644">
        <f t="shared" si="31"/>
        <v>-1.6603663234526334E-2</v>
      </c>
    </row>
    <row r="645" spans="1:11" x14ac:dyDescent="0.3">
      <c r="A645" s="2">
        <v>45954</v>
      </c>
      <c r="B645">
        <v>25795.150390625</v>
      </c>
      <c r="C645">
        <f t="shared" si="32"/>
        <v>6.6252915000298701E-3</v>
      </c>
      <c r="J645">
        <f t="shared" si="30"/>
        <v>26328.55078125</v>
      </c>
      <c r="K645">
        <f t="shared" si="31"/>
        <v>-2.025939046386338E-2</v>
      </c>
    </row>
    <row r="646" spans="1:11" x14ac:dyDescent="0.3">
      <c r="A646" s="2">
        <v>45957</v>
      </c>
      <c r="B646">
        <v>25966.05078125</v>
      </c>
      <c r="C646">
        <f t="shared" si="32"/>
        <v>-1.1496381468049702E-3</v>
      </c>
      <c r="J646">
        <f t="shared" si="30"/>
        <v>26328.55078125</v>
      </c>
      <c r="K646">
        <f t="shared" si="31"/>
        <v>-1.3768323331269539E-2</v>
      </c>
    </row>
    <row r="647" spans="1:11" x14ac:dyDescent="0.3">
      <c r="A647" s="2">
        <v>45958</v>
      </c>
      <c r="B647">
        <v>25936.19921875</v>
      </c>
      <c r="C647">
        <f t="shared" si="32"/>
        <v>4.5381040946782421E-3</v>
      </c>
      <c r="J647">
        <f t="shared" si="30"/>
        <v>26328.55078125</v>
      </c>
      <c r="K647">
        <f t="shared" si="31"/>
        <v>-1.4902132888355402E-2</v>
      </c>
    </row>
    <row r="648" spans="1:11" x14ac:dyDescent="0.3">
      <c r="A648" s="2">
        <v>45959</v>
      </c>
      <c r="B648">
        <v>26053.900390625</v>
      </c>
      <c r="C648">
        <f t="shared" si="32"/>
        <v>-6.7571756478100502E-3</v>
      </c>
      <c r="J648">
        <f t="shared" si="30"/>
        <v>26328.55078125</v>
      </c>
      <c r="K648">
        <f t="shared" si="31"/>
        <v>-1.0431656223957253E-2</v>
      </c>
    </row>
    <row r="649" spans="1:11" x14ac:dyDescent="0.3">
      <c r="A649" s="2">
        <v>45960</v>
      </c>
      <c r="B649">
        <v>25877.849609375</v>
      </c>
      <c r="C649">
        <f t="shared" si="32"/>
        <v>-6.0186608373972101E-3</v>
      </c>
      <c r="J649">
        <f t="shared" si="30"/>
        <v>26328.55078125</v>
      </c>
      <c r="K649">
        <f t="shared" si="31"/>
        <v>-1.7118343338364372E-2</v>
      </c>
    </row>
    <row r="650" spans="1:11" x14ac:dyDescent="0.3">
      <c r="A650" s="2">
        <v>45961</v>
      </c>
      <c r="B650">
        <v>25722.099609375</v>
      </c>
      <c r="C650">
        <f t="shared" si="32"/>
        <v>1.6036793506920993E-3</v>
      </c>
      <c r="J650">
        <f t="shared" si="30"/>
        <v>26328.55078125</v>
      </c>
      <c r="K650">
        <f t="shared" si="31"/>
        <v>-2.3033974673109858E-2</v>
      </c>
    </row>
    <row r="651" spans="1:11" x14ac:dyDescent="0.3">
      <c r="A651" s="2">
        <v>45964</v>
      </c>
      <c r="B651">
        <v>25763.349609375</v>
      </c>
      <c r="C651">
        <f t="shared" si="32"/>
        <v>-6.4315867797603409E-3</v>
      </c>
      <c r="J651">
        <f t="shared" si="30"/>
        <v>26328.55078125</v>
      </c>
      <c r="K651">
        <f t="shared" si="31"/>
        <v>-2.146723443196541E-2</v>
      </c>
    </row>
    <row r="652" spans="1:11" x14ac:dyDescent="0.3">
      <c r="A652" s="2">
        <v>45965</v>
      </c>
      <c r="B652">
        <v>25597.650390625</v>
      </c>
      <c r="C652">
        <f t="shared" si="32"/>
        <v>-3.4359080045569977E-3</v>
      </c>
      <c r="J652">
        <f t="shared" si="30"/>
        <v>26328.55078125</v>
      </c>
      <c r="K652">
        <f t="shared" si="31"/>
        <v>-2.7760752830555124E-2</v>
      </c>
    </row>
    <row r="653" spans="1:11" x14ac:dyDescent="0.3">
      <c r="A653" s="2">
        <v>45967</v>
      </c>
      <c r="B653">
        <v>25509.69921875</v>
      </c>
      <c r="C653">
        <f t="shared" si="32"/>
        <v>-6.8203224784445498E-4</v>
      </c>
      <c r="J653">
        <f t="shared" si="30"/>
        <v>26328.55078125</v>
      </c>
      <c r="K653">
        <f t="shared" si="31"/>
        <v>-3.1101277442249109E-2</v>
      </c>
    </row>
    <row r="654" spans="1:11" x14ac:dyDescent="0.3">
      <c r="A654" s="2">
        <v>45968</v>
      </c>
      <c r="B654">
        <v>25492.30078125</v>
      </c>
      <c r="C654">
        <f t="shared" si="32"/>
        <v>3.2185728871263058E-3</v>
      </c>
      <c r="J654">
        <f t="shared" si="30"/>
        <v>26328.55078125</v>
      </c>
      <c r="K654">
        <f t="shared" si="31"/>
        <v>-3.1762097615928742E-2</v>
      </c>
    </row>
    <row r="655" spans="1:11" x14ac:dyDescent="0.3">
      <c r="A655" s="2">
        <v>45971</v>
      </c>
      <c r="B655">
        <v>25574.349609375</v>
      </c>
      <c r="C655">
        <f t="shared" si="32"/>
        <v>4.7156471705849679E-3</v>
      </c>
      <c r="J655">
        <f t="shared" si="30"/>
        <v>26328.55078125</v>
      </c>
      <c r="K655">
        <f t="shared" si="31"/>
        <v>-2.8645753355027392E-2</v>
      </c>
    </row>
    <row r="656" spans="1:11" x14ac:dyDescent="0.3">
      <c r="A656" s="2">
        <v>45972</v>
      </c>
      <c r="B656">
        <v>25694.94921875</v>
      </c>
      <c r="C656">
        <f t="shared" si="32"/>
        <v>7.0384090258497119E-3</v>
      </c>
      <c r="J656">
        <f t="shared" si="30"/>
        <v>26328.55078125</v>
      </c>
      <c r="K656">
        <f t="shared" si="31"/>
        <v>-2.4065189450200308E-2</v>
      </c>
    </row>
    <row r="657" spans="1:11" x14ac:dyDescent="0.3">
      <c r="A657" s="2">
        <v>45973</v>
      </c>
      <c r="B657">
        <v>25875.80078125</v>
      </c>
      <c r="C657">
        <f t="shared" si="32"/>
        <v>1.2944949620369539E-4</v>
      </c>
      <c r="J657">
        <f t="shared" si="30"/>
        <v>26328.55078125</v>
      </c>
      <c r="K657">
        <f t="shared" si="31"/>
        <v>-1.7196161070985649E-2</v>
      </c>
    </row>
    <row r="658" spans="1:11" x14ac:dyDescent="0.3">
      <c r="A658" s="2">
        <v>45974</v>
      </c>
      <c r="B658">
        <v>25879.150390625</v>
      </c>
      <c r="C658">
        <f t="shared" si="32"/>
        <v>1.1940264714483827E-3</v>
      </c>
      <c r="J658">
        <f t="shared" si="30"/>
        <v>26328.55078125</v>
      </c>
      <c r="K658">
        <f t="shared" si="31"/>
        <v>-1.7068937609169277E-2</v>
      </c>
    </row>
    <row r="659" spans="1:11" x14ac:dyDescent="0.3">
      <c r="A659" s="2">
        <v>45975</v>
      </c>
      <c r="B659">
        <v>25910.05078125</v>
      </c>
      <c r="C659">
        <f t="shared" si="32"/>
        <v>3.9906690408659891E-3</v>
      </c>
      <c r="J659">
        <f t="shared" si="30"/>
        <v>26328.55078125</v>
      </c>
      <c r="K659">
        <f t="shared" si="31"/>
        <v>-1.5895291901065645E-2</v>
      </c>
    </row>
    <row r="660" spans="1:11" x14ac:dyDescent="0.3">
      <c r="A660" s="2">
        <v>45978</v>
      </c>
      <c r="B660">
        <v>26013.44921875</v>
      </c>
      <c r="C660">
        <f t="shared" si="32"/>
        <v>-3.974806902018682E-3</v>
      </c>
      <c r="J660">
        <f t="shared" si="30"/>
        <v>26328.55078125</v>
      </c>
      <c r="K660">
        <f t="shared" si="31"/>
        <v>-1.1968055709484782E-2</v>
      </c>
    </row>
    <row r="661" spans="1:11" x14ac:dyDescent="0.3">
      <c r="A661" s="2">
        <v>45979</v>
      </c>
      <c r="B661">
        <v>25910.05078125</v>
      </c>
      <c r="C661">
        <f t="shared" si="32"/>
        <v>5.503640675154263E-3</v>
      </c>
      <c r="J661">
        <f t="shared" si="30"/>
        <v>26328.55078125</v>
      </c>
      <c r="K661">
        <f t="shared" si="31"/>
        <v>-1.5895291901065645E-2</v>
      </c>
    </row>
    <row r="662" spans="1:11" x14ac:dyDescent="0.3">
      <c r="A662" s="2">
        <v>45980</v>
      </c>
      <c r="B662">
        <v>26052.650390625</v>
      </c>
      <c r="C662">
        <f t="shared" si="32"/>
        <v>5.3545415882216276E-3</v>
      </c>
      <c r="J662">
        <f t="shared" si="30"/>
        <v>26328.55078125</v>
      </c>
      <c r="K662">
        <f t="shared" si="31"/>
        <v>-1.047913320096161E-2</v>
      </c>
    </row>
    <row r="663" spans="1:11" x14ac:dyDescent="0.3">
      <c r="A663" s="2">
        <v>45981</v>
      </c>
      <c r="B663">
        <v>26192.150390625</v>
      </c>
      <c r="C663">
        <f t="shared" si="32"/>
        <v>-4.7342428227803521E-3</v>
      </c>
      <c r="J663">
        <f t="shared" si="30"/>
        <v>26328.55078125</v>
      </c>
      <c r="K663">
        <f t="shared" si="31"/>
        <v>-5.1807025672729878E-3</v>
      </c>
    </row>
    <row r="664" spans="1:11" x14ac:dyDescent="0.3">
      <c r="A664" s="2">
        <v>45982</v>
      </c>
      <c r="B664">
        <v>26068.150390625</v>
      </c>
      <c r="C664">
        <f t="shared" si="32"/>
        <v>-4.167936312968119E-3</v>
      </c>
      <c r="J664">
        <f t="shared" si="30"/>
        <v>26328.55078125</v>
      </c>
      <c r="K664">
        <f t="shared" si="31"/>
        <v>-9.890418686107294E-3</v>
      </c>
    </row>
    <row r="665" spans="1:11" x14ac:dyDescent="0.3">
      <c r="A665" s="2">
        <v>45985</v>
      </c>
      <c r="B665">
        <v>25959.5</v>
      </c>
      <c r="C665">
        <f t="shared" si="32"/>
        <v>-2.8775291800689534E-3</v>
      </c>
      <c r="J665">
        <f t="shared" si="30"/>
        <v>26328.55078125</v>
      </c>
      <c r="K665">
        <f t="shared" si="31"/>
        <v>-1.4017132363883134E-2</v>
      </c>
    </row>
    <row r="666" spans="1:11" x14ac:dyDescent="0.3">
      <c r="A666" s="2">
        <v>45986</v>
      </c>
      <c r="B666">
        <v>25884.80078125</v>
      </c>
      <c r="C666">
        <f t="shared" si="32"/>
        <v>1.2381783530362669E-2</v>
      </c>
      <c r="J666">
        <f t="shared" si="30"/>
        <v>26328.55078125</v>
      </c>
      <c r="K666">
        <f t="shared" si="31"/>
        <v>-1.6854326836554079E-2</v>
      </c>
    </row>
    <row r="667" spans="1:11" x14ac:dyDescent="0.3">
      <c r="A667" s="2">
        <v>45987</v>
      </c>
      <c r="B667">
        <v>26205.30078125</v>
      </c>
      <c r="C667">
        <f t="shared" si="32"/>
        <v>3.9114223818922608E-4</v>
      </c>
      <c r="J667">
        <f t="shared" si="30"/>
        <v>26328.55078125</v>
      </c>
      <c r="K667">
        <f t="shared" si="31"/>
        <v>-4.6812299326316476E-3</v>
      </c>
    </row>
    <row r="668" spans="1:11" x14ac:dyDescent="0.3">
      <c r="A668" s="2">
        <v>45988</v>
      </c>
      <c r="B668">
        <v>26215.55078125</v>
      </c>
      <c r="C668">
        <f t="shared" si="32"/>
        <v>-4.8069035837358583E-4</v>
      </c>
      <c r="J668">
        <f t="shared" si="30"/>
        <v>26328.55078125</v>
      </c>
      <c r="K668">
        <f t="shared" si="31"/>
        <v>-4.2919187211957199E-3</v>
      </c>
    </row>
    <row r="669" spans="1:11" x14ac:dyDescent="0.3">
      <c r="A669" s="2">
        <v>45989</v>
      </c>
      <c r="B669">
        <v>26202.94921875</v>
      </c>
      <c r="C669">
        <f t="shared" si="32"/>
        <v>-1.0380212747402153E-3</v>
      </c>
      <c r="J669">
        <f t="shared" si="30"/>
        <v>26328.55078125</v>
      </c>
      <c r="K669">
        <f t="shared" si="31"/>
        <v>-4.7705459956211005E-3</v>
      </c>
    </row>
    <row r="670" spans="1:11" x14ac:dyDescent="0.3">
      <c r="A670" s="2">
        <v>45992</v>
      </c>
      <c r="B670">
        <v>26175.75</v>
      </c>
      <c r="C670">
        <f t="shared" si="32"/>
        <v>-5.4841133969418263E-3</v>
      </c>
      <c r="J670">
        <f t="shared" si="30"/>
        <v>26328.55078125</v>
      </c>
      <c r="K670">
        <f t="shared" si="31"/>
        <v>-5.8036153421258119E-3</v>
      </c>
    </row>
    <row r="671" spans="1:11" x14ac:dyDescent="0.3">
      <c r="A671" s="2">
        <v>45993</v>
      </c>
      <c r="B671">
        <v>26032.19921875</v>
      </c>
      <c r="C671">
        <f t="shared" si="32"/>
        <v>-1.7746951904364832E-3</v>
      </c>
      <c r="J671">
        <f t="shared" si="30"/>
        <v>26328.55078125</v>
      </c>
      <c r="K671">
        <f t="shared" si="31"/>
        <v>-1.1255901054419204E-2</v>
      </c>
    </row>
    <row r="672" spans="1:11" x14ac:dyDescent="0.3">
      <c r="A672" s="2">
        <v>45994</v>
      </c>
      <c r="B672">
        <v>25986</v>
      </c>
      <c r="C672">
        <f t="shared" si="32"/>
        <v>1.8375278996382667E-3</v>
      </c>
      <c r="J672">
        <f t="shared" si="30"/>
        <v>26328.55078125</v>
      </c>
      <c r="K672">
        <f t="shared" si="31"/>
        <v>-1.3010620451390342E-2</v>
      </c>
    </row>
    <row r="673" spans="1:11" x14ac:dyDescent="0.3">
      <c r="A673" s="2">
        <v>45995</v>
      </c>
      <c r="B673">
        <v>26033.75</v>
      </c>
      <c r="C673">
        <f t="shared" si="32"/>
        <v>5.8654330916598644E-3</v>
      </c>
      <c r="J673">
        <f t="shared" si="30"/>
        <v>26328.55078125</v>
      </c>
      <c r="K673">
        <f t="shared" si="31"/>
        <v>-1.1196999929823148E-2</v>
      </c>
    </row>
    <row r="674" spans="1:11" x14ac:dyDescent="0.3">
      <c r="A674" s="2">
        <v>45996</v>
      </c>
      <c r="B674">
        <v>26186.44921875</v>
      </c>
      <c r="C674">
        <f t="shared" si="32"/>
        <v>-8.6265394598918129E-3</v>
      </c>
      <c r="J674">
        <f t="shared" si="30"/>
        <v>26328.55078125</v>
      </c>
      <c r="K674">
        <f t="shared" si="31"/>
        <v>-5.3972420920789244E-3</v>
      </c>
    </row>
    <row r="675" spans="1:11" x14ac:dyDescent="0.3">
      <c r="A675" s="2">
        <v>45999</v>
      </c>
      <c r="B675">
        <v>25960.55078125</v>
      </c>
      <c r="C675">
        <f t="shared" si="32"/>
        <v>-4.6570811090926572E-3</v>
      </c>
      <c r="J675">
        <f t="shared" si="30"/>
        <v>26328.55078125</v>
      </c>
      <c r="K675">
        <f t="shared" si="31"/>
        <v>-1.3977222030088776E-2</v>
      </c>
    </row>
    <row r="676" spans="1:11" x14ac:dyDescent="0.3">
      <c r="A676" s="2">
        <v>46000</v>
      </c>
      <c r="B676">
        <v>25839.650390625</v>
      </c>
      <c r="C676">
        <f t="shared" si="32"/>
        <v>-3.159887590995579E-3</v>
      </c>
      <c r="J676">
        <f t="shared" si="30"/>
        <v>26328.55078125</v>
      </c>
      <c r="K676">
        <f t="shared" si="31"/>
        <v>-1.8569210082507559E-2</v>
      </c>
    </row>
    <row r="677" spans="1:11" x14ac:dyDescent="0.3">
      <c r="A677" s="2">
        <v>46001</v>
      </c>
      <c r="B677">
        <v>25758</v>
      </c>
      <c r="C677">
        <f t="shared" si="32"/>
        <v>5.4565875164997281E-3</v>
      </c>
      <c r="J677">
        <f t="shared" si="30"/>
        <v>26328.55078125</v>
      </c>
      <c r="K677">
        <f t="shared" si="31"/>
        <v>-2.1670421056988798E-2</v>
      </c>
    </row>
    <row r="678" spans="1:11" x14ac:dyDescent="0.3">
      <c r="A678" s="2">
        <v>46002</v>
      </c>
      <c r="B678">
        <v>25898.55078125</v>
      </c>
      <c r="C678">
        <f t="shared" si="32"/>
        <v>5.7299900196514974E-3</v>
      </c>
      <c r="J678">
        <f t="shared" si="30"/>
        <v>26328.55078125</v>
      </c>
      <c r="K678">
        <f t="shared" si="31"/>
        <v>-1.6332080089505929E-2</v>
      </c>
    </row>
    <row r="679" spans="1:11" x14ac:dyDescent="0.3">
      <c r="A679" s="2">
        <v>46003</v>
      </c>
      <c r="B679">
        <v>26046.94921875</v>
      </c>
      <c r="C679">
        <f t="shared" si="32"/>
        <v>-7.5434698071496196E-4</v>
      </c>
      <c r="J679">
        <f t="shared" si="30"/>
        <v>26328.55078125</v>
      </c>
      <c r="K679">
        <f t="shared" si="31"/>
        <v>-1.0695672725767547E-2</v>
      </c>
    </row>
    <row r="680" spans="1:11" x14ac:dyDescent="0.3">
      <c r="A680" s="2">
        <v>46006</v>
      </c>
      <c r="B680">
        <v>26027.30078125</v>
      </c>
      <c r="C680">
        <f t="shared" si="32"/>
        <v>-6.4240688375742476E-3</v>
      </c>
      <c r="J680">
        <f t="shared" si="30"/>
        <v>26328.55078125</v>
      </c>
      <c r="K680">
        <f t="shared" si="31"/>
        <v>-1.1441951458055044E-2</v>
      </c>
    </row>
    <row r="681" spans="1:11" x14ac:dyDescent="0.3">
      <c r="A681" s="2">
        <v>46007</v>
      </c>
      <c r="B681">
        <v>25860.099609375</v>
      </c>
      <c r="C681">
        <f t="shared" si="32"/>
        <v>-1.6066770334456639E-3</v>
      </c>
      <c r="J681">
        <f t="shared" si="30"/>
        <v>26328.55078125</v>
      </c>
      <c r="K681">
        <f t="shared" si="31"/>
        <v>-1.7792516411826553E-2</v>
      </c>
    </row>
    <row r="682" spans="1:11" x14ac:dyDescent="0.3">
      <c r="A682" s="2">
        <v>46008</v>
      </c>
      <c r="B682">
        <v>25818.55078125</v>
      </c>
      <c r="C682">
        <f t="shared" si="32"/>
        <v>-1.1619552256893776E-4</v>
      </c>
      <c r="J682">
        <f t="shared" si="30"/>
        <v>26328.55078125</v>
      </c>
      <c r="K682">
        <f t="shared" si="31"/>
        <v>-1.9370606617786112E-2</v>
      </c>
    </row>
    <row r="683" spans="1:11" x14ac:dyDescent="0.3">
      <c r="A683" s="2">
        <v>46009</v>
      </c>
      <c r="B683">
        <v>25815.55078125</v>
      </c>
      <c r="C683">
        <f t="shared" si="32"/>
        <v>5.8433620360547577E-3</v>
      </c>
      <c r="J683">
        <f t="shared" si="30"/>
        <v>26328.55078125</v>
      </c>
      <c r="K683">
        <f t="shared" si="31"/>
        <v>-1.9484551362596636E-2</v>
      </c>
    </row>
    <row r="684" spans="1:11" x14ac:dyDescent="0.3">
      <c r="A684" s="2">
        <v>46010</v>
      </c>
      <c r="B684">
        <v>25966.400390625</v>
      </c>
      <c r="C684">
        <f t="shared" si="32"/>
        <v>7.9333291061157232E-3</v>
      </c>
      <c r="J684">
        <f t="shared" si="30"/>
        <v>26328.55078125</v>
      </c>
      <c r="K684">
        <f t="shared" si="31"/>
        <v>-1.375504461426369E-2</v>
      </c>
    </row>
    <row r="685" spans="1:11" x14ac:dyDescent="0.3">
      <c r="A685" s="2">
        <v>46013</v>
      </c>
      <c r="B685">
        <v>26172.400390625</v>
      </c>
      <c r="C685">
        <f t="shared" si="32"/>
        <v>1.814888939916057E-4</v>
      </c>
      <c r="J685">
        <f t="shared" si="30"/>
        <v>26328.55078125</v>
      </c>
      <c r="K685">
        <f t="shared" si="31"/>
        <v>-5.9308388039421844E-3</v>
      </c>
    </row>
    <row r="686" spans="1:11" x14ac:dyDescent="0.3">
      <c r="A686" s="2">
        <v>46014</v>
      </c>
      <c r="B686">
        <v>26177.150390625</v>
      </c>
      <c r="C686">
        <f t="shared" si="32"/>
        <v>-1.3389838361685454E-3</v>
      </c>
      <c r="J686">
        <f t="shared" si="30"/>
        <v>26328.55078125</v>
      </c>
      <c r="K686">
        <f t="shared" si="31"/>
        <v>-5.7504262913256055E-3</v>
      </c>
    </row>
    <row r="687" spans="1:11" x14ac:dyDescent="0.3">
      <c r="A687" s="2">
        <v>46015</v>
      </c>
      <c r="B687">
        <v>26142.099609375</v>
      </c>
      <c r="C687">
        <f t="shared" si="32"/>
        <v>-3.8175521330050493E-3</v>
      </c>
      <c r="J687">
        <f t="shared" si="30"/>
        <v>26328.55078125</v>
      </c>
      <c r="K687">
        <f t="shared" si="31"/>
        <v>-7.0817103996388964E-3</v>
      </c>
    </row>
    <row r="688" spans="1:11" x14ac:dyDescent="0.3">
      <c r="A688" s="2">
        <v>46017</v>
      </c>
      <c r="B688">
        <v>26042.30078125</v>
      </c>
      <c r="C688">
        <f t="shared" si="32"/>
        <v>-3.8476313101775974E-3</v>
      </c>
      <c r="J688">
        <f t="shared" si="30"/>
        <v>26328.55078125</v>
      </c>
      <c r="K688">
        <f t="shared" si="31"/>
        <v>-1.0872227734002538E-2</v>
      </c>
    </row>
    <row r="689" spans="1:11" x14ac:dyDescent="0.3">
      <c r="A689" s="2">
        <v>46020</v>
      </c>
      <c r="B689">
        <v>25942.099609375</v>
      </c>
      <c r="C689">
        <f t="shared" si="32"/>
        <v>-1.2527898855285829E-4</v>
      </c>
      <c r="J689">
        <f t="shared" si="30"/>
        <v>26328.55078125</v>
      </c>
      <c r="K689">
        <f t="shared" si="31"/>
        <v>-1.4678026720339354E-2</v>
      </c>
    </row>
    <row r="690" spans="1:11" x14ac:dyDescent="0.3">
      <c r="A690" s="2">
        <v>46021</v>
      </c>
      <c r="B690">
        <v>25938.849609375</v>
      </c>
      <c r="C690">
        <f t="shared" si="32"/>
        <v>7.353834224439075E-3</v>
      </c>
      <c r="J690">
        <f t="shared" si="30"/>
        <v>26328.55078125</v>
      </c>
      <c r="K690">
        <f t="shared" si="31"/>
        <v>-1.4801466860550727E-2</v>
      </c>
    </row>
    <row r="691" spans="1:11" x14ac:dyDescent="0.3">
      <c r="A691" s="2">
        <v>46022</v>
      </c>
      <c r="B691">
        <v>26129.599609375</v>
      </c>
      <c r="C691">
        <f t="shared" si="32"/>
        <v>6.4873446698043217E-4</v>
      </c>
      <c r="J691">
        <f t="shared" si="30"/>
        <v>26328.55078125</v>
      </c>
      <c r="K691">
        <f t="shared" si="31"/>
        <v>-7.5564801696826889E-3</v>
      </c>
    </row>
    <row r="692" spans="1:11" x14ac:dyDescent="0.3">
      <c r="A692" s="2">
        <v>46023</v>
      </c>
      <c r="B692">
        <v>26146.55078125</v>
      </c>
      <c r="C692">
        <f t="shared" si="32"/>
        <v>6.9607651702386052E-3</v>
      </c>
      <c r="J692">
        <f t="shared" si="30"/>
        <v>26328.55078125</v>
      </c>
      <c r="K692">
        <f t="shared" si="31"/>
        <v>-6.9126478518374279E-3</v>
      </c>
    </row>
    <row r="693" spans="1:11" x14ac:dyDescent="0.3">
      <c r="A693" s="2">
        <v>46024</v>
      </c>
      <c r="B693">
        <v>26328.55078125</v>
      </c>
      <c r="C693">
        <f t="shared" si="32"/>
        <v>-2.9720587604740519E-3</v>
      </c>
      <c r="J693">
        <f t="shared" si="30"/>
        <v>26328.55078125</v>
      </c>
      <c r="K693">
        <f t="shared" si="31"/>
        <v>0</v>
      </c>
    </row>
    <row r="694" spans="1:11" x14ac:dyDescent="0.3">
      <c r="A694" s="2">
        <v>46027</v>
      </c>
      <c r="B694">
        <v>26250.30078125</v>
      </c>
      <c r="C694">
        <f t="shared" si="32"/>
        <v>-2.7276473171363958E-3</v>
      </c>
      <c r="J694">
        <f t="shared" si="30"/>
        <v>26250.30078125</v>
      </c>
      <c r="K694">
        <f t="shared" si="31"/>
        <v>0</v>
      </c>
    </row>
    <row r="695" spans="1:11" x14ac:dyDescent="0.3">
      <c r="A695" s="2">
        <v>46028</v>
      </c>
      <c r="B695">
        <v>26178.69921875</v>
      </c>
      <c r="C695">
        <f t="shared" si="32"/>
        <v>-1.4496220164682432E-3</v>
      </c>
      <c r="J695">
        <f t="shared" si="30"/>
        <v>26178.69921875</v>
      </c>
      <c r="K695">
        <f t="shared" si="31"/>
        <v>0</v>
      </c>
    </row>
    <row r="696" spans="1:11" x14ac:dyDescent="0.3">
      <c r="A696" s="2">
        <v>46029</v>
      </c>
      <c r="B696">
        <v>26140.75</v>
      </c>
      <c r="C696">
        <f t="shared" si="32"/>
        <v>-1.0095364158449929E-2</v>
      </c>
      <c r="J696">
        <f t="shared" si="30"/>
        <v>26140.75</v>
      </c>
      <c r="K696">
        <f t="shared" si="31"/>
        <v>0</v>
      </c>
    </row>
    <row r="697" spans="1:11" x14ac:dyDescent="0.3">
      <c r="A697" s="2">
        <v>46030</v>
      </c>
      <c r="B697">
        <v>25876.849609375</v>
      </c>
      <c r="C697">
        <f t="shared" si="32"/>
        <v>-7.4796132854935563E-3</v>
      </c>
      <c r="J697">
        <f t="shared" si="30"/>
        <v>25953.849609375</v>
      </c>
      <c r="K697">
        <f t="shared" si="31"/>
        <v>-2.9668045842489166E-3</v>
      </c>
    </row>
    <row r="698" spans="1:11" x14ac:dyDescent="0.3">
      <c r="A698" s="2">
        <v>46031</v>
      </c>
      <c r="B698">
        <v>25683.30078125</v>
      </c>
      <c r="C698">
        <f t="shared" si="32"/>
        <v>4.1641539637334267E-3</v>
      </c>
      <c r="J698">
        <f t="shared" si="30"/>
        <v>25953.849609375</v>
      </c>
      <c r="K698">
        <f t="shared" si="31"/>
        <v>-1.0424227318758583E-2</v>
      </c>
    </row>
    <row r="699" spans="1:11" x14ac:dyDescent="0.3">
      <c r="A699" s="2">
        <v>46034</v>
      </c>
      <c r="B699">
        <v>25790.25</v>
      </c>
      <c r="C699">
        <f t="shared" si="32"/>
        <v>-2.2469428853927357E-3</v>
      </c>
      <c r="J699">
        <f t="shared" si="30"/>
        <v>25953.849609375</v>
      </c>
      <c r="K699">
        <f t="shared" si="31"/>
        <v>-6.303481442533454E-3</v>
      </c>
    </row>
    <row r="700" spans="1:11" x14ac:dyDescent="0.3">
      <c r="A700" s="2">
        <v>46035</v>
      </c>
      <c r="B700">
        <v>25732.30078125</v>
      </c>
      <c r="C700">
        <f t="shared" si="32"/>
        <v>-2.5921184600641006E-3</v>
      </c>
      <c r="J700">
        <f t="shared" si="30"/>
        <v>25953.849609375</v>
      </c>
      <c r="K700">
        <f t="shared" si="31"/>
        <v>-8.5362607651456868E-3</v>
      </c>
    </row>
    <row r="701" spans="1:11" x14ac:dyDescent="0.3">
      <c r="A701" s="2">
        <v>46036</v>
      </c>
      <c r="B701">
        <v>25665.599609375</v>
      </c>
      <c r="C701">
        <f t="shared" si="32"/>
        <v>1.1201764399651254E-3</v>
      </c>
      <c r="J701">
        <f t="shared" si="30"/>
        <v>25953.849609375</v>
      </c>
      <c r="K701">
        <f t="shared" si="31"/>
        <v>-1.110625222610051E-2</v>
      </c>
    </row>
    <row r="702" spans="1:11" x14ac:dyDescent="0.3">
      <c r="A702" s="2">
        <v>46038</v>
      </c>
      <c r="B702">
        <v>25694.349609375</v>
      </c>
      <c r="C702">
        <f t="shared" si="32"/>
        <v>-4.2363247573810724E-3</v>
      </c>
      <c r="J702">
        <f t="shared" si="30"/>
        <v>25953.849609375</v>
      </c>
      <c r="K702">
        <f t="shared" si="31"/>
        <v>-9.9985167482153914E-3</v>
      </c>
    </row>
    <row r="703" spans="1:11" x14ac:dyDescent="0.3">
      <c r="A703" s="2">
        <v>46041</v>
      </c>
      <c r="B703">
        <v>25585.5</v>
      </c>
      <c r="C703">
        <f t="shared" si="32"/>
        <v>-1.3796877137441129E-2</v>
      </c>
      <c r="J703">
        <f t="shared" si="30"/>
        <v>25953.849609375</v>
      </c>
      <c r="K703">
        <f t="shared" si="31"/>
        <v>-1.419248454155897E-2</v>
      </c>
    </row>
    <row r="704" spans="1:11" x14ac:dyDescent="0.3">
      <c r="A704" s="2">
        <v>46042</v>
      </c>
      <c r="B704">
        <v>25232.5</v>
      </c>
      <c r="C704">
        <f t="shared" si="32"/>
        <v>-2.9723570791637768E-3</v>
      </c>
      <c r="J704">
        <f t="shared" si="30"/>
        <v>25953.849609375</v>
      </c>
      <c r="K704">
        <f t="shared" si="31"/>
        <v>-2.7793549713505117E-2</v>
      </c>
    </row>
    <row r="705" spans="1:11" x14ac:dyDescent="0.3">
      <c r="A705" s="2">
        <v>46043</v>
      </c>
      <c r="B705">
        <v>25157.5</v>
      </c>
      <c r="C705">
        <f t="shared" si="32"/>
        <v>5.2628596094603996E-3</v>
      </c>
      <c r="J705">
        <f t="shared" si="30"/>
        <v>25953.849609375</v>
      </c>
      <c r="K705">
        <f t="shared" si="31"/>
        <v>-3.0683294438422881E-2</v>
      </c>
    </row>
    <row r="706" spans="1:11" x14ac:dyDescent="0.3">
      <c r="A706" s="2">
        <v>46044</v>
      </c>
      <c r="B706">
        <v>25289.900390625</v>
      </c>
      <c r="C706">
        <f t="shared" si="32"/>
        <v>-9.5393811867061241E-3</v>
      </c>
      <c r="J706">
        <f t="shared" ref="J706" si="33">MAX(B706:B1444)</f>
        <v>25953.849609375</v>
      </c>
      <c r="K706">
        <f t="shared" ref="K706:K740" si="34">B706/J706-1</f>
        <v>-2.5581916699947693E-2</v>
      </c>
    </row>
    <row r="707" spans="1:11" x14ac:dyDescent="0.3">
      <c r="A707" s="2">
        <v>46045</v>
      </c>
      <c r="B707">
        <v>25048.650390625</v>
      </c>
      <c r="C707">
        <f t="shared" ref="C707:C740" si="35">(B708-B707)/B707</f>
        <v>5.0601528634628126E-3</v>
      </c>
      <c r="J707">
        <f t="shared" ref="J707:J740" si="36">MAX(B707:B1445)</f>
        <v>25953.849609375</v>
      </c>
      <c r="K707">
        <f t="shared" si="34"/>
        <v>-3.4877262231766459E-2</v>
      </c>
    </row>
    <row r="708" spans="1:11" x14ac:dyDescent="0.3">
      <c r="A708" s="2">
        <v>46049</v>
      </c>
      <c r="B708">
        <v>25175.400390625</v>
      </c>
      <c r="C708">
        <f t="shared" si="35"/>
        <v>6.6473464881741809E-3</v>
      </c>
      <c r="J708">
        <f t="shared" si="36"/>
        <v>25953.849609375</v>
      </c>
      <c r="K708">
        <f t="shared" si="34"/>
        <v>-2.9993593646655436E-2</v>
      </c>
    </row>
    <row r="709" spans="1:11" x14ac:dyDescent="0.3">
      <c r="A709" s="2">
        <v>46050</v>
      </c>
      <c r="B709">
        <v>25342.75</v>
      </c>
      <c r="C709">
        <f t="shared" si="35"/>
        <v>3.004819548983437E-3</v>
      </c>
      <c r="J709">
        <f t="shared" si="36"/>
        <v>25953.849609375</v>
      </c>
      <c r="K709">
        <f t="shared" si="34"/>
        <v>-2.3545624967876044E-2</v>
      </c>
    </row>
    <row r="710" spans="1:11" x14ac:dyDescent="0.3">
      <c r="A710" s="2">
        <v>46051</v>
      </c>
      <c r="B710">
        <v>25418.900390625</v>
      </c>
      <c r="C710">
        <f t="shared" si="35"/>
        <v>-3.8652340774047241E-3</v>
      </c>
      <c r="J710">
        <f t="shared" si="36"/>
        <v>25953.849609375</v>
      </c>
      <c r="K710">
        <f t="shared" si="34"/>
        <v>-2.0611555773089152E-2</v>
      </c>
    </row>
    <row r="711" spans="1:11" x14ac:dyDescent="0.3">
      <c r="A711" s="2">
        <v>46052</v>
      </c>
      <c r="B711">
        <v>25320.650390625</v>
      </c>
      <c r="C711">
        <f t="shared" si="35"/>
        <v>-9.1723552285209401E-3</v>
      </c>
      <c r="J711">
        <f t="shared" si="36"/>
        <v>25953.849609375</v>
      </c>
      <c r="K711">
        <f t="shared" si="34"/>
        <v>-2.4397121362731422E-2</v>
      </c>
    </row>
    <row r="712" spans="1:11" x14ac:dyDescent="0.3">
      <c r="A712" s="2">
        <v>46055</v>
      </c>
      <c r="B712">
        <v>25088.400390625</v>
      </c>
      <c r="C712">
        <f t="shared" si="35"/>
        <v>2.5475932330218904E-2</v>
      </c>
      <c r="J712">
        <f t="shared" si="36"/>
        <v>25953.849609375</v>
      </c>
      <c r="K712">
        <f t="shared" si="34"/>
        <v>-3.3345697527560003E-2</v>
      </c>
    </row>
    <row r="713" spans="1:11" x14ac:dyDescent="0.3">
      <c r="A713" s="2">
        <v>46056</v>
      </c>
      <c r="B713">
        <v>25727.55078125</v>
      </c>
      <c r="C713">
        <f t="shared" si="35"/>
        <v>1.8831648283174059E-3</v>
      </c>
      <c r="J713">
        <f t="shared" si="36"/>
        <v>25953.849609375</v>
      </c>
      <c r="K713">
        <f t="shared" si="34"/>
        <v>-8.7192779310572011E-3</v>
      </c>
    </row>
    <row r="714" spans="1:11" x14ac:dyDescent="0.3">
      <c r="A714" s="2">
        <v>46057</v>
      </c>
      <c r="B714">
        <v>25776</v>
      </c>
      <c r="C714">
        <f t="shared" si="35"/>
        <v>-5.1675674561607694E-3</v>
      </c>
      <c r="J714">
        <f t="shared" si="36"/>
        <v>25953.849609375</v>
      </c>
      <c r="K714">
        <f t="shared" si="34"/>
        <v>-6.8525329402678858E-3</v>
      </c>
    </row>
    <row r="715" spans="1:11" x14ac:dyDescent="0.3">
      <c r="A715" s="2">
        <v>46058</v>
      </c>
      <c r="B715">
        <v>25642.80078125</v>
      </c>
      <c r="C715">
        <f t="shared" si="35"/>
        <v>1.9849016468285676E-3</v>
      </c>
      <c r="J715">
        <f t="shared" si="36"/>
        <v>25953.849609375</v>
      </c>
      <c r="K715">
        <f t="shared" si="34"/>
        <v>-1.1984689470214249E-2</v>
      </c>
    </row>
    <row r="716" spans="1:11" x14ac:dyDescent="0.3">
      <c r="A716" s="2">
        <v>46059</v>
      </c>
      <c r="B716">
        <v>25693.69921875</v>
      </c>
      <c r="C716">
        <f t="shared" si="35"/>
        <v>6.7565810988132885E-3</v>
      </c>
      <c r="J716">
        <f t="shared" si="36"/>
        <v>25953.849609375</v>
      </c>
      <c r="K716">
        <f t="shared" si="34"/>
        <v>-1.0023576253251787E-2</v>
      </c>
    </row>
    <row r="717" spans="1:11" x14ac:dyDescent="0.3">
      <c r="A717" s="2">
        <v>46062</v>
      </c>
      <c r="B717">
        <v>25867.30078125</v>
      </c>
      <c r="C717">
        <f t="shared" si="35"/>
        <v>2.6229876069706129E-3</v>
      </c>
      <c r="J717">
        <f t="shared" si="36"/>
        <v>25953.849609375</v>
      </c>
      <c r="K717">
        <f t="shared" si="34"/>
        <v>-3.3347202602937998E-3</v>
      </c>
    </row>
    <row r="718" spans="1:11" x14ac:dyDescent="0.3">
      <c r="A718" s="2">
        <v>46063</v>
      </c>
      <c r="B718">
        <v>25935.150390625</v>
      </c>
      <c r="C718">
        <f t="shared" si="35"/>
        <v>7.2099904833246569E-4</v>
      </c>
      <c r="J718">
        <f t="shared" si="36"/>
        <v>25953.849609375</v>
      </c>
      <c r="K718">
        <f t="shared" si="34"/>
        <v>-7.2047958323862016E-4</v>
      </c>
    </row>
    <row r="719" spans="1:11" x14ac:dyDescent="0.3">
      <c r="A719" s="2">
        <v>46064</v>
      </c>
      <c r="B719">
        <v>25953.849609375</v>
      </c>
      <c r="C719">
        <f t="shared" si="35"/>
        <v>-5.6504292362096155E-3</v>
      </c>
      <c r="J719">
        <f t="shared" si="36"/>
        <v>25953.849609375</v>
      </c>
      <c r="K719">
        <f t="shared" si="34"/>
        <v>0</v>
      </c>
    </row>
    <row r="720" spans="1:11" x14ac:dyDescent="0.3">
      <c r="A720" s="2">
        <v>46065</v>
      </c>
      <c r="B720">
        <v>25807.19921875</v>
      </c>
      <c r="C720">
        <f t="shared" si="35"/>
        <v>-1.3023482576552116E-2</v>
      </c>
      <c r="J720">
        <f t="shared" si="36"/>
        <v>25819.349609375</v>
      </c>
      <c r="K720">
        <f t="shared" si="34"/>
        <v>-4.7059243586011767E-4</v>
      </c>
    </row>
    <row r="721" spans="1:11" x14ac:dyDescent="0.3">
      <c r="A721" s="2">
        <v>46066</v>
      </c>
      <c r="B721">
        <v>25471.099609375</v>
      </c>
      <c r="C721">
        <f t="shared" si="35"/>
        <v>8.3094328030933959E-3</v>
      </c>
      <c r="J721">
        <f t="shared" si="36"/>
        <v>25819.349609375</v>
      </c>
      <c r="K721">
        <f t="shared" si="34"/>
        <v>-1.3487946260023143E-2</v>
      </c>
    </row>
    <row r="722" spans="1:11" x14ac:dyDescent="0.3">
      <c r="A722" s="2">
        <v>46069</v>
      </c>
      <c r="B722">
        <v>25682.75</v>
      </c>
      <c r="C722">
        <f t="shared" si="35"/>
        <v>1.6606629206373927E-3</v>
      </c>
      <c r="J722">
        <f t="shared" si="36"/>
        <v>25819.349609375</v>
      </c>
      <c r="K722">
        <f t="shared" si="34"/>
        <v>-5.2905906400291247E-3</v>
      </c>
    </row>
    <row r="723" spans="1:11" x14ac:dyDescent="0.3">
      <c r="A723" s="2">
        <v>46070</v>
      </c>
      <c r="B723">
        <v>25725.400390625</v>
      </c>
      <c r="C723">
        <f t="shared" si="35"/>
        <v>3.6520021971839754E-3</v>
      </c>
      <c r="J723">
        <f t="shared" si="36"/>
        <v>25819.349609375</v>
      </c>
      <c r="K723">
        <f t="shared" si="34"/>
        <v>-3.6387136070958892E-3</v>
      </c>
    </row>
    <row r="724" spans="1:11" x14ac:dyDescent="0.3">
      <c r="A724" s="2">
        <v>46071</v>
      </c>
      <c r="B724">
        <v>25819.349609375</v>
      </c>
      <c r="C724">
        <f t="shared" si="35"/>
        <v>-1.4136684522350191E-2</v>
      </c>
      <c r="J724">
        <f t="shared" si="36"/>
        <v>25819.349609375</v>
      </c>
      <c r="K724">
        <f t="shared" si="34"/>
        <v>0</v>
      </c>
    </row>
    <row r="725" spans="1:11" x14ac:dyDescent="0.3">
      <c r="A725" s="2">
        <v>46072</v>
      </c>
      <c r="B725">
        <v>25454.349609375</v>
      </c>
      <c r="C725">
        <f t="shared" si="35"/>
        <v>4.5925506806877847E-3</v>
      </c>
      <c r="J725">
        <f t="shared" si="36"/>
        <v>25713</v>
      </c>
      <c r="K725">
        <f t="shared" si="34"/>
        <v>-1.005912925854624E-2</v>
      </c>
    </row>
    <row r="726" spans="1:11" x14ac:dyDescent="0.3">
      <c r="A726" s="2">
        <v>46073</v>
      </c>
      <c r="B726">
        <v>25571.25</v>
      </c>
      <c r="C726">
        <f t="shared" si="35"/>
        <v>5.5433347998240208E-3</v>
      </c>
      <c r="J726">
        <f t="shared" si="36"/>
        <v>25713</v>
      </c>
      <c r="K726">
        <f t="shared" si="34"/>
        <v>-5.5127756387819415E-3</v>
      </c>
    </row>
    <row r="727" spans="1:11" x14ac:dyDescent="0.3">
      <c r="A727" s="2">
        <v>46076</v>
      </c>
      <c r="B727">
        <v>25713</v>
      </c>
      <c r="C727">
        <f t="shared" si="35"/>
        <v>-1.1214156627970288E-2</v>
      </c>
      <c r="J727">
        <f t="shared" si="36"/>
        <v>25713</v>
      </c>
      <c r="K727">
        <f t="shared" si="34"/>
        <v>0</v>
      </c>
    </row>
    <row r="728" spans="1:11" x14ac:dyDescent="0.3">
      <c r="A728" s="2">
        <v>46077</v>
      </c>
      <c r="B728">
        <v>25424.650390625</v>
      </c>
      <c r="C728">
        <f t="shared" si="35"/>
        <v>2.2753354908011348E-3</v>
      </c>
      <c r="J728">
        <f t="shared" si="36"/>
        <v>25496.55078125</v>
      </c>
      <c r="K728">
        <f t="shared" si="34"/>
        <v>-2.8200046054023264E-3</v>
      </c>
    </row>
    <row r="729" spans="1:11" x14ac:dyDescent="0.3">
      <c r="A729" s="2">
        <v>46078</v>
      </c>
      <c r="B729">
        <v>25482.5</v>
      </c>
      <c r="C729">
        <f t="shared" si="35"/>
        <v>5.5138943392524285E-4</v>
      </c>
      <c r="J729">
        <f t="shared" si="36"/>
        <v>25496.55078125</v>
      </c>
      <c r="K729">
        <f t="shared" si="34"/>
        <v>-5.5108557116412271E-4</v>
      </c>
    </row>
    <row r="730" spans="1:11" x14ac:dyDescent="0.3">
      <c r="A730" s="2">
        <v>46079</v>
      </c>
      <c r="B730">
        <v>25496.55078125</v>
      </c>
      <c r="C730">
        <f t="shared" si="35"/>
        <v>-1.2468368500212268E-2</v>
      </c>
      <c r="J730">
        <f t="shared" si="36"/>
        <v>25496.55078125</v>
      </c>
      <c r="K730">
        <f t="shared" si="34"/>
        <v>0</v>
      </c>
    </row>
    <row r="731" spans="1:11" x14ac:dyDescent="0.3">
      <c r="A731" s="2">
        <v>46080</v>
      </c>
      <c r="B731">
        <v>25178.650390625</v>
      </c>
      <c r="C731">
        <f t="shared" si="35"/>
        <v>-1.2429227421638295E-2</v>
      </c>
      <c r="J731">
        <f t="shared" si="36"/>
        <v>25178.650390625</v>
      </c>
      <c r="K731">
        <f t="shared" si="34"/>
        <v>0</v>
      </c>
    </row>
    <row r="732" spans="1:11" x14ac:dyDescent="0.3">
      <c r="A732" s="2">
        <v>46083</v>
      </c>
      <c r="B732">
        <v>24865.69921875</v>
      </c>
      <c r="C732">
        <f t="shared" si="35"/>
        <v>-1.5491187895474108E-2</v>
      </c>
      <c r="J732">
        <f t="shared" si="36"/>
        <v>24865.69921875</v>
      </c>
      <c r="K732">
        <f t="shared" si="34"/>
        <v>0</v>
      </c>
    </row>
    <row r="733" spans="1:11" x14ac:dyDescent="0.3">
      <c r="A733" s="2">
        <v>46085</v>
      </c>
      <c r="B733">
        <v>24480.5</v>
      </c>
      <c r="C733">
        <f t="shared" si="35"/>
        <v>1.165827457057658E-2</v>
      </c>
      <c r="J733">
        <f t="shared" si="36"/>
        <v>24765.900390625</v>
      </c>
      <c r="K733">
        <f t="shared" si="34"/>
        <v>-1.1523925483163056E-2</v>
      </c>
    </row>
    <row r="734" spans="1:11" x14ac:dyDescent="0.3">
      <c r="A734" s="2">
        <v>46086</v>
      </c>
      <c r="B734">
        <v>24765.900390625</v>
      </c>
      <c r="C734">
        <f t="shared" si="35"/>
        <v>-1.273731893044407E-2</v>
      </c>
      <c r="J734">
        <f t="shared" si="36"/>
        <v>24765.900390625</v>
      </c>
      <c r="K734">
        <f t="shared" si="34"/>
        <v>0</v>
      </c>
    </row>
    <row r="735" spans="1:11" x14ac:dyDescent="0.3">
      <c r="A735" s="2">
        <v>46087</v>
      </c>
      <c r="B735">
        <v>24450.44921875</v>
      </c>
      <c r="C735">
        <f t="shared" si="35"/>
        <v>-1.7275692308183883E-2</v>
      </c>
      <c r="J735">
        <f t="shared" si="36"/>
        <v>24450.44921875</v>
      </c>
      <c r="K735">
        <f t="shared" si="34"/>
        <v>0</v>
      </c>
    </row>
    <row r="736" spans="1:11" x14ac:dyDescent="0.3">
      <c r="A736" s="2">
        <v>46090</v>
      </c>
      <c r="B736">
        <v>24028.05078125</v>
      </c>
      <c r="C736">
        <f t="shared" si="35"/>
        <v>9.7198407915488096E-3</v>
      </c>
      <c r="J736">
        <f t="shared" si="36"/>
        <v>24261.599609375</v>
      </c>
      <c r="K736">
        <f t="shared" si="34"/>
        <v>-9.6262749317960195E-3</v>
      </c>
    </row>
    <row r="737" spans="1:14" x14ac:dyDescent="0.3">
      <c r="A737" s="2">
        <v>46091</v>
      </c>
      <c r="B737">
        <v>24261.599609375</v>
      </c>
      <c r="C737">
        <f t="shared" si="35"/>
        <v>-1.6270567743087452E-2</v>
      </c>
      <c r="J737">
        <f t="shared" si="36"/>
        <v>24261.599609375</v>
      </c>
      <c r="K737">
        <f t="shared" si="34"/>
        <v>0</v>
      </c>
    </row>
    <row r="738" spans="1:14" x14ac:dyDescent="0.3">
      <c r="A738" s="2">
        <v>46092</v>
      </c>
      <c r="B738">
        <v>23866.849609375</v>
      </c>
      <c r="C738">
        <f t="shared" si="35"/>
        <v>-9.5403969303329752E-3</v>
      </c>
      <c r="J738">
        <f t="shared" si="36"/>
        <v>23866.849609375</v>
      </c>
      <c r="K738">
        <f t="shared" si="34"/>
        <v>0</v>
      </c>
    </row>
    <row r="739" spans="1:14" x14ac:dyDescent="0.3">
      <c r="A739" s="2">
        <v>46093</v>
      </c>
      <c r="B739">
        <v>23639.150390625</v>
      </c>
      <c r="C739">
        <f t="shared" si="35"/>
        <v>-2.0645868112229408E-2</v>
      </c>
      <c r="J739">
        <f t="shared" si="36"/>
        <v>23639.150390625</v>
      </c>
      <c r="K739">
        <f t="shared" si="34"/>
        <v>0</v>
      </c>
    </row>
    <row r="740" spans="1:14" x14ac:dyDescent="0.3">
      <c r="A740" s="2">
        <v>46094</v>
      </c>
      <c r="B740">
        <v>23151.099609375</v>
      </c>
      <c r="C740">
        <f t="shared" si="35"/>
        <v>-1</v>
      </c>
      <c r="J740">
        <f t="shared" si="36"/>
        <v>23151.099609375</v>
      </c>
      <c r="K740">
        <f t="shared" si="34"/>
        <v>0</v>
      </c>
    </row>
    <row r="741" spans="1:14" x14ac:dyDescent="0.3">
      <c r="C741" t="s">
        <v>3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5BE1-BE00-4F0C-9156-71E80E1FA3B6}">
  <dimension ref="A1:L739"/>
  <sheetViews>
    <sheetView showGridLines="0" tabSelected="1" zoomScale="81" zoomScaleNormal="81" workbookViewId="0">
      <selection activeCell="A9" sqref="A9"/>
    </sheetView>
  </sheetViews>
  <sheetFormatPr defaultRowHeight="21" x14ac:dyDescent="0.4"/>
  <cols>
    <col min="1" max="1" width="18.109375" style="9" bestFit="1" customWidth="1"/>
    <col min="2" max="2" width="21.44140625" style="9" bestFit="1" customWidth="1"/>
    <col min="3" max="7" width="25" style="9" bestFit="1" customWidth="1"/>
    <col min="8" max="8" width="26.44140625" style="9" bestFit="1" customWidth="1"/>
    <col min="9" max="9" width="28.88671875" style="9" bestFit="1" customWidth="1"/>
    <col min="10" max="10" width="25" style="9" bestFit="1" customWidth="1"/>
    <col min="11" max="11" width="11.88671875" style="9" customWidth="1"/>
    <col min="12" max="12" width="13.33203125" style="9" bestFit="1" customWidth="1"/>
    <col min="13" max="16384" width="8.88671875" style="9"/>
  </cols>
  <sheetData>
    <row r="1" spans="1:12" ht="21.6" thickBot="1" x14ac:dyDescent="0.45">
      <c r="A1" s="7"/>
      <c r="B1" s="7"/>
      <c r="C1" s="8"/>
      <c r="D1" s="8"/>
    </row>
    <row r="2" spans="1:12" x14ac:dyDescent="0.4">
      <c r="A2" s="10"/>
      <c r="B2" s="12" t="s">
        <v>16</v>
      </c>
      <c r="C2" s="15" t="s">
        <v>5</v>
      </c>
      <c r="D2" s="15" t="s">
        <v>6</v>
      </c>
      <c r="E2" s="15" t="s">
        <v>4</v>
      </c>
      <c r="F2" s="15" t="s">
        <v>17</v>
      </c>
      <c r="G2" s="15" t="s">
        <v>18</v>
      </c>
      <c r="H2" s="15" t="s">
        <v>19</v>
      </c>
      <c r="I2" s="15" t="s">
        <v>20</v>
      </c>
      <c r="J2" s="16" t="s">
        <v>28</v>
      </c>
      <c r="L2" s="11"/>
    </row>
    <row r="3" spans="1:12" x14ac:dyDescent="0.4">
      <c r="A3" s="10"/>
      <c r="B3" s="13" t="s">
        <v>21</v>
      </c>
      <c r="C3" s="17">
        <f>Axis_Bank!E2</f>
        <v>0.94883536687816727</v>
      </c>
      <c r="D3" s="17">
        <f>Axis_Bank!G2</f>
        <v>1.4043830601984639E-2</v>
      </c>
      <c r="E3" s="17">
        <f>Axis_Bank!D2</f>
        <v>0.14523735643769253</v>
      </c>
      <c r="F3" s="17">
        <f>Axis_Bank!I2</f>
        <v>5.7275937539666231</v>
      </c>
      <c r="G3" s="17">
        <f>Axis_Bank!J2</f>
        <v>8.477482948632635E-2</v>
      </c>
      <c r="H3" s="17">
        <f>Axis_Bank!N2</f>
        <v>-0.35064266590746618</v>
      </c>
      <c r="I3" s="17">
        <f>Axis_Bank!M2</f>
        <v>-0.41420332024289463</v>
      </c>
      <c r="J3" s="18">
        <f>Axis_Bank!O2</f>
        <v>3.8466435362161197E-2</v>
      </c>
    </row>
    <row r="4" spans="1:12" x14ac:dyDescent="0.4">
      <c r="A4" s="10"/>
      <c r="B4" s="13" t="s">
        <v>22</v>
      </c>
      <c r="C4" s="17">
        <f>Power_Grid!E2</f>
        <v>1.0283187498272306</v>
      </c>
      <c r="D4" s="17">
        <f>Power_Grid!G2</f>
        <v>1.6376485527130731E-2</v>
      </c>
      <c r="E4" s="17">
        <f>Power_Grid!D2</f>
        <v>0.26036064938194459</v>
      </c>
      <c r="F4" s="17">
        <f>Power_Grid!I2</f>
        <v>11.941551748570324</v>
      </c>
      <c r="G4" s="17">
        <f>Power_Grid!J2</f>
        <v>0.19017512752227947</v>
      </c>
      <c r="H4" s="17">
        <f>Power_Grid!N2</f>
        <v>-0.45197193134443081</v>
      </c>
      <c r="I4" s="17">
        <f>Power_Grid!M2</f>
        <v>-0.57605490811670235</v>
      </c>
      <c r="J4" s="18">
        <f>Power_Grid!O2</f>
        <v>0.15007384883034844</v>
      </c>
    </row>
    <row r="5" spans="1:12" x14ac:dyDescent="0.4">
      <c r="A5" s="10"/>
      <c r="B5" s="13" t="s">
        <v>23</v>
      </c>
      <c r="C5" s="17">
        <f>Coal_India!E2</f>
        <v>1.0656004669846348</v>
      </c>
      <c r="D5" s="17">
        <f>Coal_India!G2</f>
        <v>1.7107830881993327E-2</v>
      </c>
      <c r="E5" s="17">
        <f>Coal_India!D2</f>
        <v>0.37812203064222194</v>
      </c>
      <c r="F5" s="17">
        <f>Coal_India!I2</f>
        <v>18.31453869303828</v>
      </c>
      <c r="G5" s="17">
        <f>Coal_India!J2</f>
        <v>0.29403330830816898</v>
      </c>
      <c r="H5" s="17">
        <f>Coal_India!N2</f>
        <v>-0.58689425962643349</v>
      </c>
      <c r="I5" s="17">
        <f>Coal_India!M2</f>
        <v>-0.64427624642793746</v>
      </c>
      <c r="J5" s="18">
        <f>Coal_India!O2</f>
        <v>0.26618610521291175</v>
      </c>
    </row>
    <row r="6" spans="1:12" x14ac:dyDescent="0.4">
      <c r="A6" s="10"/>
      <c r="B6" s="13" t="s">
        <v>24</v>
      </c>
      <c r="C6" s="17">
        <f>Cipla!E2</f>
        <v>0.46406042143082821</v>
      </c>
      <c r="D6" s="17">
        <f>Cipla!G2</f>
        <v>1.4219372249351206E-2</v>
      </c>
      <c r="E6" s="17">
        <f>Cipla!D2</f>
        <v>0.15727186745729926</v>
      </c>
      <c r="F6" s="17">
        <f>Cipla!I2</f>
        <v>6.5032313547821019</v>
      </c>
      <c r="G6" s="17">
        <f>Cipla!J2</f>
        <v>0.19926686954294143</v>
      </c>
      <c r="H6" s="17">
        <f>Cipla!N2</f>
        <v>-0.31738833153692214</v>
      </c>
      <c r="I6" s="17">
        <f>Cipla!M2</f>
        <v>-0.49551874416972275</v>
      </c>
      <c r="J6" s="18">
        <f>Cipla!O2</f>
        <v>7.1944551547655278E-2</v>
      </c>
    </row>
    <row r="7" spans="1:12" x14ac:dyDescent="0.4">
      <c r="A7" s="10"/>
      <c r="B7" s="13" t="s">
        <v>25</v>
      </c>
      <c r="C7" s="17">
        <f>Shriram_Finance!E2</f>
        <v>1.2854917428043982</v>
      </c>
      <c r="D7" s="17">
        <f>Shriram_Finance!G2</f>
        <v>2.128109045165609E-2</v>
      </c>
      <c r="E7" s="17">
        <f>Shriram_Finance!D2</f>
        <v>0.64319515669688365</v>
      </c>
      <c r="F7" s="17">
        <f>Shriram_Finance!I2</f>
        <v>27.178830803375167</v>
      </c>
      <c r="G7" s="17">
        <f>Shriram_Finance!J2</f>
        <v>0.44994077942116578</v>
      </c>
      <c r="H7" s="17">
        <f>Shriram_Finance!N2</f>
        <v>-0.81115652414467743</v>
      </c>
      <c r="I7" s="17">
        <f>Shriram_Finance!M2</f>
        <v>-0.79293593474465318</v>
      </c>
      <c r="J7" s="18">
        <f>Shriram_Finance!O2</f>
        <v>0.52153252871748379</v>
      </c>
    </row>
    <row r="8" spans="1:12" x14ac:dyDescent="0.4">
      <c r="A8" s="10"/>
      <c r="B8" s="13" t="s">
        <v>26</v>
      </c>
      <c r="C8" s="17">
        <f>Larsen_and_Toubro!E2</f>
        <v>1.1258492678470513</v>
      </c>
      <c r="D8" s="17">
        <f>Larsen_and_Toubro!G2</f>
        <v>1.5381971327493764E-2</v>
      </c>
      <c r="E8" s="17">
        <f>Larsen_and_Toubro!D2</f>
        <v>0.20692575316805106</v>
      </c>
      <c r="F8" s="17">
        <f>Larsen_and_Toubro!I2</f>
        <v>9.2397619357159524</v>
      </c>
      <c r="G8" s="17">
        <f>Larsen_and_Toubro!J2</f>
        <v>0.12623870461792502</v>
      </c>
      <c r="H8" s="17">
        <f>Larsen_and_Toubro!N2</f>
        <v>-0.38997544380342891</v>
      </c>
      <c r="I8" s="17">
        <f>Larsen_and_Toubro!M2</f>
        <v>-0.53061226406951434</v>
      </c>
      <c r="J8" s="18">
        <f>Larsen_and_Toubro!O2</f>
        <v>9.2324773553195794E-2</v>
      </c>
    </row>
    <row r="9" spans="1:12" ht="21.6" thickBot="1" x14ac:dyDescent="0.45">
      <c r="A9" s="10"/>
      <c r="B9" s="14" t="s">
        <v>27</v>
      </c>
      <c r="C9" s="19">
        <v>1</v>
      </c>
      <c r="D9" s="19">
        <f>Nifty_50!G2</f>
        <v>7.7052659118218248E-3</v>
      </c>
      <c r="E9" s="19">
        <f>Nifty_50!D2</f>
        <v>0.10903414486922314</v>
      </c>
      <c r="F9" s="19">
        <f>Nifty_50!I2</f>
        <v>5.7407681156540988</v>
      </c>
      <c r="G9" s="19">
        <v>1</v>
      </c>
      <c r="H9" s="19">
        <f>Nifty_50!M2</f>
        <v>-0.30593179731225129</v>
      </c>
      <c r="I9" s="19">
        <f>Larsen_and_Toubro!M2</f>
        <v>-0.53061226406951434</v>
      </c>
      <c r="J9" s="20">
        <f>Nifty_50!N2</f>
        <v>0</v>
      </c>
    </row>
    <row r="10" spans="1:12" x14ac:dyDescent="0.4">
      <c r="A10" s="10"/>
    </row>
    <row r="11" spans="1:12" x14ac:dyDescent="0.4">
      <c r="A11" s="10"/>
    </row>
    <row r="12" spans="1:12" x14ac:dyDescent="0.4">
      <c r="A12" s="10"/>
    </row>
    <row r="13" spans="1:12" x14ac:dyDescent="0.4">
      <c r="A13" s="10"/>
    </row>
    <row r="14" spans="1:12" x14ac:dyDescent="0.4">
      <c r="A14" s="10"/>
    </row>
    <row r="15" spans="1:12" x14ac:dyDescent="0.4">
      <c r="A15" s="10"/>
    </row>
    <row r="16" spans="1:12" x14ac:dyDescent="0.4">
      <c r="A16" s="10"/>
    </row>
    <row r="17" spans="1:1" x14ac:dyDescent="0.4">
      <c r="A17" s="10"/>
    </row>
    <row r="18" spans="1:1" x14ac:dyDescent="0.4">
      <c r="A18" s="10"/>
    </row>
    <row r="19" spans="1:1" x14ac:dyDescent="0.4">
      <c r="A19" s="10"/>
    </row>
    <row r="20" spans="1:1" x14ac:dyDescent="0.4">
      <c r="A20" s="10"/>
    </row>
    <row r="21" spans="1:1" x14ac:dyDescent="0.4">
      <c r="A21" s="10"/>
    </row>
    <row r="22" spans="1:1" x14ac:dyDescent="0.4">
      <c r="A22" s="10"/>
    </row>
    <row r="23" spans="1:1" x14ac:dyDescent="0.4">
      <c r="A23" s="10"/>
    </row>
    <row r="24" spans="1:1" x14ac:dyDescent="0.4">
      <c r="A24" s="10"/>
    </row>
    <row r="25" spans="1:1" x14ac:dyDescent="0.4">
      <c r="A25" s="10"/>
    </row>
    <row r="26" spans="1:1" x14ac:dyDescent="0.4">
      <c r="A26" s="10"/>
    </row>
    <row r="27" spans="1:1" x14ac:dyDescent="0.4">
      <c r="A27" s="10"/>
    </row>
    <row r="28" spans="1:1" x14ac:dyDescent="0.4">
      <c r="A28" s="10"/>
    </row>
    <row r="29" spans="1:1" x14ac:dyDescent="0.4">
      <c r="A29" s="10"/>
    </row>
    <row r="30" spans="1:1" x14ac:dyDescent="0.4">
      <c r="A30" s="10"/>
    </row>
    <row r="31" spans="1:1" x14ac:dyDescent="0.4">
      <c r="A31" s="10"/>
    </row>
    <row r="32" spans="1:1" x14ac:dyDescent="0.4">
      <c r="A32" s="10"/>
    </row>
    <row r="33" spans="1:1" x14ac:dyDescent="0.4">
      <c r="A33" s="10"/>
    </row>
    <row r="34" spans="1:1" x14ac:dyDescent="0.4">
      <c r="A34" s="10"/>
    </row>
    <row r="35" spans="1:1" x14ac:dyDescent="0.4">
      <c r="A35" s="10"/>
    </row>
    <row r="36" spans="1:1" x14ac:dyDescent="0.4">
      <c r="A36" s="10"/>
    </row>
    <row r="37" spans="1:1" x14ac:dyDescent="0.4">
      <c r="A37" s="10"/>
    </row>
    <row r="38" spans="1:1" x14ac:dyDescent="0.4">
      <c r="A38" s="10"/>
    </row>
    <row r="39" spans="1:1" x14ac:dyDescent="0.4">
      <c r="A39" s="10"/>
    </row>
    <row r="40" spans="1:1" x14ac:dyDescent="0.4">
      <c r="A40" s="10"/>
    </row>
    <row r="41" spans="1:1" x14ac:dyDescent="0.4">
      <c r="A41" s="10"/>
    </row>
    <row r="42" spans="1:1" x14ac:dyDescent="0.4">
      <c r="A42" s="10"/>
    </row>
    <row r="43" spans="1:1" x14ac:dyDescent="0.4">
      <c r="A43" s="10"/>
    </row>
    <row r="44" spans="1:1" x14ac:dyDescent="0.4">
      <c r="A44" s="10"/>
    </row>
    <row r="45" spans="1:1" x14ac:dyDescent="0.4">
      <c r="A45" s="10"/>
    </row>
    <row r="46" spans="1:1" x14ac:dyDescent="0.4">
      <c r="A46" s="10"/>
    </row>
    <row r="47" spans="1:1" x14ac:dyDescent="0.4">
      <c r="A47" s="10"/>
    </row>
    <row r="48" spans="1:1" x14ac:dyDescent="0.4">
      <c r="A48" s="10"/>
    </row>
    <row r="49" spans="1:1" x14ac:dyDescent="0.4">
      <c r="A49" s="10"/>
    </row>
    <row r="50" spans="1:1" x14ac:dyDescent="0.4">
      <c r="A50" s="10"/>
    </row>
    <row r="51" spans="1:1" x14ac:dyDescent="0.4">
      <c r="A51" s="10"/>
    </row>
    <row r="52" spans="1:1" x14ac:dyDescent="0.4">
      <c r="A52" s="10"/>
    </row>
    <row r="53" spans="1:1" x14ac:dyDescent="0.4">
      <c r="A53" s="10"/>
    </row>
    <row r="54" spans="1:1" x14ac:dyDescent="0.4">
      <c r="A54" s="10"/>
    </row>
    <row r="55" spans="1:1" x14ac:dyDescent="0.4">
      <c r="A55" s="10"/>
    </row>
    <row r="56" spans="1:1" x14ac:dyDescent="0.4">
      <c r="A56" s="10"/>
    </row>
    <row r="57" spans="1:1" x14ac:dyDescent="0.4">
      <c r="A57" s="10"/>
    </row>
    <row r="58" spans="1:1" x14ac:dyDescent="0.4">
      <c r="A58" s="10"/>
    </row>
    <row r="59" spans="1:1" x14ac:dyDescent="0.4">
      <c r="A59" s="10"/>
    </row>
    <row r="60" spans="1:1" x14ac:dyDescent="0.4">
      <c r="A60" s="10"/>
    </row>
    <row r="61" spans="1:1" x14ac:dyDescent="0.4">
      <c r="A61" s="10"/>
    </row>
    <row r="62" spans="1:1" x14ac:dyDescent="0.4">
      <c r="A62" s="10"/>
    </row>
    <row r="63" spans="1:1" x14ac:dyDescent="0.4">
      <c r="A63" s="10"/>
    </row>
    <row r="64" spans="1:1" x14ac:dyDescent="0.4">
      <c r="A64" s="10"/>
    </row>
    <row r="65" spans="1:1" x14ac:dyDescent="0.4">
      <c r="A65" s="10"/>
    </row>
    <row r="66" spans="1:1" x14ac:dyDescent="0.4">
      <c r="A66" s="10"/>
    </row>
    <row r="67" spans="1:1" x14ac:dyDescent="0.4">
      <c r="A67" s="10"/>
    </row>
    <row r="68" spans="1:1" x14ac:dyDescent="0.4">
      <c r="A68" s="10"/>
    </row>
    <row r="69" spans="1:1" x14ac:dyDescent="0.4">
      <c r="A69" s="10"/>
    </row>
    <row r="70" spans="1:1" x14ac:dyDescent="0.4">
      <c r="A70" s="10"/>
    </row>
    <row r="71" spans="1:1" x14ac:dyDescent="0.4">
      <c r="A71" s="10"/>
    </row>
    <row r="72" spans="1:1" x14ac:dyDescent="0.4">
      <c r="A72" s="10"/>
    </row>
    <row r="73" spans="1:1" x14ac:dyDescent="0.4">
      <c r="A73" s="10"/>
    </row>
    <row r="74" spans="1:1" x14ac:dyDescent="0.4">
      <c r="A74" s="10"/>
    </row>
    <row r="75" spans="1:1" x14ac:dyDescent="0.4">
      <c r="A75" s="10"/>
    </row>
    <row r="76" spans="1:1" x14ac:dyDescent="0.4">
      <c r="A76" s="10"/>
    </row>
    <row r="77" spans="1:1" x14ac:dyDescent="0.4">
      <c r="A77" s="10"/>
    </row>
    <row r="78" spans="1:1" x14ac:dyDescent="0.4">
      <c r="A78" s="10"/>
    </row>
    <row r="79" spans="1:1" x14ac:dyDescent="0.4">
      <c r="A79" s="10"/>
    </row>
    <row r="80" spans="1:1" x14ac:dyDescent="0.4">
      <c r="A80" s="10"/>
    </row>
    <row r="81" spans="1:1" x14ac:dyDescent="0.4">
      <c r="A81" s="10"/>
    </row>
    <row r="82" spans="1:1" x14ac:dyDescent="0.4">
      <c r="A82" s="10"/>
    </row>
    <row r="83" spans="1:1" x14ac:dyDescent="0.4">
      <c r="A83" s="10"/>
    </row>
    <row r="84" spans="1:1" x14ac:dyDescent="0.4">
      <c r="A84" s="10"/>
    </row>
    <row r="85" spans="1:1" x14ac:dyDescent="0.4">
      <c r="A85" s="10"/>
    </row>
    <row r="86" spans="1:1" x14ac:dyDescent="0.4">
      <c r="A86" s="10"/>
    </row>
    <row r="87" spans="1:1" x14ac:dyDescent="0.4">
      <c r="A87" s="10"/>
    </row>
    <row r="88" spans="1:1" x14ac:dyDescent="0.4">
      <c r="A88" s="10"/>
    </row>
    <row r="89" spans="1:1" x14ac:dyDescent="0.4">
      <c r="A89" s="10"/>
    </row>
    <row r="90" spans="1:1" x14ac:dyDescent="0.4">
      <c r="A90" s="10"/>
    </row>
    <row r="91" spans="1:1" x14ac:dyDescent="0.4">
      <c r="A91" s="10"/>
    </row>
    <row r="92" spans="1:1" x14ac:dyDescent="0.4">
      <c r="A92" s="10"/>
    </row>
    <row r="93" spans="1:1" x14ac:dyDescent="0.4">
      <c r="A93" s="10"/>
    </row>
    <row r="94" spans="1:1" x14ac:dyDescent="0.4">
      <c r="A94" s="10"/>
    </row>
    <row r="95" spans="1:1" x14ac:dyDescent="0.4">
      <c r="A95" s="10"/>
    </row>
    <row r="96" spans="1:1" x14ac:dyDescent="0.4">
      <c r="A96" s="10"/>
    </row>
    <row r="97" spans="1:1" x14ac:dyDescent="0.4">
      <c r="A97" s="10"/>
    </row>
    <row r="98" spans="1:1" x14ac:dyDescent="0.4">
      <c r="A98" s="10"/>
    </row>
    <row r="99" spans="1:1" x14ac:dyDescent="0.4">
      <c r="A99" s="10"/>
    </row>
    <row r="100" spans="1:1" x14ac:dyDescent="0.4">
      <c r="A100" s="10"/>
    </row>
    <row r="101" spans="1:1" x14ac:dyDescent="0.4">
      <c r="A101" s="10"/>
    </row>
    <row r="102" spans="1:1" x14ac:dyDescent="0.4">
      <c r="A102" s="10"/>
    </row>
    <row r="103" spans="1:1" x14ac:dyDescent="0.4">
      <c r="A103" s="10"/>
    </row>
    <row r="104" spans="1:1" x14ac:dyDescent="0.4">
      <c r="A104" s="10"/>
    </row>
    <row r="105" spans="1:1" x14ac:dyDescent="0.4">
      <c r="A105" s="10"/>
    </row>
    <row r="106" spans="1:1" x14ac:dyDescent="0.4">
      <c r="A106" s="10"/>
    </row>
    <row r="107" spans="1:1" x14ac:dyDescent="0.4">
      <c r="A107" s="10"/>
    </row>
    <row r="108" spans="1:1" x14ac:dyDescent="0.4">
      <c r="A108" s="10"/>
    </row>
    <row r="109" spans="1:1" x14ac:dyDescent="0.4">
      <c r="A109" s="10"/>
    </row>
    <row r="110" spans="1:1" x14ac:dyDescent="0.4">
      <c r="A110" s="10"/>
    </row>
    <row r="111" spans="1:1" x14ac:dyDescent="0.4">
      <c r="A111" s="10"/>
    </row>
    <row r="112" spans="1:1" x14ac:dyDescent="0.4">
      <c r="A112" s="10"/>
    </row>
    <row r="113" spans="1:1" x14ac:dyDescent="0.4">
      <c r="A113" s="10"/>
    </row>
    <row r="114" spans="1:1" x14ac:dyDescent="0.4">
      <c r="A114" s="10"/>
    </row>
    <row r="115" spans="1:1" x14ac:dyDescent="0.4">
      <c r="A115" s="10"/>
    </row>
    <row r="116" spans="1:1" x14ac:dyDescent="0.4">
      <c r="A116" s="10"/>
    </row>
    <row r="117" spans="1:1" x14ac:dyDescent="0.4">
      <c r="A117" s="10"/>
    </row>
    <row r="118" spans="1:1" x14ac:dyDescent="0.4">
      <c r="A118" s="10"/>
    </row>
    <row r="119" spans="1:1" x14ac:dyDescent="0.4">
      <c r="A119" s="10"/>
    </row>
    <row r="120" spans="1:1" x14ac:dyDescent="0.4">
      <c r="A120" s="10"/>
    </row>
    <row r="121" spans="1:1" x14ac:dyDescent="0.4">
      <c r="A121" s="10"/>
    </row>
    <row r="122" spans="1:1" x14ac:dyDescent="0.4">
      <c r="A122" s="10"/>
    </row>
    <row r="123" spans="1:1" x14ac:dyDescent="0.4">
      <c r="A123" s="10"/>
    </row>
    <row r="124" spans="1:1" x14ac:dyDescent="0.4">
      <c r="A124" s="10"/>
    </row>
    <row r="125" spans="1:1" x14ac:dyDescent="0.4">
      <c r="A125" s="10"/>
    </row>
    <row r="126" spans="1:1" x14ac:dyDescent="0.4">
      <c r="A126" s="10"/>
    </row>
    <row r="127" spans="1:1" x14ac:dyDescent="0.4">
      <c r="A127" s="10"/>
    </row>
    <row r="128" spans="1:1" x14ac:dyDescent="0.4">
      <c r="A128" s="10"/>
    </row>
    <row r="129" spans="1:1" x14ac:dyDescent="0.4">
      <c r="A129" s="10"/>
    </row>
    <row r="130" spans="1:1" x14ac:dyDescent="0.4">
      <c r="A130" s="10"/>
    </row>
    <row r="131" spans="1:1" x14ac:dyDescent="0.4">
      <c r="A131" s="10"/>
    </row>
    <row r="132" spans="1:1" x14ac:dyDescent="0.4">
      <c r="A132" s="10"/>
    </row>
    <row r="133" spans="1:1" x14ac:dyDescent="0.4">
      <c r="A133" s="10"/>
    </row>
    <row r="134" spans="1:1" x14ac:dyDescent="0.4">
      <c r="A134" s="10"/>
    </row>
    <row r="135" spans="1:1" x14ac:dyDescent="0.4">
      <c r="A135" s="10"/>
    </row>
    <row r="136" spans="1:1" x14ac:dyDescent="0.4">
      <c r="A136" s="10"/>
    </row>
    <row r="137" spans="1:1" x14ac:dyDescent="0.4">
      <c r="A137" s="10"/>
    </row>
    <row r="138" spans="1:1" x14ac:dyDescent="0.4">
      <c r="A138" s="10"/>
    </row>
    <row r="139" spans="1:1" x14ac:dyDescent="0.4">
      <c r="A139" s="10"/>
    </row>
    <row r="140" spans="1:1" x14ac:dyDescent="0.4">
      <c r="A140" s="10"/>
    </row>
    <row r="141" spans="1:1" x14ac:dyDescent="0.4">
      <c r="A141" s="10"/>
    </row>
    <row r="142" spans="1:1" x14ac:dyDescent="0.4">
      <c r="A142" s="10"/>
    </row>
    <row r="143" spans="1:1" x14ac:dyDescent="0.4">
      <c r="A143" s="10"/>
    </row>
    <row r="144" spans="1:1" x14ac:dyDescent="0.4">
      <c r="A144" s="10"/>
    </row>
    <row r="145" spans="1:1" x14ac:dyDescent="0.4">
      <c r="A145" s="10"/>
    </row>
    <row r="146" spans="1:1" x14ac:dyDescent="0.4">
      <c r="A146" s="10"/>
    </row>
    <row r="147" spans="1:1" x14ac:dyDescent="0.4">
      <c r="A147" s="10"/>
    </row>
    <row r="148" spans="1:1" x14ac:dyDescent="0.4">
      <c r="A148" s="10"/>
    </row>
    <row r="149" spans="1:1" x14ac:dyDescent="0.4">
      <c r="A149" s="10"/>
    </row>
    <row r="150" spans="1:1" x14ac:dyDescent="0.4">
      <c r="A150" s="10"/>
    </row>
    <row r="151" spans="1:1" x14ac:dyDescent="0.4">
      <c r="A151" s="10"/>
    </row>
    <row r="152" spans="1:1" x14ac:dyDescent="0.4">
      <c r="A152" s="10"/>
    </row>
    <row r="153" spans="1:1" x14ac:dyDescent="0.4">
      <c r="A153" s="10"/>
    </row>
    <row r="154" spans="1:1" x14ac:dyDescent="0.4">
      <c r="A154" s="10"/>
    </row>
    <row r="155" spans="1:1" x14ac:dyDescent="0.4">
      <c r="A155" s="10"/>
    </row>
    <row r="156" spans="1:1" x14ac:dyDescent="0.4">
      <c r="A156" s="10"/>
    </row>
    <row r="157" spans="1:1" x14ac:dyDescent="0.4">
      <c r="A157" s="10"/>
    </row>
    <row r="158" spans="1:1" x14ac:dyDescent="0.4">
      <c r="A158" s="10"/>
    </row>
    <row r="159" spans="1:1" x14ac:dyDescent="0.4">
      <c r="A159" s="10"/>
    </row>
    <row r="160" spans="1:1" x14ac:dyDescent="0.4">
      <c r="A160" s="10"/>
    </row>
    <row r="161" spans="1:1" x14ac:dyDescent="0.4">
      <c r="A161" s="10"/>
    </row>
    <row r="162" spans="1:1" x14ac:dyDescent="0.4">
      <c r="A162" s="10"/>
    </row>
    <row r="163" spans="1:1" x14ac:dyDescent="0.4">
      <c r="A163" s="10"/>
    </row>
    <row r="164" spans="1:1" x14ac:dyDescent="0.4">
      <c r="A164" s="10"/>
    </row>
    <row r="165" spans="1:1" x14ac:dyDescent="0.4">
      <c r="A165" s="10"/>
    </row>
    <row r="166" spans="1:1" x14ac:dyDescent="0.4">
      <c r="A166" s="10"/>
    </row>
    <row r="167" spans="1:1" x14ac:dyDescent="0.4">
      <c r="A167" s="10"/>
    </row>
    <row r="168" spans="1:1" x14ac:dyDescent="0.4">
      <c r="A168" s="10"/>
    </row>
    <row r="169" spans="1:1" x14ac:dyDescent="0.4">
      <c r="A169" s="10"/>
    </row>
    <row r="170" spans="1:1" x14ac:dyDescent="0.4">
      <c r="A170" s="10"/>
    </row>
    <row r="171" spans="1:1" x14ac:dyDescent="0.4">
      <c r="A171" s="10"/>
    </row>
    <row r="172" spans="1:1" x14ac:dyDescent="0.4">
      <c r="A172" s="10"/>
    </row>
    <row r="173" spans="1:1" x14ac:dyDescent="0.4">
      <c r="A173" s="10"/>
    </row>
    <row r="174" spans="1:1" x14ac:dyDescent="0.4">
      <c r="A174" s="10"/>
    </row>
    <row r="175" spans="1:1" x14ac:dyDescent="0.4">
      <c r="A175" s="10"/>
    </row>
    <row r="176" spans="1:1" x14ac:dyDescent="0.4">
      <c r="A176" s="10"/>
    </row>
    <row r="177" spans="1:1" x14ac:dyDescent="0.4">
      <c r="A177" s="10"/>
    </row>
    <row r="178" spans="1:1" x14ac:dyDescent="0.4">
      <c r="A178" s="10"/>
    </row>
    <row r="179" spans="1:1" x14ac:dyDescent="0.4">
      <c r="A179" s="10"/>
    </row>
    <row r="180" spans="1:1" x14ac:dyDescent="0.4">
      <c r="A180" s="10"/>
    </row>
    <row r="181" spans="1:1" x14ac:dyDescent="0.4">
      <c r="A181" s="10"/>
    </row>
    <row r="182" spans="1:1" x14ac:dyDescent="0.4">
      <c r="A182" s="10"/>
    </row>
    <row r="183" spans="1:1" x14ac:dyDescent="0.4">
      <c r="A183" s="10"/>
    </row>
    <row r="184" spans="1:1" x14ac:dyDescent="0.4">
      <c r="A184" s="10"/>
    </row>
    <row r="185" spans="1:1" x14ac:dyDescent="0.4">
      <c r="A185" s="10"/>
    </row>
    <row r="186" spans="1:1" x14ac:dyDescent="0.4">
      <c r="A186" s="10"/>
    </row>
    <row r="187" spans="1:1" x14ac:dyDescent="0.4">
      <c r="A187" s="10"/>
    </row>
    <row r="188" spans="1:1" x14ac:dyDescent="0.4">
      <c r="A188" s="10"/>
    </row>
    <row r="189" spans="1:1" x14ac:dyDescent="0.4">
      <c r="A189" s="10"/>
    </row>
    <row r="190" spans="1:1" x14ac:dyDescent="0.4">
      <c r="A190" s="10"/>
    </row>
    <row r="191" spans="1:1" x14ac:dyDescent="0.4">
      <c r="A191" s="10"/>
    </row>
    <row r="192" spans="1:1" x14ac:dyDescent="0.4">
      <c r="A192" s="10"/>
    </row>
    <row r="193" spans="1:1" x14ac:dyDescent="0.4">
      <c r="A193" s="10"/>
    </row>
    <row r="194" spans="1:1" x14ac:dyDescent="0.4">
      <c r="A194" s="10"/>
    </row>
    <row r="195" spans="1:1" x14ac:dyDescent="0.4">
      <c r="A195" s="10"/>
    </row>
    <row r="196" spans="1:1" x14ac:dyDescent="0.4">
      <c r="A196" s="10"/>
    </row>
    <row r="197" spans="1:1" x14ac:dyDescent="0.4">
      <c r="A197" s="10"/>
    </row>
    <row r="198" spans="1:1" x14ac:dyDescent="0.4">
      <c r="A198" s="10"/>
    </row>
    <row r="199" spans="1:1" x14ac:dyDescent="0.4">
      <c r="A199" s="10"/>
    </row>
    <row r="200" spans="1:1" x14ac:dyDescent="0.4">
      <c r="A200" s="10"/>
    </row>
    <row r="201" spans="1:1" x14ac:dyDescent="0.4">
      <c r="A201" s="10"/>
    </row>
    <row r="202" spans="1:1" x14ac:dyDescent="0.4">
      <c r="A202" s="10"/>
    </row>
    <row r="203" spans="1:1" x14ac:dyDescent="0.4">
      <c r="A203" s="10"/>
    </row>
    <row r="204" spans="1:1" x14ac:dyDescent="0.4">
      <c r="A204" s="10"/>
    </row>
    <row r="205" spans="1:1" x14ac:dyDescent="0.4">
      <c r="A205" s="10"/>
    </row>
    <row r="206" spans="1:1" x14ac:dyDescent="0.4">
      <c r="A206" s="10"/>
    </row>
    <row r="207" spans="1:1" x14ac:dyDescent="0.4">
      <c r="A207" s="10"/>
    </row>
    <row r="208" spans="1:1" x14ac:dyDescent="0.4">
      <c r="A208" s="10"/>
    </row>
    <row r="209" spans="1:1" x14ac:dyDescent="0.4">
      <c r="A209" s="10"/>
    </row>
    <row r="210" spans="1:1" x14ac:dyDescent="0.4">
      <c r="A210" s="10"/>
    </row>
    <row r="211" spans="1:1" x14ac:dyDescent="0.4">
      <c r="A211" s="10"/>
    </row>
    <row r="212" spans="1:1" x14ac:dyDescent="0.4">
      <c r="A212" s="10"/>
    </row>
    <row r="213" spans="1:1" x14ac:dyDescent="0.4">
      <c r="A213" s="10"/>
    </row>
    <row r="214" spans="1:1" x14ac:dyDescent="0.4">
      <c r="A214" s="10"/>
    </row>
    <row r="215" spans="1:1" x14ac:dyDescent="0.4">
      <c r="A215" s="10"/>
    </row>
    <row r="216" spans="1:1" x14ac:dyDescent="0.4">
      <c r="A216" s="10"/>
    </row>
    <row r="217" spans="1:1" x14ac:dyDescent="0.4">
      <c r="A217" s="10"/>
    </row>
    <row r="218" spans="1:1" x14ac:dyDescent="0.4">
      <c r="A218" s="10"/>
    </row>
    <row r="219" spans="1:1" x14ac:dyDescent="0.4">
      <c r="A219" s="10"/>
    </row>
    <row r="220" spans="1:1" x14ac:dyDescent="0.4">
      <c r="A220" s="10"/>
    </row>
    <row r="221" spans="1:1" x14ac:dyDescent="0.4">
      <c r="A221" s="10"/>
    </row>
    <row r="222" spans="1:1" x14ac:dyDescent="0.4">
      <c r="A222" s="10"/>
    </row>
    <row r="223" spans="1:1" x14ac:dyDescent="0.4">
      <c r="A223" s="10"/>
    </row>
    <row r="224" spans="1:1" x14ac:dyDescent="0.4">
      <c r="A224" s="10"/>
    </row>
    <row r="225" spans="1:1" x14ac:dyDescent="0.4">
      <c r="A225" s="10"/>
    </row>
    <row r="226" spans="1:1" x14ac:dyDescent="0.4">
      <c r="A226" s="10"/>
    </row>
    <row r="227" spans="1:1" x14ac:dyDescent="0.4">
      <c r="A227" s="10"/>
    </row>
    <row r="228" spans="1:1" x14ac:dyDescent="0.4">
      <c r="A228" s="10"/>
    </row>
    <row r="229" spans="1:1" x14ac:dyDescent="0.4">
      <c r="A229" s="10"/>
    </row>
    <row r="230" spans="1:1" x14ac:dyDescent="0.4">
      <c r="A230" s="10"/>
    </row>
    <row r="231" spans="1:1" x14ac:dyDescent="0.4">
      <c r="A231" s="10"/>
    </row>
    <row r="232" spans="1:1" x14ac:dyDescent="0.4">
      <c r="A232" s="10"/>
    </row>
    <row r="233" spans="1:1" x14ac:dyDescent="0.4">
      <c r="A233" s="10"/>
    </row>
    <row r="234" spans="1:1" x14ac:dyDescent="0.4">
      <c r="A234" s="10"/>
    </row>
    <row r="235" spans="1:1" x14ac:dyDescent="0.4">
      <c r="A235" s="10"/>
    </row>
    <row r="236" spans="1:1" x14ac:dyDescent="0.4">
      <c r="A236" s="10"/>
    </row>
    <row r="237" spans="1:1" x14ac:dyDescent="0.4">
      <c r="A237" s="10"/>
    </row>
    <row r="238" spans="1:1" x14ac:dyDescent="0.4">
      <c r="A238" s="10"/>
    </row>
    <row r="239" spans="1:1" x14ac:dyDescent="0.4">
      <c r="A239" s="10"/>
    </row>
    <row r="240" spans="1:1" x14ac:dyDescent="0.4">
      <c r="A240" s="10"/>
    </row>
    <row r="241" spans="1:1" x14ac:dyDescent="0.4">
      <c r="A241" s="10"/>
    </row>
    <row r="242" spans="1:1" x14ac:dyDescent="0.4">
      <c r="A242" s="10"/>
    </row>
    <row r="243" spans="1:1" x14ac:dyDescent="0.4">
      <c r="A243" s="10"/>
    </row>
    <row r="244" spans="1:1" x14ac:dyDescent="0.4">
      <c r="A244" s="10"/>
    </row>
    <row r="245" spans="1:1" x14ac:dyDescent="0.4">
      <c r="A245" s="10"/>
    </row>
    <row r="246" spans="1:1" x14ac:dyDescent="0.4">
      <c r="A246" s="10"/>
    </row>
    <row r="247" spans="1:1" x14ac:dyDescent="0.4">
      <c r="A247" s="10"/>
    </row>
    <row r="248" spans="1:1" x14ac:dyDescent="0.4">
      <c r="A248" s="10"/>
    </row>
    <row r="249" spans="1:1" x14ac:dyDescent="0.4">
      <c r="A249" s="10"/>
    </row>
    <row r="250" spans="1:1" x14ac:dyDescent="0.4">
      <c r="A250" s="10"/>
    </row>
    <row r="251" spans="1:1" x14ac:dyDescent="0.4">
      <c r="A251" s="10"/>
    </row>
    <row r="252" spans="1:1" x14ac:dyDescent="0.4">
      <c r="A252" s="10"/>
    </row>
    <row r="253" spans="1:1" x14ac:dyDescent="0.4">
      <c r="A253" s="10"/>
    </row>
    <row r="254" spans="1:1" x14ac:dyDescent="0.4">
      <c r="A254" s="10"/>
    </row>
    <row r="255" spans="1:1" x14ac:dyDescent="0.4">
      <c r="A255" s="10"/>
    </row>
    <row r="256" spans="1:1" x14ac:dyDescent="0.4">
      <c r="A256" s="10"/>
    </row>
    <row r="257" spans="1:1" x14ac:dyDescent="0.4">
      <c r="A257" s="10"/>
    </row>
    <row r="258" spans="1:1" x14ac:dyDescent="0.4">
      <c r="A258" s="10"/>
    </row>
    <row r="259" spans="1:1" x14ac:dyDescent="0.4">
      <c r="A259" s="10"/>
    </row>
    <row r="260" spans="1:1" x14ac:dyDescent="0.4">
      <c r="A260" s="10"/>
    </row>
    <row r="261" spans="1:1" x14ac:dyDescent="0.4">
      <c r="A261" s="10"/>
    </row>
    <row r="262" spans="1:1" x14ac:dyDescent="0.4">
      <c r="A262" s="10"/>
    </row>
    <row r="263" spans="1:1" x14ac:dyDescent="0.4">
      <c r="A263" s="10"/>
    </row>
    <row r="264" spans="1:1" x14ac:dyDescent="0.4">
      <c r="A264" s="10"/>
    </row>
    <row r="265" spans="1:1" x14ac:dyDescent="0.4">
      <c r="A265" s="10"/>
    </row>
    <row r="266" spans="1:1" x14ac:dyDescent="0.4">
      <c r="A266" s="10"/>
    </row>
    <row r="267" spans="1:1" x14ac:dyDescent="0.4">
      <c r="A267" s="10"/>
    </row>
    <row r="268" spans="1:1" x14ac:dyDescent="0.4">
      <c r="A268" s="10"/>
    </row>
    <row r="269" spans="1:1" x14ac:dyDescent="0.4">
      <c r="A269" s="10"/>
    </row>
    <row r="270" spans="1:1" x14ac:dyDescent="0.4">
      <c r="A270" s="10"/>
    </row>
    <row r="271" spans="1:1" x14ac:dyDescent="0.4">
      <c r="A271" s="10"/>
    </row>
    <row r="272" spans="1:1" x14ac:dyDescent="0.4">
      <c r="A272" s="10"/>
    </row>
    <row r="273" spans="1:1" x14ac:dyDescent="0.4">
      <c r="A273" s="10"/>
    </row>
    <row r="274" spans="1:1" x14ac:dyDescent="0.4">
      <c r="A274" s="10"/>
    </row>
    <row r="275" spans="1:1" x14ac:dyDescent="0.4">
      <c r="A275" s="10"/>
    </row>
    <row r="276" spans="1:1" x14ac:dyDescent="0.4">
      <c r="A276" s="10"/>
    </row>
    <row r="277" spans="1:1" x14ac:dyDescent="0.4">
      <c r="A277" s="10"/>
    </row>
    <row r="278" spans="1:1" x14ac:dyDescent="0.4">
      <c r="A278" s="10"/>
    </row>
    <row r="279" spans="1:1" x14ac:dyDescent="0.4">
      <c r="A279" s="10"/>
    </row>
    <row r="280" spans="1:1" x14ac:dyDescent="0.4">
      <c r="A280" s="10"/>
    </row>
    <row r="281" spans="1:1" x14ac:dyDescent="0.4">
      <c r="A281" s="10"/>
    </row>
    <row r="282" spans="1:1" x14ac:dyDescent="0.4">
      <c r="A282" s="10"/>
    </row>
    <row r="283" spans="1:1" x14ac:dyDescent="0.4">
      <c r="A283" s="10"/>
    </row>
    <row r="284" spans="1:1" x14ac:dyDescent="0.4">
      <c r="A284" s="10"/>
    </row>
    <row r="285" spans="1:1" x14ac:dyDescent="0.4">
      <c r="A285" s="10"/>
    </row>
    <row r="286" spans="1:1" x14ac:dyDescent="0.4">
      <c r="A286" s="10"/>
    </row>
    <row r="287" spans="1:1" x14ac:dyDescent="0.4">
      <c r="A287" s="10"/>
    </row>
    <row r="288" spans="1:1" x14ac:dyDescent="0.4">
      <c r="A288" s="10"/>
    </row>
    <row r="289" spans="1:1" x14ac:dyDescent="0.4">
      <c r="A289" s="10"/>
    </row>
    <row r="290" spans="1:1" x14ac:dyDescent="0.4">
      <c r="A290" s="10"/>
    </row>
    <row r="291" spans="1:1" x14ac:dyDescent="0.4">
      <c r="A291" s="10"/>
    </row>
    <row r="292" spans="1:1" x14ac:dyDescent="0.4">
      <c r="A292" s="10"/>
    </row>
    <row r="293" spans="1:1" x14ac:dyDescent="0.4">
      <c r="A293" s="10"/>
    </row>
    <row r="294" spans="1:1" x14ac:dyDescent="0.4">
      <c r="A294" s="10"/>
    </row>
    <row r="295" spans="1:1" x14ac:dyDescent="0.4">
      <c r="A295" s="10"/>
    </row>
    <row r="296" spans="1:1" x14ac:dyDescent="0.4">
      <c r="A296" s="10"/>
    </row>
    <row r="297" spans="1:1" x14ac:dyDescent="0.4">
      <c r="A297" s="10"/>
    </row>
    <row r="298" spans="1:1" x14ac:dyDescent="0.4">
      <c r="A298" s="10"/>
    </row>
    <row r="299" spans="1:1" x14ac:dyDescent="0.4">
      <c r="A299" s="10"/>
    </row>
    <row r="300" spans="1:1" x14ac:dyDescent="0.4">
      <c r="A300" s="10"/>
    </row>
    <row r="301" spans="1:1" x14ac:dyDescent="0.4">
      <c r="A301" s="10"/>
    </row>
    <row r="302" spans="1:1" x14ac:dyDescent="0.4">
      <c r="A302" s="10"/>
    </row>
    <row r="303" spans="1:1" x14ac:dyDescent="0.4">
      <c r="A303" s="10"/>
    </row>
    <row r="304" spans="1:1" x14ac:dyDescent="0.4">
      <c r="A304" s="10"/>
    </row>
    <row r="305" spans="1:1" x14ac:dyDescent="0.4">
      <c r="A305" s="10"/>
    </row>
    <row r="306" spans="1:1" x14ac:dyDescent="0.4">
      <c r="A306" s="10"/>
    </row>
    <row r="307" spans="1:1" x14ac:dyDescent="0.4">
      <c r="A307" s="10"/>
    </row>
    <row r="308" spans="1:1" x14ac:dyDescent="0.4">
      <c r="A308" s="10"/>
    </row>
    <row r="309" spans="1:1" x14ac:dyDescent="0.4">
      <c r="A309" s="10"/>
    </row>
    <row r="310" spans="1:1" x14ac:dyDescent="0.4">
      <c r="A310" s="10"/>
    </row>
    <row r="311" spans="1:1" x14ac:dyDescent="0.4">
      <c r="A311" s="10"/>
    </row>
    <row r="312" spans="1:1" x14ac:dyDescent="0.4">
      <c r="A312" s="10"/>
    </row>
    <row r="313" spans="1:1" x14ac:dyDescent="0.4">
      <c r="A313" s="10"/>
    </row>
    <row r="314" spans="1:1" x14ac:dyDescent="0.4">
      <c r="A314" s="10"/>
    </row>
    <row r="315" spans="1:1" x14ac:dyDescent="0.4">
      <c r="A315" s="10"/>
    </row>
    <row r="316" spans="1:1" x14ac:dyDescent="0.4">
      <c r="A316" s="10"/>
    </row>
    <row r="317" spans="1:1" x14ac:dyDescent="0.4">
      <c r="A317" s="10"/>
    </row>
    <row r="318" spans="1:1" x14ac:dyDescent="0.4">
      <c r="A318" s="10"/>
    </row>
    <row r="319" spans="1:1" x14ac:dyDescent="0.4">
      <c r="A319" s="10"/>
    </row>
    <row r="320" spans="1:1" x14ac:dyDescent="0.4">
      <c r="A320" s="10"/>
    </row>
    <row r="321" spans="1:1" x14ac:dyDescent="0.4">
      <c r="A321" s="10"/>
    </row>
    <row r="322" spans="1:1" x14ac:dyDescent="0.4">
      <c r="A322" s="10"/>
    </row>
    <row r="323" spans="1:1" x14ac:dyDescent="0.4">
      <c r="A323" s="10"/>
    </row>
    <row r="324" spans="1:1" x14ac:dyDescent="0.4">
      <c r="A324" s="10"/>
    </row>
    <row r="325" spans="1:1" x14ac:dyDescent="0.4">
      <c r="A325" s="10"/>
    </row>
    <row r="326" spans="1:1" x14ac:dyDescent="0.4">
      <c r="A326" s="10"/>
    </row>
    <row r="327" spans="1:1" x14ac:dyDescent="0.4">
      <c r="A327" s="10"/>
    </row>
    <row r="328" spans="1:1" x14ac:dyDescent="0.4">
      <c r="A328" s="10"/>
    </row>
    <row r="329" spans="1:1" x14ac:dyDescent="0.4">
      <c r="A329" s="10"/>
    </row>
    <row r="330" spans="1:1" x14ac:dyDescent="0.4">
      <c r="A330" s="10"/>
    </row>
    <row r="331" spans="1:1" x14ac:dyDescent="0.4">
      <c r="A331" s="10"/>
    </row>
    <row r="332" spans="1:1" x14ac:dyDescent="0.4">
      <c r="A332" s="10"/>
    </row>
    <row r="333" spans="1:1" x14ac:dyDescent="0.4">
      <c r="A333" s="10"/>
    </row>
    <row r="334" spans="1:1" x14ac:dyDescent="0.4">
      <c r="A334" s="10"/>
    </row>
    <row r="335" spans="1:1" x14ac:dyDescent="0.4">
      <c r="A335" s="10"/>
    </row>
    <row r="336" spans="1:1" x14ac:dyDescent="0.4">
      <c r="A336" s="10"/>
    </row>
    <row r="337" spans="1:1" x14ac:dyDescent="0.4">
      <c r="A337" s="10"/>
    </row>
    <row r="338" spans="1:1" x14ac:dyDescent="0.4">
      <c r="A338" s="10"/>
    </row>
    <row r="339" spans="1:1" x14ac:dyDescent="0.4">
      <c r="A339" s="10"/>
    </row>
    <row r="340" spans="1:1" x14ac:dyDescent="0.4">
      <c r="A340" s="10"/>
    </row>
    <row r="341" spans="1:1" x14ac:dyDescent="0.4">
      <c r="A341" s="10"/>
    </row>
    <row r="342" spans="1:1" x14ac:dyDescent="0.4">
      <c r="A342" s="10"/>
    </row>
    <row r="343" spans="1:1" x14ac:dyDescent="0.4">
      <c r="A343" s="10"/>
    </row>
    <row r="344" spans="1:1" x14ac:dyDescent="0.4">
      <c r="A344" s="10"/>
    </row>
    <row r="345" spans="1:1" x14ac:dyDescent="0.4">
      <c r="A345" s="10"/>
    </row>
    <row r="346" spans="1:1" x14ac:dyDescent="0.4">
      <c r="A346" s="10"/>
    </row>
    <row r="347" spans="1:1" x14ac:dyDescent="0.4">
      <c r="A347" s="10"/>
    </row>
    <row r="348" spans="1:1" x14ac:dyDescent="0.4">
      <c r="A348" s="10"/>
    </row>
    <row r="349" spans="1:1" x14ac:dyDescent="0.4">
      <c r="A349" s="10"/>
    </row>
    <row r="350" spans="1:1" x14ac:dyDescent="0.4">
      <c r="A350" s="10"/>
    </row>
    <row r="351" spans="1:1" x14ac:dyDescent="0.4">
      <c r="A351" s="10"/>
    </row>
    <row r="352" spans="1:1" x14ac:dyDescent="0.4">
      <c r="A352" s="10"/>
    </row>
    <row r="353" spans="1:1" x14ac:dyDescent="0.4">
      <c r="A353" s="10"/>
    </row>
    <row r="354" spans="1:1" x14ac:dyDescent="0.4">
      <c r="A354" s="10"/>
    </row>
    <row r="355" spans="1:1" x14ac:dyDescent="0.4">
      <c r="A355" s="10"/>
    </row>
    <row r="356" spans="1:1" x14ac:dyDescent="0.4">
      <c r="A356" s="10"/>
    </row>
    <row r="357" spans="1:1" x14ac:dyDescent="0.4">
      <c r="A357" s="10"/>
    </row>
    <row r="358" spans="1:1" x14ac:dyDescent="0.4">
      <c r="A358" s="10"/>
    </row>
    <row r="359" spans="1:1" x14ac:dyDescent="0.4">
      <c r="A359" s="10"/>
    </row>
    <row r="360" spans="1:1" x14ac:dyDescent="0.4">
      <c r="A360" s="10"/>
    </row>
    <row r="361" spans="1:1" x14ac:dyDescent="0.4">
      <c r="A361" s="10"/>
    </row>
    <row r="362" spans="1:1" x14ac:dyDescent="0.4">
      <c r="A362" s="10"/>
    </row>
    <row r="363" spans="1:1" x14ac:dyDescent="0.4">
      <c r="A363" s="10"/>
    </row>
    <row r="364" spans="1:1" x14ac:dyDescent="0.4">
      <c r="A364" s="10"/>
    </row>
    <row r="365" spans="1:1" x14ac:dyDescent="0.4">
      <c r="A365" s="10"/>
    </row>
    <row r="366" spans="1:1" x14ac:dyDescent="0.4">
      <c r="A366" s="10"/>
    </row>
    <row r="367" spans="1:1" x14ac:dyDescent="0.4">
      <c r="A367" s="10"/>
    </row>
    <row r="368" spans="1:1" x14ac:dyDescent="0.4">
      <c r="A368" s="10"/>
    </row>
    <row r="369" spans="1:1" x14ac:dyDescent="0.4">
      <c r="A369" s="10"/>
    </row>
    <row r="370" spans="1:1" x14ac:dyDescent="0.4">
      <c r="A370" s="10"/>
    </row>
    <row r="371" spans="1:1" x14ac:dyDescent="0.4">
      <c r="A371" s="10"/>
    </row>
    <row r="372" spans="1:1" x14ac:dyDescent="0.4">
      <c r="A372" s="10"/>
    </row>
    <row r="373" spans="1:1" x14ac:dyDescent="0.4">
      <c r="A373" s="10"/>
    </row>
    <row r="374" spans="1:1" x14ac:dyDescent="0.4">
      <c r="A374" s="10"/>
    </row>
    <row r="375" spans="1:1" x14ac:dyDescent="0.4">
      <c r="A375" s="10"/>
    </row>
    <row r="376" spans="1:1" x14ac:dyDescent="0.4">
      <c r="A376" s="10"/>
    </row>
    <row r="377" spans="1:1" x14ac:dyDescent="0.4">
      <c r="A377" s="10"/>
    </row>
    <row r="378" spans="1:1" x14ac:dyDescent="0.4">
      <c r="A378" s="10"/>
    </row>
    <row r="379" spans="1:1" x14ac:dyDescent="0.4">
      <c r="A379" s="10"/>
    </row>
    <row r="380" spans="1:1" x14ac:dyDescent="0.4">
      <c r="A380" s="10"/>
    </row>
    <row r="381" spans="1:1" x14ac:dyDescent="0.4">
      <c r="A381" s="10"/>
    </row>
    <row r="382" spans="1:1" x14ac:dyDescent="0.4">
      <c r="A382" s="10"/>
    </row>
    <row r="383" spans="1:1" x14ac:dyDescent="0.4">
      <c r="A383" s="10"/>
    </row>
    <row r="384" spans="1:1" x14ac:dyDescent="0.4">
      <c r="A384" s="10"/>
    </row>
    <row r="385" spans="1:1" x14ac:dyDescent="0.4">
      <c r="A385" s="10"/>
    </row>
    <row r="386" spans="1:1" x14ac:dyDescent="0.4">
      <c r="A386" s="10"/>
    </row>
    <row r="387" spans="1:1" x14ac:dyDescent="0.4">
      <c r="A387" s="10"/>
    </row>
    <row r="388" spans="1:1" x14ac:dyDescent="0.4">
      <c r="A388" s="10"/>
    </row>
    <row r="389" spans="1:1" x14ac:dyDescent="0.4">
      <c r="A389" s="10"/>
    </row>
    <row r="390" spans="1:1" x14ac:dyDescent="0.4">
      <c r="A390" s="10"/>
    </row>
    <row r="391" spans="1:1" x14ac:dyDescent="0.4">
      <c r="A391" s="10"/>
    </row>
    <row r="392" spans="1:1" x14ac:dyDescent="0.4">
      <c r="A392" s="10"/>
    </row>
    <row r="393" spans="1:1" x14ac:dyDescent="0.4">
      <c r="A393" s="10"/>
    </row>
    <row r="394" spans="1:1" x14ac:dyDescent="0.4">
      <c r="A394" s="10"/>
    </row>
    <row r="395" spans="1:1" x14ac:dyDescent="0.4">
      <c r="A395" s="10"/>
    </row>
    <row r="396" spans="1:1" x14ac:dyDescent="0.4">
      <c r="A396" s="10"/>
    </row>
    <row r="397" spans="1:1" x14ac:dyDescent="0.4">
      <c r="A397" s="10"/>
    </row>
    <row r="398" spans="1:1" x14ac:dyDescent="0.4">
      <c r="A398" s="10"/>
    </row>
    <row r="399" spans="1:1" x14ac:dyDescent="0.4">
      <c r="A399" s="10"/>
    </row>
    <row r="400" spans="1:1" x14ac:dyDescent="0.4">
      <c r="A400" s="10"/>
    </row>
    <row r="401" spans="1:1" x14ac:dyDescent="0.4">
      <c r="A401" s="10"/>
    </row>
    <row r="402" spans="1:1" x14ac:dyDescent="0.4">
      <c r="A402" s="10"/>
    </row>
    <row r="403" spans="1:1" x14ac:dyDescent="0.4">
      <c r="A403" s="10"/>
    </row>
    <row r="404" spans="1:1" x14ac:dyDescent="0.4">
      <c r="A404" s="10"/>
    </row>
    <row r="405" spans="1:1" x14ac:dyDescent="0.4">
      <c r="A405" s="10"/>
    </row>
    <row r="406" spans="1:1" x14ac:dyDescent="0.4">
      <c r="A406" s="10"/>
    </row>
    <row r="407" spans="1:1" x14ac:dyDescent="0.4">
      <c r="A407" s="10"/>
    </row>
    <row r="408" spans="1:1" x14ac:dyDescent="0.4">
      <c r="A408" s="10"/>
    </row>
    <row r="409" spans="1:1" x14ac:dyDescent="0.4">
      <c r="A409" s="10"/>
    </row>
    <row r="410" spans="1:1" x14ac:dyDescent="0.4">
      <c r="A410" s="10"/>
    </row>
    <row r="411" spans="1:1" x14ac:dyDescent="0.4">
      <c r="A411" s="10"/>
    </row>
    <row r="412" spans="1:1" x14ac:dyDescent="0.4">
      <c r="A412" s="10"/>
    </row>
    <row r="413" spans="1:1" x14ac:dyDescent="0.4">
      <c r="A413" s="10"/>
    </row>
    <row r="414" spans="1:1" x14ac:dyDescent="0.4">
      <c r="A414" s="10"/>
    </row>
    <row r="415" spans="1:1" x14ac:dyDescent="0.4">
      <c r="A415" s="10"/>
    </row>
    <row r="416" spans="1:1" x14ac:dyDescent="0.4">
      <c r="A416" s="10"/>
    </row>
    <row r="417" spans="1:1" x14ac:dyDescent="0.4">
      <c r="A417" s="10"/>
    </row>
    <row r="418" spans="1:1" x14ac:dyDescent="0.4">
      <c r="A418" s="10"/>
    </row>
    <row r="419" spans="1:1" x14ac:dyDescent="0.4">
      <c r="A419" s="10"/>
    </row>
    <row r="420" spans="1:1" x14ac:dyDescent="0.4">
      <c r="A420" s="10"/>
    </row>
    <row r="421" spans="1:1" x14ac:dyDescent="0.4">
      <c r="A421" s="10"/>
    </row>
    <row r="422" spans="1:1" x14ac:dyDescent="0.4">
      <c r="A422" s="10"/>
    </row>
    <row r="423" spans="1:1" x14ac:dyDescent="0.4">
      <c r="A423" s="10"/>
    </row>
    <row r="424" spans="1:1" x14ac:dyDescent="0.4">
      <c r="A424" s="10"/>
    </row>
    <row r="425" spans="1:1" x14ac:dyDescent="0.4">
      <c r="A425" s="10"/>
    </row>
    <row r="426" spans="1:1" x14ac:dyDescent="0.4">
      <c r="A426" s="10"/>
    </row>
    <row r="427" spans="1:1" x14ac:dyDescent="0.4">
      <c r="A427" s="10"/>
    </row>
    <row r="428" spans="1:1" x14ac:dyDescent="0.4">
      <c r="A428" s="10"/>
    </row>
    <row r="429" spans="1:1" x14ac:dyDescent="0.4">
      <c r="A429" s="10"/>
    </row>
    <row r="430" spans="1:1" x14ac:dyDescent="0.4">
      <c r="A430" s="10"/>
    </row>
    <row r="431" spans="1:1" x14ac:dyDescent="0.4">
      <c r="A431" s="10"/>
    </row>
    <row r="432" spans="1:1" x14ac:dyDescent="0.4">
      <c r="A432" s="10"/>
    </row>
    <row r="433" spans="1:1" x14ac:dyDescent="0.4">
      <c r="A433" s="10"/>
    </row>
    <row r="434" spans="1:1" x14ac:dyDescent="0.4">
      <c r="A434" s="10"/>
    </row>
    <row r="435" spans="1:1" x14ac:dyDescent="0.4">
      <c r="A435" s="10"/>
    </row>
    <row r="436" spans="1:1" x14ac:dyDescent="0.4">
      <c r="A436" s="10"/>
    </row>
    <row r="437" spans="1:1" x14ac:dyDescent="0.4">
      <c r="A437" s="10"/>
    </row>
    <row r="438" spans="1:1" x14ac:dyDescent="0.4">
      <c r="A438" s="10"/>
    </row>
    <row r="439" spans="1:1" x14ac:dyDescent="0.4">
      <c r="A439" s="10"/>
    </row>
    <row r="440" spans="1:1" x14ac:dyDescent="0.4">
      <c r="A440" s="10"/>
    </row>
    <row r="441" spans="1:1" x14ac:dyDescent="0.4">
      <c r="A441" s="10"/>
    </row>
    <row r="442" spans="1:1" x14ac:dyDescent="0.4">
      <c r="A442" s="10"/>
    </row>
    <row r="443" spans="1:1" x14ac:dyDescent="0.4">
      <c r="A443" s="10"/>
    </row>
    <row r="444" spans="1:1" x14ac:dyDescent="0.4">
      <c r="A444" s="10"/>
    </row>
    <row r="445" spans="1:1" x14ac:dyDescent="0.4">
      <c r="A445" s="10"/>
    </row>
    <row r="446" spans="1:1" x14ac:dyDescent="0.4">
      <c r="A446" s="10"/>
    </row>
    <row r="447" spans="1:1" x14ac:dyDescent="0.4">
      <c r="A447" s="10"/>
    </row>
    <row r="448" spans="1:1" x14ac:dyDescent="0.4">
      <c r="A448" s="10"/>
    </row>
    <row r="449" spans="1:1" x14ac:dyDescent="0.4">
      <c r="A449" s="10"/>
    </row>
    <row r="450" spans="1:1" x14ac:dyDescent="0.4">
      <c r="A450" s="10"/>
    </row>
    <row r="451" spans="1:1" x14ac:dyDescent="0.4">
      <c r="A451" s="10"/>
    </row>
    <row r="452" spans="1:1" x14ac:dyDescent="0.4">
      <c r="A452" s="10"/>
    </row>
    <row r="453" spans="1:1" x14ac:dyDescent="0.4">
      <c r="A453" s="10"/>
    </row>
    <row r="454" spans="1:1" x14ac:dyDescent="0.4">
      <c r="A454" s="10"/>
    </row>
    <row r="455" spans="1:1" x14ac:dyDescent="0.4">
      <c r="A455" s="10"/>
    </row>
    <row r="456" spans="1:1" x14ac:dyDescent="0.4">
      <c r="A456" s="10"/>
    </row>
    <row r="457" spans="1:1" x14ac:dyDescent="0.4">
      <c r="A457" s="10"/>
    </row>
    <row r="458" spans="1:1" x14ac:dyDescent="0.4">
      <c r="A458" s="10"/>
    </row>
    <row r="459" spans="1:1" x14ac:dyDescent="0.4">
      <c r="A459" s="10"/>
    </row>
    <row r="460" spans="1:1" x14ac:dyDescent="0.4">
      <c r="A460" s="10"/>
    </row>
    <row r="461" spans="1:1" x14ac:dyDescent="0.4">
      <c r="A461" s="10"/>
    </row>
    <row r="462" spans="1:1" x14ac:dyDescent="0.4">
      <c r="A462" s="10"/>
    </row>
    <row r="463" spans="1:1" x14ac:dyDescent="0.4">
      <c r="A463" s="10"/>
    </row>
    <row r="464" spans="1:1" x14ac:dyDescent="0.4">
      <c r="A464" s="10"/>
    </row>
    <row r="465" spans="1:1" x14ac:dyDescent="0.4">
      <c r="A465" s="10"/>
    </row>
    <row r="466" spans="1:1" x14ac:dyDescent="0.4">
      <c r="A466" s="10"/>
    </row>
    <row r="467" spans="1:1" x14ac:dyDescent="0.4">
      <c r="A467" s="10"/>
    </row>
    <row r="468" spans="1:1" x14ac:dyDescent="0.4">
      <c r="A468" s="10"/>
    </row>
    <row r="469" spans="1:1" x14ac:dyDescent="0.4">
      <c r="A469" s="10"/>
    </row>
    <row r="470" spans="1:1" x14ac:dyDescent="0.4">
      <c r="A470" s="10"/>
    </row>
    <row r="471" spans="1:1" x14ac:dyDescent="0.4">
      <c r="A471" s="10"/>
    </row>
    <row r="472" spans="1:1" x14ac:dyDescent="0.4">
      <c r="A472" s="10"/>
    </row>
    <row r="473" spans="1:1" x14ac:dyDescent="0.4">
      <c r="A473" s="10"/>
    </row>
    <row r="474" spans="1:1" x14ac:dyDescent="0.4">
      <c r="A474" s="10"/>
    </row>
    <row r="475" spans="1:1" x14ac:dyDescent="0.4">
      <c r="A475" s="10"/>
    </row>
    <row r="476" spans="1:1" x14ac:dyDescent="0.4">
      <c r="A476" s="10"/>
    </row>
    <row r="477" spans="1:1" x14ac:dyDescent="0.4">
      <c r="A477" s="10"/>
    </row>
    <row r="478" spans="1:1" x14ac:dyDescent="0.4">
      <c r="A478" s="10"/>
    </row>
    <row r="479" spans="1:1" x14ac:dyDescent="0.4">
      <c r="A479" s="10"/>
    </row>
    <row r="480" spans="1:1" x14ac:dyDescent="0.4">
      <c r="A480" s="10"/>
    </row>
    <row r="481" spans="1:1" x14ac:dyDescent="0.4">
      <c r="A481" s="10"/>
    </row>
    <row r="482" spans="1:1" x14ac:dyDescent="0.4">
      <c r="A482" s="10"/>
    </row>
    <row r="483" spans="1:1" x14ac:dyDescent="0.4">
      <c r="A483" s="10"/>
    </row>
    <row r="484" spans="1:1" x14ac:dyDescent="0.4">
      <c r="A484" s="10"/>
    </row>
    <row r="485" spans="1:1" x14ac:dyDescent="0.4">
      <c r="A485" s="10"/>
    </row>
    <row r="486" spans="1:1" x14ac:dyDescent="0.4">
      <c r="A486" s="10"/>
    </row>
    <row r="487" spans="1:1" x14ac:dyDescent="0.4">
      <c r="A487" s="10"/>
    </row>
    <row r="488" spans="1:1" x14ac:dyDescent="0.4">
      <c r="A488" s="10"/>
    </row>
    <row r="489" spans="1:1" x14ac:dyDescent="0.4">
      <c r="A489" s="10"/>
    </row>
    <row r="490" spans="1:1" x14ac:dyDescent="0.4">
      <c r="A490" s="10"/>
    </row>
    <row r="491" spans="1:1" x14ac:dyDescent="0.4">
      <c r="A491" s="10"/>
    </row>
    <row r="492" spans="1:1" x14ac:dyDescent="0.4">
      <c r="A492" s="10"/>
    </row>
    <row r="493" spans="1:1" x14ac:dyDescent="0.4">
      <c r="A493" s="10"/>
    </row>
    <row r="494" spans="1:1" x14ac:dyDescent="0.4">
      <c r="A494" s="10"/>
    </row>
    <row r="495" spans="1:1" x14ac:dyDescent="0.4">
      <c r="A495" s="10"/>
    </row>
    <row r="496" spans="1:1" x14ac:dyDescent="0.4">
      <c r="A496" s="10"/>
    </row>
    <row r="497" spans="1:1" x14ac:dyDescent="0.4">
      <c r="A497" s="10"/>
    </row>
    <row r="498" spans="1:1" x14ac:dyDescent="0.4">
      <c r="A498" s="10"/>
    </row>
    <row r="499" spans="1:1" x14ac:dyDescent="0.4">
      <c r="A499" s="10"/>
    </row>
    <row r="500" spans="1:1" x14ac:dyDescent="0.4">
      <c r="A500" s="10"/>
    </row>
    <row r="501" spans="1:1" x14ac:dyDescent="0.4">
      <c r="A501" s="10"/>
    </row>
    <row r="502" spans="1:1" x14ac:dyDescent="0.4">
      <c r="A502" s="10"/>
    </row>
    <row r="503" spans="1:1" x14ac:dyDescent="0.4">
      <c r="A503" s="10"/>
    </row>
    <row r="504" spans="1:1" x14ac:dyDescent="0.4">
      <c r="A504" s="10"/>
    </row>
    <row r="505" spans="1:1" x14ac:dyDescent="0.4">
      <c r="A505" s="10"/>
    </row>
    <row r="506" spans="1:1" x14ac:dyDescent="0.4">
      <c r="A506" s="10"/>
    </row>
    <row r="507" spans="1:1" x14ac:dyDescent="0.4">
      <c r="A507" s="10"/>
    </row>
    <row r="508" spans="1:1" x14ac:dyDescent="0.4">
      <c r="A508" s="10"/>
    </row>
    <row r="509" spans="1:1" x14ac:dyDescent="0.4">
      <c r="A509" s="10"/>
    </row>
    <row r="510" spans="1:1" x14ac:dyDescent="0.4">
      <c r="A510" s="10"/>
    </row>
    <row r="511" spans="1:1" x14ac:dyDescent="0.4">
      <c r="A511" s="10"/>
    </row>
    <row r="512" spans="1:1" x14ac:dyDescent="0.4">
      <c r="A512" s="10"/>
    </row>
    <row r="513" spans="1:1" x14ac:dyDescent="0.4">
      <c r="A513" s="10"/>
    </row>
    <row r="514" spans="1:1" x14ac:dyDescent="0.4">
      <c r="A514" s="10"/>
    </row>
    <row r="515" spans="1:1" x14ac:dyDescent="0.4">
      <c r="A515" s="10"/>
    </row>
    <row r="516" spans="1:1" x14ac:dyDescent="0.4">
      <c r="A516" s="10"/>
    </row>
    <row r="517" spans="1:1" x14ac:dyDescent="0.4">
      <c r="A517" s="10"/>
    </row>
    <row r="518" spans="1:1" x14ac:dyDescent="0.4">
      <c r="A518" s="10"/>
    </row>
    <row r="519" spans="1:1" x14ac:dyDescent="0.4">
      <c r="A519" s="10"/>
    </row>
    <row r="520" spans="1:1" x14ac:dyDescent="0.4">
      <c r="A520" s="10"/>
    </row>
    <row r="521" spans="1:1" x14ac:dyDescent="0.4">
      <c r="A521" s="10"/>
    </row>
    <row r="522" spans="1:1" x14ac:dyDescent="0.4">
      <c r="A522" s="10"/>
    </row>
    <row r="523" spans="1:1" x14ac:dyDescent="0.4">
      <c r="A523" s="10"/>
    </row>
    <row r="524" spans="1:1" x14ac:dyDescent="0.4">
      <c r="A524" s="10"/>
    </row>
    <row r="525" spans="1:1" x14ac:dyDescent="0.4">
      <c r="A525" s="10"/>
    </row>
    <row r="526" spans="1:1" x14ac:dyDescent="0.4">
      <c r="A526" s="10"/>
    </row>
    <row r="527" spans="1:1" x14ac:dyDescent="0.4">
      <c r="A527" s="10"/>
    </row>
    <row r="528" spans="1:1" x14ac:dyDescent="0.4">
      <c r="A528" s="10"/>
    </row>
    <row r="529" spans="1:1" x14ac:dyDescent="0.4">
      <c r="A529" s="10"/>
    </row>
    <row r="530" spans="1:1" x14ac:dyDescent="0.4">
      <c r="A530" s="10"/>
    </row>
    <row r="531" spans="1:1" x14ac:dyDescent="0.4">
      <c r="A531" s="10"/>
    </row>
    <row r="532" spans="1:1" x14ac:dyDescent="0.4">
      <c r="A532" s="10"/>
    </row>
    <row r="533" spans="1:1" x14ac:dyDescent="0.4">
      <c r="A533" s="10"/>
    </row>
    <row r="534" spans="1:1" x14ac:dyDescent="0.4">
      <c r="A534" s="10"/>
    </row>
    <row r="535" spans="1:1" x14ac:dyDescent="0.4">
      <c r="A535" s="10"/>
    </row>
    <row r="536" spans="1:1" x14ac:dyDescent="0.4">
      <c r="A536" s="10"/>
    </row>
    <row r="537" spans="1:1" x14ac:dyDescent="0.4">
      <c r="A537" s="10"/>
    </row>
    <row r="538" spans="1:1" x14ac:dyDescent="0.4">
      <c r="A538" s="10"/>
    </row>
    <row r="539" spans="1:1" x14ac:dyDescent="0.4">
      <c r="A539" s="10"/>
    </row>
    <row r="540" spans="1:1" x14ac:dyDescent="0.4">
      <c r="A540" s="10"/>
    </row>
    <row r="541" spans="1:1" x14ac:dyDescent="0.4">
      <c r="A541" s="10"/>
    </row>
    <row r="542" spans="1:1" x14ac:dyDescent="0.4">
      <c r="A542" s="10"/>
    </row>
    <row r="543" spans="1:1" x14ac:dyDescent="0.4">
      <c r="A543" s="10"/>
    </row>
    <row r="544" spans="1:1" x14ac:dyDescent="0.4">
      <c r="A544" s="10"/>
    </row>
    <row r="545" spans="1:1" x14ac:dyDescent="0.4">
      <c r="A545" s="10"/>
    </row>
    <row r="546" spans="1:1" x14ac:dyDescent="0.4">
      <c r="A546" s="10"/>
    </row>
    <row r="547" spans="1:1" x14ac:dyDescent="0.4">
      <c r="A547" s="10"/>
    </row>
    <row r="548" spans="1:1" x14ac:dyDescent="0.4">
      <c r="A548" s="10"/>
    </row>
    <row r="549" spans="1:1" x14ac:dyDescent="0.4">
      <c r="A549" s="10"/>
    </row>
    <row r="550" spans="1:1" x14ac:dyDescent="0.4">
      <c r="A550" s="10"/>
    </row>
    <row r="551" spans="1:1" x14ac:dyDescent="0.4">
      <c r="A551" s="10"/>
    </row>
    <row r="552" spans="1:1" x14ac:dyDescent="0.4">
      <c r="A552" s="10"/>
    </row>
    <row r="553" spans="1:1" x14ac:dyDescent="0.4">
      <c r="A553" s="10"/>
    </row>
    <row r="554" spans="1:1" x14ac:dyDescent="0.4">
      <c r="A554" s="10"/>
    </row>
    <row r="555" spans="1:1" x14ac:dyDescent="0.4">
      <c r="A555" s="10"/>
    </row>
    <row r="556" spans="1:1" x14ac:dyDescent="0.4">
      <c r="A556" s="10"/>
    </row>
    <row r="557" spans="1:1" x14ac:dyDescent="0.4">
      <c r="A557" s="10"/>
    </row>
    <row r="558" spans="1:1" x14ac:dyDescent="0.4">
      <c r="A558" s="10"/>
    </row>
    <row r="559" spans="1:1" x14ac:dyDescent="0.4">
      <c r="A559" s="10"/>
    </row>
    <row r="560" spans="1:1" x14ac:dyDescent="0.4">
      <c r="A560" s="10"/>
    </row>
    <row r="561" spans="1:1" x14ac:dyDescent="0.4">
      <c r="A561" s="10"/>
    </row>
    <row r="562" spans="1:1" x14ac:dyDescent="0.4">
      <c r="A562" s="10"/>
    </row>
    <row r="563" spans="1:1" x14ac:dyDescent="0.4">
      <c r="A563" s="10"/>
    </row>
    <row r="564" spans="1:1" x14ac:dyDescent="0.4">
      <c r="A564" s="10"/>
    </row>
    <row r="565" spans="1:1" x14ac:dyDescent="0.4">
      <c r="A565" s="10"/>
    </row>
    <row r="566" spans="1:1" x14ac:dyDescent="0.4">
      <c r="A566" s="10"/>
    </row>
    <row r="567" spans="1:1" x14ac:dyDescent="0.4">
      <c r="A567" s="10"/>
    </row>
    <row r="568" spans="1:1" x14ac:dyDescent="0.4">
      <c r="A568" s="10"/>
    </row>
    <row r="569" spans="1:1" x14ac:dyDescent="0.4">
      <c r="A569" s="10"/>
    </row>
    <row r="570" spans="1:1" x14ac:dyDescent="0.4">
      <c r="A570" s="10"/>
    </row>
    <row r="571" spans="1:1" x14ac:dyDescent="0.4">
      <c r="A571" s="10"/>
    </row>
    <row r="572" spans="1:1" x14ac:dyDescent="0.4">
      <c r="A572" s="10"/>
    </row>
    <row r="573" spans="1:1" x14ac:dyDescent="0.4">
      <c r="A573" s="10"/>
    </row>
    <row r="574" spans="1:1" x14ac:dyDescent="0.4">
      <c r="A574" s="10"/>
    </row>
    <row r="575" spans="1:1" x14ac:dyDescent="0.4">
      <c r="A575" s="10"/>
    </row>
    <row r="576" spans="1:1" x14ac:dyDescent="0.4">
      <c r="A576" s="10"/>
    </row>
    <row r="577" spans="1:1" x14ac:dyDescent="0.4">
      <c r="A577" s="10"/>
    </row>
    <row r="578" spans="1:1" x14ac:dyDescent="0.4">
      <c r="A578" s="10"/>
    </row>
    <row r="579" spans="1:1" x14ac:dyDescent="0.4">
      <c r="A579" s="10"/>
    </row>
    <row r="580" spans="1:1" x14ac:dyDescent="0.4">
      <c r="A580" s="10"/>
    </row>
    <row r="581" spans="1:1" x14ac:dyDescent="0.4">
      <c r="A581" s="10"/>
    </row>
    <row r="582" spans="1:1" x14ac:dyDescent="0.4">
      <c r="A582" s="10"/>
    </row>
    <row r="583" spans="1:1" x14ac:dyDescent="0.4">
      <c r="A583" s="10"/>
    </row>
    <row r="584" spans="1:1" x14ac:dyDescent="0.4">
      <c r="A584" s="10"/>
    </row>
    <row r="585" spans="1:1" x14ac:dyDescent="0.4">
      <c r="A585" s="10"/>
    </row>
    <row r="586" spans="1:1" x14ac:dyDescent="0.4">
      <c r="A586" s="10"/>
    </row>
    <row r="587" spans="1:1" x14ac:dyDescent="0.4">
      <c r="A587" s="10"/>
    </row>
    <row r="588" spans="1:1" x14ac:dyDescent="0.4">
      <c r="A588" s="10"/>
    </row>
    <row r="589" spans="1:1" x14ac:dyDescent="0.4">
      <c r="A589" s="10"/>
    </row>
    <row r="590" spans="1:1" x14ac:dyDescent="0.4">
      <c r="A590" s="10"/>
    </row>
    <row r="591" spans="1:1" x14ac:dyDescent="0.4">
      <c r="A591" s="10"/>
    </row>
    <row r="592" spans="1:1" x14ac:dyDescent="0.4">
      <c r="A592" s="10"/>
    </row>
    <row r="593" spans="1:1" x14ac:dyDescent="0.4">
      <c r="A593" s="10"/>
    </row>
    <row r="594" spans="1:1" x14ac:dyDescent="0.4">
      <c r="A594" s="10"/>
    </row>
    <row r="595" spans="1:1" x14ac:dyDescent="0.4">
      <c r="A595" s="10"/>
    </row>
    <row r="596" spans="1:1" x14ac:dyDescent="0.4">
      <c r="A596" s="10"/>
    </row>
    <row r="597" spans="1:1" x14ac:dyDescent="0.4">
      <c r="A597" s="10"/>
    </row>
    <row r="598" spans="1:1" x14ac:dyDescent="0.4">
      <c r="A598" s="10"/>
    </row>
    <row r="599" spans="1:1" x14ac:dyDescent="0.4">
      <c r="A599" s="10"/>
    </row>
    <row r="600" spans="1:1" x14ac:dyDescent="0.4">
      <c r="A600" s="10"/>
    </row>
    <row r="601" spans="1:1" x14ac:dyDescent="0.4">
      <c r="A601" s="10"/>
    </row>
    <row r="602" spans="1:1" x14ac:dyDescent="0.4">
      <c r="A602" s="10"/>
    </row>
    <row r="603" spans="1:1" x14ac:dyDescent="0.4">
      <c r="A603" s="10"/>
    </row>
    <row r="604" spans="1:1" x14ac:dyDescent="0.4">
      <c r="A604" s="10"/>
    </row>
    <row r="605" spans="1:1" x14ac:dyDescent="0.4">
      <c r="A605" s="10"/>
    </row>
    <row r="606" spans="1:1" x14ac:dyDescent="0.4">
      <c r="A606" s="10"/>
    </row>
    <row r="607" spans="1:1" x14ac:dyDescent="0.4">
      <c r="A607" s="10"/>
    </row>
    <row r="608" spans="1:1" x14ac:dyDescent="0.4">
      <c r="A608" s="10"/>
    </row>
    <row r="609" spans="1:1" x14ac:dyDescent="0.4">
      <c r="A609" s="10"/>
    </row>
    <row r="610" spans="1:1" x14ac:dyDescent="0.4">
      <c r="A610" s="10"/>
    </row>
    <row r="611" spans="1:1" x14ac:dyDescent="0.4">
      <c r="A611" s="10"/>
    </row>
    <row r="612" spans="1:1" x14ac:dyDescent="0.4">
      <c r="A612" s="10"/>
    </row>
    <row r="613" spans="1:1" x14ac:dyDescent="0.4">
      <c r="A613" s="10"/>
    </row>
    <row r="614" spans="1:1" x14ac:dyDescent="0.4">
      <c r="A614" s="10"/>
    </row>
    <row r="615" spans="1:1" x14ac:dyDescent="0.4">
      <c r="A615" s="10"/>
    </row>
    <row r="616" spans="1:1" x14ac:dyDescent="0.4">
      <c r="A616" s="10"/>
    </row>
    <row r="617" spans="1:1" x14ac:dyDescent="0.4">
      <c r="A617" s="10"/>
    </row>
    <row r="618" spans="1:1" x14ac:dyDescent="0.4">
      <c r="A618" s="10"/>
    </row>
    <row r="619" spans="1:1" x14ac:dyDescent="0.4">
      <c r="A619" s="10"/>
    </row>
    <row r="620" spans="1:1" x14ac:dyDescent="0.4">
      <c r="A620" s="10"/>
    </row>
    <row r="621" spans="1:1" x14ac:dyDescent="0.4">
      <c r="A621" s="10"/>
    </row>
    <row r="622" spans="1:1" x14ac:dyDescent="0.4">
      <c r="A622" s="10"/>
    </row>
    <row r="623" spans="1:1" x14ac:dyDescent="0.4">
      <c r="A623" s="10"/>
    </row>
    <row r="624" spans="1:1" x14ac:dyDescent="0.4">
      <c r="A624" s="10"/>
    </row>
    <row r="625" spans="1:1" x14ac:dyDescent="0.4">
      <c r="A625" s="10"/>
    </row>
    <row r="626" spans="1:1" x14ac:dyDescent="0.4">
      <c r="A626" s="10"/>
    </row>
    <row r="627" spans="1:1" x14ac:dyDescent="0.4">
      <c r="A627" s="10"/>
    </row>
    <row r="628" spans="1:1" x14ac:dyDescent="0.4">
      <c r="A628" s="10"/>
    </row>
    <row r="629" spans="1:1" x14ac:dyDescent="0.4">
      <c r="A629" s="10"/>
    </row>
    <row r="630" spans="1:1" x14ac:dyDescent="0.4">
      <c r="A630" s="10"/>
    </row>
    <row r="631" spans="1:1" x14ac:dyDescent="0.4">
      <c r="A631" s="10"/>
    </row>
    <row r="632" spans="1:1" x14ac:dyDescent="0.4">
      <c r="A632" s="10"/>
    </row>
    <row r="633" spans="1:1" x14ac:dyDescent="0.4">
      <c r="A633" s="10"/>
    </row>
    <row r="634" spans="1:1" x14ac:dyDescent="0.4">
      <c r="A634" s="10"/>
    </row>
    <row r="635" spans="1:1" x14ac:dyDescent="0.4">
      <c r="A635" s="10"/>
    </row>
    <row r="636" spans="1:1" x14ac:dyDescent="0.4">
      <c r="A636" s="10"/>
    </row>
    <row r="637" spans="1:1" x14ac:dyDescent="0.4">
      <c r="A637" s="10"/>
    </row>
    <row r="638" spans="1:1" x14ac:dyDescent="0.4">
      <c r="A638" s="10"/>
    </row>
    <row r="639" spans="1:1" x14ac:dyDescent="0.4">
      <c r="A639" s="10"/>
    </row>
    <row r="640" spans="1:1" x14ac:dyDescent="0.4">
      <c r="A640" s="10"/>
    </row>
    <row r="641" spans="1:1" x14ac:dyDescent="0.4">
      <c r="A641" s="10"/>
    </row>
    <row r="642" spans="1:1" x14ac:dyDescent="0.4">
      <c r="A642" s="10"/>
    </row>
    <row r="643" spans="1:1" x14ac:dyDescent="0.4">
      <c r="A643" s="10"/>
    </row>
    <row r="644" spans="1:1" x14ac:dyDescent="0.4">
      <c r="A644" s="10"/>
    </row>
    <row r="645" spans="1:1" x14ac:dyDescent="0.4">
      <c r="A645" s="10"/>
    </row>
    <row r="646" spans="1:1" x14ac:dyDescent="0.4">
      <c r="A646" s="10"/>
    </row>
    <row r="647" spans="1:1" x14ac:dyDescent="0.4">
      <c r="A647" s="10"/>
    </row>
    <row r="648" spans="1:1" x14ac:dyDescent="0.4">
      <c r="A648" s="10"/>
    </row>
    <row r="649" spans="1:1" x14ac:dyDescent="0.4">
      <c r="A649" s="10"/>
    </row>
    <row r="650" spans="1:1" x14ac:dyDescent="0.4">
      <c r="A650" s="10"/>
    </row>
    <row r="651" spans="1:1" x14ac:dyDescent="0.4">
      <c r="A651" s="10"/>
    </row>
    <row r="652" spans="1:1" x14ac:dyDescent="0.4">
      <c r="A652" s="10"/>
    </row>
    <row r="653" spans="1:1" x14ac:dyDescent="0.4">
      <c r="A653" s="10"/>
    </row>
    <row r="654" spans="1:1" x14ac:dyDescent="0.4">
      <c r="A654" s="10"/>
    </row>
    <row r="655" spans="1:1" x14ac:dyDescent="0.4">
      <c r="A655" s="10"/>
    </row>
    <row r="656" spans="1:1" x14ac:dyDescent="0.4">
      <c r="A656" s="10"/>
    </row>
    <row r="657" spans="1:1" x14ac:dyDescent="0.4">
      <c r="A657" s="10"/>
    </row>
    <row r="658" spans="1:1" x14ac:dyDescent="0.4">
      <c r="A658" s="10"/>
    </row>
    <row r="659" spans="1:1" x14ac:dyDescent="0.4">
      <c r="A659" s="10"/>
    </row>
    <row r="660" spans="1:1" x14ac:dyDescent="0.4">
      <c r="A660" s="10"/>
    </row>
    <row r="661" spans="1:1" x14ac:dyDescent="0.4">
      <c r="A661" s="10"/>
    </row>
    <row r="662" spans="1:1" x14ac:dyDescent="0.4">
      <c r="A662" s="10"/>
    </row>
    <row r="663" spans="1:1" x14ac:dyDescent="0.4">
      <c r="A663" s="10"/>
    </row>
    <row r="664" spans="1:1" x14ac:dyDescent="0.4">
      <c r="A664" s="10"/>
    </row>
    <row r="665" spans="1:1" x14ac:dyDescent="0.4">
      <c r="A665" s="10"/>
    </row>
    <row r="666" spans="1:1" x14ac:dyDescent="0.4">
      <c r="A666" s="10"/>
    </row>
    <row r="667" spans="1:1" x14ac:dyDescent="0.4">
      <c r="A667" s="10"/>
    </row>
    <row r="668" spans="1:1" x14ac:dyDescent="0.4">
      <c r="A668" s="10"/>
    </row>
    <row r="669" spans="1:1" x14ac:dyDescent="0.4">
      <c r="A669" s="10"/>
    </row>
    <row r="670" spans="1:1" x14ac:dyDescent="0.4">
      <c r="A670" s="10"/>
    </row>
    <row r="671" spans="1:1" x14ac:dyDescent="0.4">
      <c r="A671" s="10"/>
    </row>
    <row r="672" spans="1:1" x14ac:dyDescent="0.4">
      <c r="A672" s="10"/>
    </row>
    <row r="673" spans="1:1" x14ac:dyDescent="0.4">
      <c r="A673" s="10"/>
    </row>
    <row r="674" spans="1:1" x14ac:dyDescent="0.4">
      <c r="A674" s="10"/>
    </row>
    <row r="675" spans="1:1" x14ac:dyDescent="0.4">
      <c r="A675" s="10"/>
    </row>
    <row r="676" spans="1:1" x14ac:dyDescent="0.4">
      <c r="A676" s="10"/>
    </row>
    <row r="677" spans="1:1" x14ac:dyDescent="0.4">
      <c r="A677" s="10"/>
    </row>
    <row r="678" spans="1:1" x14ac:dyDescent="0.4">
      <c r="A678" s="10"/>
    </row>
    <row r="679" spans="1:1" x14ac:dyDescent="0.4">
      <c r="A679" s="10"/>
    </row>
    <row r="680" spans="1:1" x14ac:dyDescent="0.4">
      <c r="A680" s="10"/>
    </row>
    <row r="681" spans="1:1" x14ac:dyDescent="0.4">
      <c r="A681" s="10"/>
    </row>
    <row r="682" spans="1:1" x14ac:dyDescent="0.4">
      <c r="A682" s="10"/>
    </row>
    <row r="683" spans="1:1" x14ac:dyDescent="0.4">
      <c r="A683" s="10"/>
    </row>
    <row r="684" spans="1:1" x14ac:dyDescent="0.4">
      <c r="A684" s="10"/>
    </row>
    <row r="685" spans="1:1" x14ac:dyDescent="0.4">
      <c r="A685" s="10"/>
    </row>
    <row r="686" spans="1:1" x14ac:dyDescent="0.4">
      <c r="A686" s="10"/>
    </row>
    <row r="687" spans="1:1" x14ac:dyDescent="0.4">
      <c r="A687" s="10"/>
    </row>
    <row r="688" spans="1:1" x14ac:dyDescent="0.4">
      <c r="A688" s="10"/>
    </row>
    <row r="689" spans="1:1" x14ac:dyDescent="0.4">
      <c r="A689" s="10"/>
    </row>
    <row r="690" spans="1:1" x14ac:dyDescent="0.4">
      <c r="A690" s="10"/>
    </row>
    <row r="691" spans="1:1" x14ac:dyDescent="0.4">
      <c r="A691" s="10"/>
    </row>
    <row r="692" spans="1:1" x14ac:dyDescent="0.4">
      <c r="A692" s="10"/>
    </row>
    <row r="693" spans="1:1" x14ac:dyDescent="0.4">
      <c r="A693" s="10"/>
    </row>
    <row r="694" spans="1:1" x14ac:dyDescent="0.4">
      <c r="A694" s="10"/>
    </row>
    <row r="695" spans="1:1" x14ac:dyDescent="0.4">
      <c r="A695" s="10"/>
    </row>
    <row r="696" spans="1:1" x14ac:dyDescent="0.4">
      <c r="A696" s="10"/>
    </row>
    <row r="697" spans="1:1" x14ac:dyDescent="0.4">
      <c r="A697" s="10"/>
    </row>
    <row r="698" spans="1:1" x14ac:dyDescent="0.4">
      <c r="A698" s="10"/>
    </row>
    <row r="699" spans="1:1" x14ac:dyDescent="0.4">
      <c r="A699" s="10"/>
    </row>
    <row r="700" spans="1:1" x14ac:dyDescent="0.4">
      <c r="A700" s="10"/>
    </row>
    <row r="701" spans="1:1" x14ac:dyDescent="0.4">
      <c r="A701" s="10"/>
    </row>
    <row r="702" spans="1:1" x14ac:dyDescent="0.4">
      <c r="A702" s="10"/>
    </row>
    <row r="703" spans="1:1" x14ac:dyDescent="0.4">
      <c r="A703" s="10"/>
    </row>
    <row r="704" spans="1:1" x14ac:dyDescent="0.4">
      <c r="A704" s="10"/>
    </row>
    <row r="705" spans="1:1" x14ac:dyDescent="0.4">
      <c r="A705" s="10"/>
    </row>
    <row r="706" spans="1:1" x14ac:dyDescent="0.4">
      <c r="A706" s="10"/>
    </row>
    <row r="707" spans="1:1" x14ac:dyDescent="0.4">
      <c r="A707" s="10"/>
    </row>
    <row r="708" spans="1:1" x14ac:dyDescent="0.4">
      <c r="A708" s="10"/>
    </row>
    <row r="709" spans="1:1" x14ac:dyDescent="0.4">
      <c r="A709" s="10"/>
    </row>
    <row r="710" spans="1:1" x14ac:dyDescent="0.4">
      <c r="A710" s="10"/>
    </row>
    <row r="711" spans="1:1" x14ac:dyDescent="0.4">
      <c r="A711" s="10"/>
    </row>
    <row r="712" spans="1:1" x14ac:dyDescent="0.4">
      <c r="A712" s="10"/>
    </row>
    <row r="713" spans="1:1" x14ac:dyDescent="0.4">
      <c r="A713" s="10"/>
    </row>
    <row r="714" spans="1:1" x14ac:dyDescent="0.4">
      <c r="A714" s="10"/>
    </row>
    <row r="715" spans="1:1" x14ac:dyDescent="0.4">
      <c r="A715" s="10"/>
    </row>
    <row r="716" spans="1:1" x14ac:dyDescent="0.4">
      <c r="A716" s="10"/>
    </row>
    <row r="717" spans="1:1" x14ac:dyDescent="0.4">
      <c r="A717" s="10"/>
    </row>
    <row r="718" spans="1:1" x14ac:dyDescent="0.4">
      <c r="A718" s="10"/>
    </row>
    <row r="719" spans="1:1" x14ac:dyDescent="0.4">
      <c r="A719" s="10"/>
    </row>
    <row r="720" spans="1:1" x14ac:dyDescent="0.4">
      <c r="A720" s="10"/>
    </row>
    <row r="721" spans="1:1" x14ac:dyDescent="0.4">
      <c r="A721" s="10"/>
    </row>
    <row r="722" spans="1:1" x14ac:dyDescent="0.4">
      <c r="A722" s="10"/>
    </row>
    <row r="723" spans="1:1" x14ac:dyDescent="0.4">
      <c r="A723" s="10"/>
    </row>
    <row r="724" spans="1:1" x14ac:dyDescent="0.4">
      <c r="A724" s="10"/>
    </row>
    <row r="725" spans="1:1" x14ac:dyDescent="0.4">
      <c r="A725" s="10"/>
    </row>
    <row r="726" spans="1:1" x14ac:dyDescent="0.4">
      <c r="A726" s="10"/>
    </row>
    <row r="727" spans="1:1" x14ac:dyDescent="0.4">
      <c r="A727" s="10"/>
    </row>
    <row r="728" spans="1:1" x14ac:dyDescent="0.4">
      <c r="A728" s="10"/>
    </row>
    <row r="729" spans="1:1" x14ac:dyDescent="0.4">
      <c r="A729" s="10"/>
    </row>
    <row r="730" spans="1:1" x14ac:dyDescent="0.4">
      <c r="A730" s="10"/>
    </row>
    <row r="731" spans="1:1" x14ac:dyDescent="0.4">
      <c r="A731" s="10"/>
    </row>
    <row r="732" spans="1:1" x14ac:dyDescent="0.4">
      <c r="A732" s="10"/>
    </row>
    <row r="733" spans="1:1" x14ac:dyDescent="0.4">
      <c r="A733" s="10"/>
    </row>
    <row r="734" spans="1:1" x14ac:dyDescent="0.4">
      <c r="A734" s="10"/>
    </row>
    <row r="735" spans="1:1" x14ac:dyDescent="0.4">
      <c r="A735" s="10"/>
    </row>
    <row r="736" spans="1:1" x14ac:dyDescent="0.4">
      <c r="A736" s="10"/>
    </row>
    <row r="737" spans="1:1" x14ac:dyDescent="0.4">
      <c r="A737" s="10"/>
    </row>
    <row r="738" spans="1:1" x14ac:dyDescent="0.4">
      <c r="A738" s="10"/>
    </row>
    <row r="739" spans="1:1" x14ac:dyDescent="0.4">
      <c r="A739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B777-AEAD-427C-8761-F3A606C8C578}">
  <dimension ref="A1"/>
  <sheetViews>
    <sheetView showGridLines="0" topLeftCell="C28" workbookViewId="0">
      <selection activeCell="J39" sqref="J3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C07B-8D87-43FA-9544-FDE4FBFA6266}">
  <dimension ref="A1"/>
  <sheetViews>
    <sheetView showGridLines="0" workbookViewId="0">
      <selection activeCell="N12" sqref="N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Axis_Bank</vt:lpstr>
      <vt:lpstr>Power_Grid</vt:lpstr>
      <vt:lpstr>Coal_India</vt:lpstr>
      <vt:lpstr>Google_Alphabet</vt:lpstr>
      <vt:lpstr>Cipla</vt:lpstr>
      <vt:lpstr>Shriram_Finance</vt:lpstr>
      <vt:lpstr>Larsen_and_Toubro</vt:lpstr>
      <vt:lpstr>Nifty_50</vt:lpstr>
      <vt:lpstr>ANALYSIS</vt:lpstr>
      <vt:lpstr>CODE</vt:lpstr>
      <vt:lpstr>SORTINO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Shivansh Chandra</cp:lastModifiedBy>
  <dcterms:created xsi:type="dcterms:W3CDTF">2026-03-14T14:32:46Z</dcterms:created>
  <dcterms:modified xsi:type="dcterms:W3CDTF">2026-05-11T04:57:19Z</dcterms:modified>
</cp:coreProperties>
</file>