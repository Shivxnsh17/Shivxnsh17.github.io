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FP&amp;A Practice\DDM\"/>
    </mc:Choice>
  </mc:AlternateContent>
  <xr:revisionPtr revIDLastSave="0" documentId="13_ncr:1_{B3F298E2-B8C6-4E2F-97AF-40AAADAC305A}" xr6:coauthVersionLast="47" xr6:coauthVersionMax="47" xr10:uidLastSave="{00000000-0000-0000-0000-000000000000}"/>
  <bookViews>
    <workbookView xWindow="-108" yWindow="-108" windowWidth="23256" windowHeight="12456" activeTab="2" xr2:uid="{C49FF2BD-EFD5-43F5-B203-529DB3C5CF79}"/>
  </bookViews>
  <sheets>
    <sheet name="Coal india" sheetId="1" r:id="rId1"/>
    <sheet name="BHEL" sheetId="6" r:id="rId2"/>
    <sheet name="GAIL" sheetId="4" r:id="rId3"/>
    <sheet name="TC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6" l="1"/>
  <c r="H16" i="6"/>
  <c r="H6" i="6" s="1"/>
  <c r="H15" i="6"/>
  <c r="H14" i="6"/>
  <c r="D11" i="6"/>
  <c r="D10" i="6"/>
  <c r="D9" i="6"/>
  <c r="D8" i="6"/>
  <c r="D7" i="6"/>
  <c r="B7" i="6"/>
  <c r="B8" i="6" s="1"/>
  <c r="B9" i="6" s="1"/>
  <c r="B10" i="6" s="1"/>
  <c r="B11" i="6" s="1"/>
  <c r="D6" i="6"/>
  <c r="G9" i="4"/>
  <c r="G9" i="5"/>
  <c r="G9" i="1"/>
  <c r="G14" i="5"/>
  <c r="G15" i="5"/>
  <c r="G16" i="5"/>
  <c r="G6" i="5" s="1"/>
  <c r="G5" i="4"/>
  <c r="G5" i="5"/>
  <c r="G5" i="1"/>
  <c r="C9" i="1"/>
  <c r="C10" i="1"/>
  <c r="C11" i="1"/>
  <c r="C9" i="5"/>
  <c r="C10" i="5"/>
  <c r="C11" i="5"/>
  <c r="A9" i="4"/>
  <c r="A10" i="4" s="1"/>
  <c r="A11" i="4" s="1"/>
  <c r="C9" i="4"/>
  <c r="C10" i="4"/>
  <c r="C11" i="4"/>
  <c r="G14" i="1"/>
  <c r="G14" i="4"/>
  <c r="G15" i="1"/>
  <c r="G15" i="4"/>
  <c r="G16" i="1"/>
  <c r="G6" i="1" s="1"/>
  <c r="G16" i="4"/>
  <c r="G6" i="4" s="1"/>
  <c r="C7" i="5"/>
  <c r="C8" i="5"/>
  <c r="C7" i="4"/>
  <c r="C8" i="4"/>
  <c r="C7" i="1"/>
  <c r="C8" i="1"/>
  <c r="C6" i="1"/>
  <c r="C6" i="4"/>
  <c r="C6" i="5"/>
  <c r="A7" i="5"/>
  <c r="A8" i="5" s="1"/>
  <c r="A9" i="5" s="1"/>
  <c r="A10" i="5" s="1"/>
  <c r="A11" i="5" s="1"/>
  <c r="A7" i="4"/>
  <c r="A8" i="4" s="1"/>
  <c r="A7" i="1"/>
  <c r="A8" i="1" s="1"/>
  <c r="A9" i="1" s="1"/>
  <c r="A10" i="1" s="1"/>
  <c r="A11" i="1" s="1"/>
  <c r="H5" i="6" l="1"/>
  <c r="H10" i="6" s="1"/>
  <c r="G10" i="5"/>
  <c r="G10" i="4"/>
  <c r="G10" i="1"/>
</calcChain>
</file>

<file path=xl/sharedStrings.xml><?xml version="1.0" encoding="utf-8"?>
<sst xmlns="http://schemas.openxmlformats.org/spreadsheetml/2006/main" count="80" uniqueCount="24">
  <si>
    <t>Dividend Discount Model</t>
  </si>
  <si>
    <t>COAL INDIA (COALINDIA)</t>
  </si>
  <si>
    <t>Year</t>
  </si>
  <si>
    <t>Annual Dividend</t>
  </si>
  <si>
    <t>Growth %</t>
  </si>
  <si>
    <t>Growth (g)</t>
  </si>
  <si>
    <t>Required (r)</t>
  </si>
  <si>
    <t>Actual Stock Price</t>
  </si>
  <si>
    <t>DDM Price</t>
  </si>
  <si>
    <t>OV or UV</t>
  </si>
  <si>
    <t>Gas Authority Of INDIA (GAIL)</t>
  </si>
  <si>
    <t>TATA Consultancy Service (TCS)</t>
  </si>
  <si>
    <t>Required Based on CAPM</t>
  </si>
  <si>
    <t>e = rf + b (rm - rf)</t>
  </si>
  <si>
    <t>rf 15 yr avg bond rate</t>
  </si>
  <si>
    <t>Beta</t>
  </si>
  <si>
    <t>expected Return</t>
  </si>
  <si>
    <t>Rm cagr</t>
  </si>
  <si>
    <t>CAGR 15 yr</t>
  </si>
  <si>
    <t>5 Y CAGR Nifty</t>
  </si>
  <si>
    <t>Beta 5 yr</t>
  </si>
  <si>
    <t>CAGR 5 yr</t>
  </si>
  <si>
    <t>rf 5 yr avg bond rate</t>
  </si>
  <si>
    <t>DDM Price = D1/(r - 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</si>
</sst>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Continuous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" xfId="0" applyFont="1" applyBorder="1"/>
    <xf numFmtId="0" fontId="1" fillId="0" borderId="3" xfId="0" applyFont="1" applyBorder="1"/>
    <xf numFmtId="0" fontId="1" fillId="0" borderId="5" xfId="0" applyFont="1" applyBorder="1"/>
    <xf numFmtId="0" fontId="1" fillId="0" borderId="0" xfId="0" applyFont="1" applyAlignment="1">
      <alignment horizontal="centerContinuous"/>
    </xf>
    <xf numFmtId="2" fontId="0" fillId="0" borderId="0" xfId="0" applyNumberFormat="1"/>
    <xf numFmtId="2" fontId="0" fillId="0" borderId="6" xfId="0" applyNumberFormat="1" applyBorder="1"/>
    <xf numFmtId="10" fontId="0" fillId="0" borderId="4" xfId="0" applyNumberFormat="1" applyBorder="1"/>
    <xf numFmtId="164" fontId="0" fillId="0" borderId="2" xfId="0" applyNumberFormat="1" applyBorder="1"/>
    <xf numFmtId="0" fontId="0" fillId="3" borderId="4" xfId="0" applyFill="1" applyBorder="1"/>
    <xf numFmtId="0" fontId="1" fillId="0" borderId="0" xfId="0" applyFont="1"/>
    <xf numFmtId="0" fontId="3" fillId="0" borderId="0" xfId="0" applyFont="1"/>
    <xf numFmtId="10" fontId="0" fillId="0" borderId="0" xfId="0" applyNumberFormat="1"/>
    <xf numFmtId="0" fontId="3" fillId="0" borderId="8" xfId="0" applyFont="1" applyBorder="1"/>
    <xf numFmtId="0" fontId="3" fillId="0" borderId="10" xfId="0" applyFont="1" applyBorder="1"/>
    <xf numFmtId="10" fontId="0" fillId="0" borderId="5" xfId="0" applyNumberFormat="1" applyBorder="1"/>
    <xf numFmtId="0" fontId="0" fillId="0" borderId="10" xfId="0" applyBorder="1"/>
    <xf numFmtId="164" fontId="0" fillId="0" borderId="0" xfId="0" applyNumberFormat="1"/>
    <xf numFmtId="10" fontId="0" fillId="0" borderId="7" xfId="0" applyNumberFormat="1" applyBorder="1"/>
    <xf numFmtId="164" fontId="0" fillId="0" borderId="4" xfId="0" applyNumberFormat="1" applyBorder="1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8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3119E-C16D-419E-BD66-3844B01489BC}">
  <dimension ref="A2:G16"/>
  <sheetViews>
    <sheetView showGridLines="0" zoomScale="119" zoomScaleNormal="119" workbookViewId="0">
      <selection activeCell="A2" sqref="A2:G16"/>
    </sheetView>
  </sheetViews>
  <sheetFormatPr defaultRowHeight="14.4" x14ac:dyDescent="0.3"/>
  <cols>
    <col min="1" max="1" width="5" bestFit="1" customWidth="1"/>
    <col min="2" max="2" width="15" bestFit="1" customWidth="1"/>
    <col min="3" max="3" width="9.33203125" bestFit="1" customWidth="1"/>
    <col min="4" max="4" width="10.33203125" bestFit="1" customWidth="1"/>
    <col min="5" max="5" width="9.44140625" bestFit="1" customWidth="1"/>
    <col min="6" max="6" width="22.88671875" bestFit="1" customWidth="1"/>
    <col min="7" max="7" width="12.109375" bestFit="1" customWidth="1"/>
  </cols>
  <sheetData>
    <row r="2" spans="1:7" ht="25.8" x14ac:dyDescent="0.5">
      <c r="A2" s="28" t="s">
        <v>0</v>
      </c>
      <c r="B2" s="28"/>
      <c r="C2" s="28"/>
      <c r="D2" s="28"/>
      <c r="E2" s="28"/>
    </row>
    <row r="3" spans="1:7" x14ac:dyDescent="0.3">
      <c r="A3" s="29" t="s">
        <v>1</v>
      </c>
      <c r="B3" s="29"/>
      <c r="C3" s="29"/>
      <c r="D3" s="29"/>
      <c r="E3" s="29"/>
    </row>
    <row r="4" spans="1:7" ht="15" thickBot="1" x14ac:dyDescent="0.35">
      <c r="F4" s="12" t="s">
        <v>23</v>
      </c>
      <c r="G4" s="1"/>
    </row>
    <row r="5" spans="1:7" x14ac:dyDescent="0.3">
      <c r="A5" s="6" t="s">
        <v>2</v>
      </c>
      <c r="B5" s="7" t="s">
        <v>3</v>
      </c>
      <c r="C5" s="8" t="s">
        <v>4</v>
      </c>
      <c r="D5" s="21" t="s">
        <v>21</v>
      </c>
      <c r="E5" s="22" t="s">
        <v>20</v>
      </c>
      <c r="F5" s="9" t="s">
        <v>5</v>
      </c>
      <c r="G5" s="16">
        <f>AVERAGE(C6:C10)</f>
        <v>0.15844761664083523</v>
      </c>
    </row>
    <row r="6" spans="1:7" ht="15" thickBot="1" x14ac:dyDescent="0.35">
      <c r="A6" s="2">
        <v>2025</v>
      </c>
      <c r="B6" s="13">
        <v>26.5</v>
      </c>
      <c r="C6" s="15">
        <f>LN(B6/B7)</f>
        <v>3.8466280827796143E-2</v>
      </c>
      <c r="D6" s="23">
        <v>0.30680000000000002</v>
      </c>
      <c r="E6" s="5">
        <v>0.745</v>
      </c>
      <c r="F6" s="10" t="s">
        <v>6</v>
      </c>
      <c r="G6" s="27">
        <f>G16</f>
        <v>9.5681000000000002E-2</v>
      </c>
    </row>
    <row r="7" spans="1:7" x14ac:dyDescent="0.3">
      <c r="A7" s="2">
        <f>A6-1</f>
        <v>2024</v>
      </c>
      <c r="B7" s="13">
        <v>25.5</v>
      </c>
      <c r="C7" s="15">
        <f t="shared" ref="C7:C10" si="0">LN(B7/B8)</f>
        <v>5.0261834780888297E-2</v>
      </c>
      <c r="D7" s="21" t="s">
        <v>19</v>
      </c>
      <c r="E7" s="24"/>
      <c r="F7" s="10" t="s">
        <v>7</v>
      </c>
      <c r="G7" s="3">
        <v>434.15</v>
      </c>
    </row>
    <row r="8" spans="1:7" ht="15" thickBot="1" x14ac:dyDescent="0.35">
      <c r="A8" s="2">
        <f t="shared" ref="A8:A11" si="1">A7-1</f>
        <v>2023</v>
      </c>
      <c r="B8" s="13">
        <v>24.25</v>
      </c>
      <c r="C8" s="15">
        <f>LN(B8/B9)</f>
        <v>0.35520327332727614</v>
      </c>
      <c r="D8" s="23">
        <v>0.1043</v>
      </c>
      <c r="E8" s="5"/>
      <c r="F8" s="10"/>
      <c r="G8" s="3"/>
    </row>
    <row r="9" spans="1:7" x14ac:dyDescent="0.3">
      <c r="A9" s="2">
        <f t="shared" si="1"/>
        <v>2022</v>
      </c>
      <c r="B9" s="13">
        <v>17</v>
      </c>
      <c r="C9" s="15">
        <f t="shared" si="0"/>
        <v>6.062462181643484E-2</v>
      </c>
      <c r="F9" s="10" t="s">
        <v>8</v>
      </c>
      <c r="G9" s="17">
        <f>ABS((B6/(G6-G5)))</f>
        <v>422.19895572257769</v>
      </c>
    </row>
    <row r="10" spans="1:7" ht="15" thickBot="1" x14ac:dyDescent="0.35">
      <c r="A10" s="2">
        <f t="shared" si="1"/>
        <v>2021</v>
      </c>
      <c r="B10" s="13">
        <v>16</v>
      </c>
      <c r="C10" s="15">
        <f t="shared" si="0"/>
        <v>0.28768207245178085</v>
      </c>
      <c r="F10" s="11" t="s">
        <v>9</v>
      </c>
      <c r="G10" s="5" t="str">
        <f>IF(G9&gt;G7,"UV","OV")</f>
        <v>OV</v>
      </c>
    </row>
    <row r="11" spans="1:7" ht="15" thickBot="1" x14ac:dyDescent="0.35">
      <c r="A11" s="4">
        <f t="shared" si="1"/>
        <v>2020</v>
      </c>
      <c r="B11" s="14">
        <v>12</v>
      </c>
      <c r="C11" s="26" t="e">
        <f>LN(B11/#REF!)</f>
        <v>#REF!</v>
      </c>
      <c r="F11" s="19" t="s">
        <v>12</v>
      </c>
    </row>
    <row r="12" spans="1:7" x14ac:dyDescent="0.3">
      <c r="F12" s="19" t="s">
        <v>13</v>
      </c>
    </row>
    <row r="13" spans="1:7" x14ac:dyDescent="0.3">
      <c r="F13" t="s">
        <v>14</v>
      </c>
      <c r="G13" s="20">
        <v>7.0499999999999993E-2</v>
      </c>
    </row>
    <row r="14" spans="1:7" x14ac:dyDescent="0.3">
      <c r="F14" t="s">
        <v>17</v>
      </c>
      <c r="G14" s="20">
        <f>D8</f>
        <v>0.1043</v>
      </c>
    </row>
    <row r="15" spans="1:7" x14ac:dyDescent="0.3">
      <c r="F15" t="s">
        <v>15</v>
      </c>
      <c r="G15">
        <f>E6</f>
        <v>0.745</v>
      </c>
    </row>
    <row r="16" spans="1:7" x14ac:dyDescent="0.3">
      <c r="F16" t="s">
        <v>16</v>
      </c>
      <c r="G16" s="25">
        <f>(G13+(E6*(D8-G13)))</f>
        <v>9.5681000000000002E-2</v>
      </c>
    </row>
  </sheetData>
  <mergeCells count="2">
    <mergeCell ref="A2:E2"/>
    <mergeCell ref="A3:E3"/>
  </mergeCells>
  <conditionalFormatting sqref="G10">
    <cfRule type="containsText" dxfId="7" priority="1" operator="containsText" text="UV">
      <formula>NOT(ISERROR(SEARCH("UV",G10)))</formula>
    </cfRule>
    <cfRule type="containsText" dxfId="6" priority="2" operator="containsText" text="OV">
      <formula>NOT(ISERROR(SEARCH("OV",G10)))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F53C-D8C1-45AC-B619-E5ACBB182BF4}">
  <dimension ref="B2:H16"/>
  <sheetViews>
    <sheetView showGridLines="0" workbookViewId="0">
      <selection activeCell="H9" sqref="H9"/>
    </sheetView>
  </sheetViews>
  <sheetFormatPr defaultRowHeight="14.4" x14ac:dyDescent="0.3"/>
  <cols>
    <col min="2" max="2" width="5" bestFit="1" customWidth="1"/>
    <col min="3" max="3" width="15" bestFit="1" customWidth="1"/>
    <col min="4" max="4" width="9.109375" bestFit="1" customWidth="1"/>
    <col min="5" max="5" width="13.21875" bestFit="1" customWidth="1"/>
    <col min="6" max="6" width="8.33203125" bestFit="1" customWidth="1"/>
    <col min="7" max="7" width="22.6640625" bestFit="1" customWidth="1"/>
    <col min="8" max="8" width="12" bestFit="1" customWidth="1"/>
  </cols>
  <sheetData>
    <row r="2" spans="2:8" ht="25.8" x14ac:dyDescent="0.5">
      <c r="B2" s="28" t="s">
        <v>0</v>
      </c>
      <c r="C2" s="28"/>
      <c r="D2" s="28"/>
      <c r="E2" s="28"/>
      <c r="F2" s="28"/>
    </row>
    <row r="3" spans="2:8" x14ac:dyDescent="0.3">
      <c r="B3" s="29" t="s">
        <v>1</v>
      </c>
      <c r="C3" s="29"/>
      <c r="D3" s="29"/>
      <c r="E3" s="29"/>
      <c r="F3" s="29"/>
    </row>
    <row r="4" spans="2:8" ht="15" thickBot="1" x14ac:dyDescent="0.35">
      <c r="G4" s="12" t="s">
        <v>23</v>
      </c>
      <c r="H4" s="1"/>
    </row>
    <row r="5" spans="2:8" x14ac:dyDescent="0.3">
      <c r="B5" s="6" t="s">
        <v>2</v>
      </c>
      <c r="C5" s="7" t="s">
        <v>3</v>
      </c>
      <c r="D5" s="8" t="s">
        <v>4</v>
      </c>
      <c r="E5" s="21" t="s">
        <v>21</v>
      </c>
      <c r="F5" s="22" t="s">
        <v>20</v>
      </c>
      <c r="G5" s="9" t="s">
        <v>5</v>
      </c>
      <c r="H5" s="16">
        <f>AVERAGE(D6:D10)</f>
        <v>-0.17509374747077996</v>
      </c>
    </row>
    <row r="6" spans="2:8" ht="15" thickBot="1" x14ac:dyDescent="0.35">
      <c r="B6" s="2">
        <v>2025</v>
      </c>
      <c r="C6" s="13">
        <v>0.5</v>
      </c>
      <c r="D6" s="15">
        <f>LN(C6/C7)</f>
        <v>0.69314718055994529</v>
      </c>
      <c r="E6" s="23">
        <v>0.11899999999999999</v>
      </c>
      <c r="F6" s="5">
        <v>0.80300000000000005</v>
      </c>
      <c r="G6" s="10" t="s">
        <v>6</v>
      </c>
      <c r="H6" s="27">
        <f>H16</f>
        <v>9.7641400000000003E-2</v>
      </c>
    </row>
    <row r="7" spans="2:8" x14ac:dyDescent="0.3">
      <c r="B7" s="2">
        <f>B6-1</f>
        <v>2024</v>
      </c>
      <c r="C7" s="13">
        <v>0.25</v>
      </c>
      <c r="D7" s="15">
        <f t="shared" ref="D7:D10" si="0">LN(C7/C8)</f>
        <v>-0.47000362924573558</v>
      </c>
      <c r="E7" s="21" t="s">
        <v>19</v>
      </c>
      <c r="F7" s="24"/>
      <c r="G7" s="10" t="s">
        <v>7</v>
      </c>
      <c r="H7" s="3">
        <v>262.05</v>
      </c>
    </row>
    <row r="8" spans="2:8" ht="15" thickBot="1" x14ac:dyDescent="0.35">
      <c r="B8" s="2">
        <f t="shared" ref="B8:B11" si="1">B7-1</f>
        <v>2023</v>
      </c>
      <c r="C8" s="13">
        <v>0.4</v>
      </c>
      <c r="D8" s="15">
        <f>LN(C8/C9)</f>
        <v>0</v>
      </c>
      <c r="E8" s="23">
        <v>0.1043</v>
      </c>
      <c r="F8" s="5"/>
      <c r="G8" s="10"/>
      <c r="H8" s="3"/>
    </row>
    <row r="9" spans="2:8" x14ac:dyDescent="0.3">
      <c r="B9" s="2">
        <f t="shared" si="1"/>
        <v>2022</v>
      </c>
      <c r="C9" s="13">
        <v>0.4</v>
      </c>
      <c r="D9" s="15">
        <f t="shared" si="0"/>
        <v>3.6888794541139363</v>
      </c>
      <c r="G9" s="10" t="s">
        <v>8</v>
      </c>
      <c r="H9" s="17">
        <f>ABS((C6/(H6-H5)))</f>
        <v>1.8332803990859612</v>
      </c>
    </row>
    <row r="10" spans="2:8" ht="15" thickBot="1" x14ac:dyDescent="0.35">
      <c r="B10" s="2">
        <f t="shared" si="1"/>
        <v>2021</v>
      </c>
      <c r="C10" s="13">
        <v>0.01</v>
      </c>
      <c r="D10" s="15">
        <f t="shared" si="0"/>
        <v>-4.7874917427820458</v>
      </c>
      <c r="G10" s="11" t="s">
        <v>9</v>
      </c>
      <c r="H10" s="5" t="str">
        <f>IF(H9&gt;H7,"UV","OV")</f>
        <v>OV</v>
      </c>
    </row>
    <row r="11" spans="2:8" ht="15" thickBot="1" x14ac:dyDescent="0.35">
      <c r="B11" s="4">
        <f t="shared" si="1"/>
        <v>2020</v>
      </c>
      <c r="C11" s="14">
        <v>1.2</v>
      </c>
      <c r="D11" s="26" t="e">
        <f>LN(C11/#REF!)</f>
        <v>#REF!</v>
      </c>
      <c r="G11" s="19" t="s">
        <v>12</v>
      </c>
    </row>
    <row r="12" spans="2:8" x14ac:dyDescent="0.3">
      <c r="G12" s="19" t="s">
        <v>13</v>
      </c>
    </row>
    <row r="13" spans="2:8" x14ac:dyDescent="0.3">
      <c r="G13" t="s">
        <v>14</v>
      </c>
      <c r="H13" s="20">
        <v>7.0499999999999993E-2</v>
      </c>
    </row>
    <row r="14" spans="2:8" x14ac:dyDescent="0.3">
      <c r="G14" t="s">
        <v>17</v>
      </c>
      <c r="H14" s="20">
        <f>E8</f>
        <v>0.1043</v>
      </c>
    </row>
    <row r="15" spans="2:8" x14ac:dyDescent="0.3">
      <c r="G15" t="s">
        <v>15</v>
      </c>
      <c r="H15">
        <f>F6</f>
        <v>0.80300000000000005</v>
      </c>
    </row>
    <row r="16" spans="2:8" x14ac:dyDescent="0.3">
      <c r="G16" t="s">
        <v>16</v>
      </c>
      <c r="H16" s="25">
        <f>(H13+(F6*(E8-H13)))</f>
        <v>9.7641400000000003E-2</v>
      </c>
    </row>
  </sheetData>
  <mergeCells count="2">
    <mergeCell ref="B2:F2"/>
    <mergeCell ref="B3:F3"/>
  </mergeCells>
  <conditionalFormatting sqref="H10">
    <cfRule type="containsText" dxfId="5" priority="1" operator="containsText" text="UV">
      <formula>NOT(ISERROR(SEARCH("UV",H10)))</formula>
    </cfRule>
    <cfRule type="containsText" dxfId="4" priority="2" operator="containsText" text="OV">
      <formula>NOT(ISERROR(SEARCH("OV",H10)))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08A60-5290-48D0-9278-2410070FB34A}">
  <dimension ref="A2:G16"/>
  <sheetViews>
    <sheetView showGridLines="0" tabSelected="1" zoomScale="119" zoomScaleNormal="119" workbookViewId="0">
      <selection activeCell="J8" sqref="J8"/>
    </sheetView>
  </sheetViews>
  <sheetFormatPr defaultRowHeight="14.4" x14ac:dyDescent="0.3"/>
  <cols>
    <col min="1" max="1" width="5" bestFit="1" customWidth="1"/>
    <col min="2" max="2" width="15" bestFit="1" customWidth="1"/>
    <col min="3" max="3" width="9.33203125" bestFit="1" customWidth="1"/>
    <col min="4" max="4" width="10.33203125" bestFit="1" customWidth="1"/>
    <col min="5" max="5" width="9.44140625" bestFit="1" customWidth="1"/>
    <col min="6" max="6" width="22.88671875" bestFit="1" customWidth="1"/>
    <col min="7" max="7" width="12.109375" bestFit="1" customWidth="1"/>
  </cols>
  <sheetData>
    <row r="2" spans="1:7" ht="25.8" x14ac:dyDescent="0.5">
      <c r="A2" s="28" t="s">
        <v>0</v>
      </c>
      <c r="B2" s="28"/>
      <c r="C2" s="28"/>
      <c r="D2" s="28"/>
      <c r="E2" s="28"/>
    </row>
    <row r="3" spans="1:7" x14ac:dyDescent="0.3">
      <c r="A3" s="29" t="s">
        <v>10</v>
      </c>
      <c r="B3" s="29"/>
      <c r="C3" s="29"/>
      <c r="D3" s="29"/>
      <c r="E3" s="29"/>
    </row>
    <row r="4" spans="1:7" ht="15" thickBot="1" x14ac:dyDescent="0.35">
      <c r="F4" s="12" t="s">
        <v>23</v>
      </c>
      <c r="G4" s="1"/>
    </row>
    <row r="5" spans="1:7" x14ac:dyDescent="0.3">
      <c r="A5" s="6" t="s">
        <v>2</v>
      </c>
      <c r="B5" s="7" t="s">
        <v>3</v>
      </c>
      <c r="C5" s="8" t="s">
        <v>4</v>
      </c>
      <c r="D5" s="21" t="s">
        <v>18</v>
      </c>
      <c r="E5" s="22" t="s">
        <v>20</v>
      </c>
      <c r="F5" s="9" t="s">
        <v>5</v>
      </c>
      <c r="G5" s="16">
        <f>AVERAGE(C6:C10)</f>
        <v>-2.2940273823795022E-2</v>
      </c>
    </row>
    <row r="6" spans="1:7" ht="15" thickBot="1" x14ac:dyDescent="0.35">
      <c r="A6" s="2">
        <v>2025</v>
      </c>
      <c r="B6" s="13">
        <v>6.5</v>
      </c>
      <c r="C6" s="15">
        <f>LN(B6/B7)</f>
        <v>0.16705408466316624</v>
      </c>
      <c r="D6" s="23">
        <v>0.20979999999999999</v>
      </c>
      <c r="E6" s="5">
        <v>0.54</v>
      </c>
      <c r="F6" s="10" t="s">
        <v>6</v>
      </c>
      <c r="G6" s="27">
        <f>G16</f>
        <v>8.8751999999999998E-2</v>
      </c>
    </row>
    <row r="7" spans="1:7" x14ac:dyDescent="0.3">
      <c r="A7" s="2">
        <f>A6-1</f>
        <v>2024</v>
      </c>
      <c r="B7" s="13">
        <v>5.5</v>
      </c>
      <c r="C7" s="15">
        <f t="shared" ref="C7:C10" si="0">LN(B7/B8)</f>
        <v>9.5310179804324935E-2</v>
      </c>
      <c r="D7" s="21" t="s">
        <v>19</v>
      </c>
      <c r="E7" s="24"/>
      <c r="F7" s="10" t="s">
        <v>7</v>
      </c>
      <c r="G7" s="3">
        <v>154.62</v>
      </c>
    </row>
    <row r="8" spans="1:7" ht="15" thickBot="1" x14ac:dyDescent="0.35">
      <c r="A8" s="2">
        <f t="shared" ref="A8:A11" si="1">A7-1</f>
        <v>2023</v>
      </c>
      <c r="B8" s="13">
        <v>5</v>
      </c>
      <c r="C8" s="15">
        <f>LN(B8/B9)</f>
        <v>-0.58778666490211895</v>
      </c>
      <c r="D8" s="23">
        <v>0.1043</v>
      </c>
      <c r="E8" s="5"/>
      <c r="F8" s="10"/>
      <c r="G8" s="3"/>
    </row>
    <row r="9" spans="1:7" x14ac:dyDescent="0.3">
      <c r="A9" s="2">
        <f t="shared" si="1"/>
        <v>2022</v>
      </c>
      <c r="B9" s="13">
        <v>9</v>
      </c>
      <c r="C9" s="15">
        <f t="shared" si="0"/>
        <v>0.58778666490211906</v>
      </c>
      <c r="F9" s="10" t="s">
        <v>8</v>
      </c>
      <c r="G9" s="17">
        <f>ABS((B6/(G6-G5)))</f>
        <v>58.195609933184429</v>
      </c>
    </row>
    <row r="10" spans="1:7" ht="15" thickBot="1" x14ac:dyDescent="0.35">
      <c r="A10" s="2">
        <f t="shared" si="1"/>
        <v>2021</v>
      </c>
      <c r="B10" s="13">
        <v>5</v>
      </c>
      <c r="C10" s="15">
        <f t="shared" si="0"/>
        <v>-0.37706563358646639</v>
      </c>
      <c r="F10" s="11" t="s">
        <v>9</v>
      </c>
      <c r="G10" s="5" t="str">
        <f>IF(G9&gt;G7,"UV","OV")</f>
        <v>OV</v>
      </c>
    </row>
    <row r="11" spans="1:7" ht="15" thickBot="1" x14ac:dyDescent="0.35">
      <c r="A11" s="4">
        <f t="shared" si="1"/>
        <v>2020</v>
      </c>
      <c r="B11" s="14">
        <v>7.29</v>
      </c>
      <c r="C11" s="26" t="e">
        <f>LN(B11/#REF!)</f>
        <v>#REF!</v>
      </c>
      <c r="F11" s="19" t="s">
        <v>12</v>
      </c>
    </row>
    <row r="12" spans="1:7" x14ac:dyDescent="0.3">
      <c r="F12" s="19" t="s">
        <v>13</v>
      </c>
    </row>
    <row r="13" spans="1:7" x14ac:dyDescent="0.3">
      <c r="F13" t="s">
        <v>14</v>
      </c>
      <c r="G13" s="20">
        <v>7.0499999999999993E-2</v>
      </c>
    </row>
    <row r="14" spans="1:7" x14ac:dyDescent="0.3">
      <c r="F14" t="s">
        <v>17</v>
      </c>
      <c r="G14" s="20">
        <f>D8</f>
        <v>0.1043</v>
      </c>
    </row>
    <row r="15" spans="1:7" x14ac:dyDescent="0.3">
      <c r="F15" t="s">
        <v>15</v>
      </c>
      <c r="G15">
        <f>E6</f>
        <v>0.54</v>
      </c>
    </row>
    <row r="16" spans="1:7" x14ac:dyDescent="0.3">
      <c r="F16" t="s">
        <v>16</v>
      </c>
      <c r="G16" s="25">
        <f>(G13+(E6*(D8-G13)))</f>
        <v>8.8751999999999998E-2</v>
      </c>
    </row>
  </sheetData>
  <mergeCells count="2">
    <mergeCell ref="A2:E2"/>
    <mergeCell ref="A3:E3"/>
  </mergeCells>
  <conditionalFormatting sqref="G10">
    <cfRule type="containsText" dxfId="3" priority="1" operator="containsText" text="UV">
      <formula>NOT(ISERROR(SEARCH("UV",G10)))</formula>
    </cfRule>
    <cfRule type="containsText" dxfId="2" priority="2" operator="containsText" text="OV">
      <formula>NOT(ISERROR(SEARCH("OV",G10)))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50D2-747F-4720-AA69-349DE9DFD794}">
  <dimension ref="A2:G16"/>
  <sheetViews>
    <sheetView showGridLines="0" zoomScale="134" zoomScaleNormal="134" workbookViewId="0">
      <selection activeCell="D18" sqref="D18"/>
    </sheetView>
  </sheetViews>
  <sheetFormatPr defaultRowHeight="14.4" x14ac:dyDescent="0.3"/>
  <cols>
    <col min="1" max="1" width="5.21875" bestFit="1" customWidth="1"/>
    <col min="2" max="2" width="15.109375" bestFit="1" customWidth="1"/>
    <col min="3" max="3" width="9.44140625" bestFit="1" customWidth="1"/>
    <col min="4" max="4" width="13.6640625" bestFit="1" customWidth="1"/>
    <col min="5" max="5" width="8.77734375" bestFit="1" customWidth="1"/>
    <col min="6" max="6" width="23" bestFit="1" customWidth="1"/>
    <col min="7" max="7" width="12.77734375" bestFit="1" customWidth="1"/>
  </cols>
  <sheetData>
    <row r="2" spans="1:7" ht="25.8" x14ac:dyDescent="0.5">
      <c r="A2" s="28" t="s">
        <v>0</v>
      </c>
      <c r="B2" s="28"/>
      <c r="C2" s="28"/>
      <c r="D2" s="28"/>
      <c r="E2" s="28"/>
    </row>
    <row r="3" spans="1:7" x14ac:dyDescent="0.3">
      <c r="A3" s="29" t="s">
        <v>11</v>
      </c>
      <c r="B3" s="29"/>
      <c r="C3" s="29"/>
      <c r="D3" s="29"/>
      <c r="E3" s="29"/>
    </row>
    <row r="4" spans="1:7" ht="15" thickBot="1" x14ac:dyDescent="0.35">
      <c r="F4" s="12" t="s">
        <v>23</v>
      </c>
      <c r="G4" s="1"/>
    </row>
    <row r="5" spans="1:7" x14ac:dyDescent="0.3">
      <c r="A5" s="6" t="s">
        <v>2</v>
      </c>
      <c r="B5" s="7" t="s">
        <v>3</v>
      </c>
      <c r="C5" s="8" t="s">
        <v>4</v>
      </c>
      <c r="D5" s="6" t="s">
        <v>21</v>
      </c>
      <c r="E5" s="8" t="s">
        <v>20</v>
      </c>
      <c r="F5" s="9" t="s">
        <v>5</v>
      </c>
      <c r="G5" s="16">
        <f>AVERAGE(C6:C10)</f>
        <v>0.23973914944501845</v>
      </c>
    </row>
    <row r="6" spans="1:7" ht="15" thickBot="1" x14ac:dyDescent="0.35">
      <c r="A6" s="2">
        <v>2025</v>
      </c>
      <c r="B6" s="13">
        <v>126</v>
      </c>
      <c r="C6" s="15">
        <f>LN(B6/B7)</f>
        <v>0.54582246580308691</v>
      </c>
      <c r="D6" s="23">
        <v>6.7599999999999993E-2</v>
      </c>
      <c r="E6" s="5">
        <v>0.62</v>
      </c>
      <c r="F6" s="10" t="s">
        <v>6</v>
      </c>
      <c r="G6" s="27">
        <f>G16</f>
        <v>0.11868400000000001</v>
      </c>
    </row>
    <row r="7" spans="1:7" x14ac:dyDescent="0.3">
      <c r="A7" s="2">
        <f>A6-1</f>
        <v>2024</v>
      </c>
      <c r="B7" s="13">
        <v>73</v>
      </c>
      <c r="C7" s="15">
        <f t="shared" ref="C7:C10" si="0">LN(B7/B8)</f>
        <v>0</v>
      </c>
      <c r="D7" s="6" t="s">
        <v>19</v>
      </c>
      <c r="E7" s="24"/>
      <c r="F7" s="10" t="s">
        <v>7</v>
      </c>
      <c r="G7" s="3">
        <v>2587.8000000000002</v>
      </c>
    </row>
    <row r="8" spans="1:7" ht="15" thickBot="1" x14ac:dyDescent="0.35">
      <c r="A8" s="2">
        <f t="shared" ref="A8:A11" si="1">A7-1</f>
        <v>2023</v>
      </c>
      <c r="B8" s="13">
        <v>73</v>
      </c>
      <c r="C8" s="15">
        <f>LN(B8/B9)</f>
        <v>-0.45447268721485895</v>
      </c>
      <c r="D8" s="23">
        <v>0.1522</v>
      </c>
      <c r="E8" s="5"/>
      <c r="F8" s="10"/>
      <c r="G8" s="3"/>
    </row>
    <row r="9" spans="1:7" x14ac:dyDescent="0.3">
      <c r="A9" s="2">
        <f t="shared" si="1"/>
        <v>2022</v>
      </c>
      <c r="B9" s="13">
        <v>115</v>
      </c>
      <c r="C9" s="15">
        <f t="shared" si="0"/>
        <v>0.98373201266968757</v>
      </c>
      <c r="F9" s="10" t="s">
        <v>8</v>
      </c>
      <c r="G9" s="17">
        <f>ABS((B6/(G6-G5)))</f>
        <v>1040.8479158272191</v>
      </c>
    </row>
    <row r="10" spans="1:7" ht="15" thickBot="1" x14ac:dyDescent="0.35">
      <c r="A10" s="2">
        <f t="shared" si="1"/>
        <v>2021</v>
      </c>
      <c r="B10" s="13">
        <v>43</v>
      </c>
      <c r="C10" s="15">
        <f t="shared" si="0"/>
        <v>0.12361395596717663</v>
      </c>
      <c r="F10" s="11" t="s">
        <v>9</v>
      </c>
      <c r="G10" s="5" t="str">
        <f>IF(G9&gt;G7,"UV","OV")</f>
        <v>OV</v>
      </c>
    </row>
    <row r="11" spans="1:7" ht="15" thickBot="1" x14ac:dyDescent="0.35">
      <c r="A11" s="4">
        <f t="shared" si="1"/>
        <v>2020</v>
      </c>
      <c r="B11" s="14">
        <v>38</v>
      </c>
      <c r="C11" s="26" t="e">
        <f>LN(B11/#REF!)</f>
        <v>#REF!</v>
      </c>
      <c r="F11" s="18" t="s">
        <v>12</v>
      </c>
    </row>
    <row r="12" spans="1:7" x14ac:dyDescent="0.3">
      <c r="F12" s="18" t="s">
        <v>13</v>
      </c>
    </row>
    <row r="13" spans="1:7" x14ac:dyDescent="0.3">
      <c r="F13" t="s">
        <v>22</v>
      </c>
      <c r="G13" s="20">
        <v>6.4000000000000001E-2</v>
      </c>
    </row>
    <row r="14" spans="1:7" x14ac:dyDescent="0.3">
      <c r="F14" t="s">
        <v>17</v>
      </c>
      <c r="G14" s="20">
        <f>D8</f>
        <v>0.1522</v>
      </c>
    </row>
    <row r="15" spans="1:7" x14ac:dyDescent="0.3">
      <c r="F15" t="s">
        <v>15</v>
      </c>
      <c r="G15">
        <f>E6</f>
        <v>0.62</v>
      </c>
    </row>
    <row r="16" spans="1:7" x14ac:dyDescent="0.3">
      <c r="F16" t="s">
        <v>16</v>
      </c>
      <c r="G16" s="25">
        <f>(G13+(E6*(D8-G13)))</f>
        <v>0.11868400000000001</v>
      </c>
    </row>
  </sheetData>
  <mergeCells count="2">
    <mergeCell ref="A2:E2"/>
    <mergeCell ref="A3:E3"/>
  </mergeCells>
  <conditionalFormatting sqref="G10">
    <cfRule type="containsText" dxfId="1" priority="1" operator="containsText" text="UV">
      <formula>NOT(ISERROR(SEARCH("UV",G10)))</formula>
    </cfRule>
    <cfRule type="containsText" dxfId="0" priority="2" operator="containsText" text="OV">
      <formula>NOT(ISERROR(SEARCH("OV",G10)))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Coal india</vt:lpstr>
      <vt:lpstr>BHEL</vt:lpstr>
      <vt:lpstr>GAIL</vt:lpstr>
      <vt:lpstr>TCS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Chandra</dc:creator>
  <cp:lastModifiedBy>Shivansh Chandra</cp:lastModifiedBy>
  <dcterms:created xsi:type="dcterms:W3CDTF">2026-03-04T13:19:42Z</dcterms:created>
  <dcterms:modified xsi:type="dcterms:W3CDTF">2026-03-30T11:46:27Z</dcterms:modified>
</cp:coreProperties>
</file>