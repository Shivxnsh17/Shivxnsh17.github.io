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FP&amp;A Practice\Relative Valuation\"/>
    </mc:Choice>
  </mc:AlternateContent>
  <xr:revisionPtr revIDLastSave="0" documentId="13_ncr:1_{E587DA58-3683-46A8-8F80-B67FFF0EF98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rmat Req" sheetId="3" r:id="rId1"/>
    <sheet name="Start" sheetId="2" r:id="rId2"/>
    <sheet name="Automotive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gOX39VO1Cqr39cf32bUtMz7VRpxA=="/>
    </ext>
  </extLst>
</workbook>
</file>

<file path=xl/calcChain.xml><?xml version="1.0" encoding="utf-8"?>
<calcChain xmlns="http://schemas.openxmlformats.org/spreadsheetml/2006/main">
  <c r="P27" i="3" l="1"/>
  <c r="P24" i="3"/>
  <c r="P9" i="3"/>
  <c r="P17" i="3" s="1"/>
  <c r="P10" i="3"/>
  <c r="P11" i="3"/>
  <c r="P12" i="3"/>
  <c r="P8" i="3"/>
  <c r="O9" i="3"/>
  <c r="O10" i="3"/>
  <c r="O11" i="3"/>
  <c r="O12" i="3"/>
  <c r="O8" i="3"/>
  <c r="N10" i="3"/>
  <c r="N11" i="3"/>
  <c r="N12" i="3"/>
  <c r="N9" i="3"/>
  <c r="N8" i="3"/>
  <c r="Q26" i="5"/>
  <c r="Q22" i="5"/>
  <c r="Q24" i="5"/>
  <c r="P26" i="5"/>
  <c r="Q25" i="5"/>
  <c r="P25" i="5"/>
  <c r="O26" i="5"/>
  <c r="O25" i="5"/>
  <c r="Q23" i="5"/>
  <c r="P23" i="5"/>
  <c r="O23" i="5"/>
  <c r="P24" i="5"/>
  <c r="O24" i="5"/>
  <c r="P22" i="5"/>
  <c r="O22" i="5"/>
  <c r="P19" i="5"/>
  <c r="Q19" i="5"/>
  <c r="O19" i="5"/>
  <c r="P18" i="5"/>
  <c r="Q18" i="5"/>
  <c r="O18" i="5"/>
  <c r="P17" i="5"/>
  <c r="Q17" i="5"/>
  <c r="O17" i="5"/>
  <c r="P16" i="5"/>
  <c r="Q16" i="5"/>
  <c r="O16" i="5"/>
  <c r="P15" i="5"/>
  <c r="Q15" i="5"/>
  <c r="O15" i="5"/>
  <c r="P14" i="5"/>
  <c r="Q14" i="5"/>
  <c r="O14" i="5"/>
  <c r="G12" i="3"/>
  <c r="G11" i="3"/>
  <c r="G10" i="3"/>
  <c r="G9" i="3"/>
  <c r="G8" i="3"/>
  <c r="G7" i="3"/>
  <c r="Q7" i="5"/>
  <c r="Q8" i="5"/>
  <c r="Q9" i="5"/>
  <c r="Q10" i="5"/>
  <c r="Q11" i="5"/>
  <c r="Q12" i="5"/>
  <c r="P8" i="5"/>
  <c r="P9" i="5"/>
  <c r="P10" i="5"/>
  <c r="P11" i="5"/>
  <c r="P12" i="5"/>
  <c r="P7" i="5"/>
  <c r="O8" i="5"/>
  <c r="O9" i="5"/>
  <c r="O10" i="5"/>
  <c r="O11" i="5"/>
  <c r="O12" i="5"/>
  <c r="O7" i="5"/>
  <c r="H12" i="5"/>
  <c r="H11" i="5"/>
  <c r="H10" i="5"/>
  <c r="H9" i="5"/>
  <c r="H8" i="5"/>
  <c r="H7" i="5"/>
  <c r="I7" i="5" s="1"/>
  <c r="G7" i="5"/>
  <c r="G8" i="5"/>
  <c r="I8" i="5" s="1"/>
  <c r="G9" i="5"/>
  <c r="I9" i="5" s="1"/>
  <c r="G10" i="5"/>
  <c r="I10" i="5" s="1"/>
  <c r="G11" i="5"/>
  <c r="I11" i="5" s="1"/>
  <c r="G12" i="5"/>
  <c r="I12" i="5" s="1"/>
  <c r="P25" i="3"/>
  <c r="O25" i="3"/>
  <c r="O23" i="3"/>
  <c r="N23" i="3"/>
  <c r="N25" i="3"/>
  <c r="K10" i="3"/>
  <c r="K11" i="3"/>
  <c r="F8" i="3"/>
  <c r="F9" i="3"/>
  <c r="F10" i="3"/>
  <c r="F11" i="3"/>
  <c r="H11" i="3" s="1"/>
  <c r="F12" i="3"/>
  <c r="F7" i="3"/>
  <c r="H7" i="3" s="1"/>
  <c r="H10" i="3" l="1"/>
  <c r="H9" i="3"/>
  <c r="H8" i="3"/>
  <c r="N7" i="3"/>
  <c r="O17" i="3"/>
  <c r="O22" i="3" s="1"/>
  <c r="O7" i="3"/>
  <c r="N17" i="3"/>
  <c r="N22" i="3" s="1"/>
  <c r="P7" i="3"/>
  <c r="H12" i="3"/>
  <c r="P18" i="3" l="1"/>
  <c r="P19" i="3"/>
  <c r="P16" i="3"/>
  <c r="N19" i="3"/>
  <c r="N24" i="3" s="1"/>
  <c r="N26" i="3" s="1"/>
  <c r="N18" i="3"/>
  <c r="N16" i="3"/>
  <c r="N15" i="3"/>
  <c r="O19" i="3"/>
  <c r="O24" i="3" s="1"/>
  <c r="O26" i="3" s="1"/>
  <c r="O27" i="3" s="1"/>
  <c r="O18" i="3"/>
  <c r="O16" i="3"/>
  <c r="N14" i="3"/>
  <c r="P15" i="3"/>
  <c r="P14" i="3"/>
  <c r="O15" i="3"/>
  <c r="O14" i="3"/>
  <c r="N27" i="3" l="1"/>
  <c r="P26" i="3"/>
</calcChain>
</file>

<file path=xl/sharedStrings.xml><?xml version="1.0" encoding="utf-8"?>
<sst xmlns="http://schemas.openxmlformats.org/spreadsheetml/2006/main" count="146" uniqueCount="67">
  <si>
    <t>Market Data</t>
  </si>
  <si>
    <t>Financials</t>
  </si>
  <si>
    <t>Valuation</t>
  </si>
  <si>
    <t>Company</t>
  </si>
  <si>
    <t>Ticker</t>
  </si>
  <si>
    <t>Share 
Price</t>
  </si>
  <si>
    <t>Shares Outstanding</t>
  </si>
  <si>
    <t>Equity Value</t>
  </si>
  <si>
    <t>Net Debt</t>
  </si>
  <si>
    <t>Enterprise 
Value</t>
  </si>
  <si>
    <t>Revenue</t>
  </si>
  <si>
    <t>EBITDA</t>
  </si>
  <si>
    <t>Net Income</t>
  </si>
  <si>
    <t>EV/Revenue</t>
  </si>
  <si>
    <t>EV/EBITDA</t>
  </si>
  <si>
    <t>P/E</t>
  </si>
  <si>
    <t>Enjoy Lemon</t>
  </si>
  <si>
    <t>EYL</t>
  </si>
  <si>
    <t>Lemonly</t>
  </si>
  <si>
    <t>LMY</t>
  </si>
  <si>
    <t>The Lemon Co.</t>
  </si>
  <si>
    <t>TLNC</t>
  </si>
  <si>
    <t>Lemonicious</t>
  </si>
  <si>
    <t>LMCS</t>
  </si>
  <si>
    <t>Light Lemon</t>
  </si>
  <si>
    <t>LL</t>
  </si>
  <si>
    <t>Lemon World</t>
  </si>
  <si>
    <t>LNWD</t>
  </si>
  <si>
    <t>High</t>
  </si>
  <si>
    <t>75th Percentile</t>
  </si>
  <si>
    <t>Average</t>
  </si>
  <si>
    <t>Median</t>
  </si>
  <si>
    <t>25th Percentile</t>
  </si>
  <si>
    <t>Low</t>
  </si>
  <si>
    <t>Enjoy Lemon Valuation</t>
  </si>
  <si>
    <t>Implied Enterprise Value</t>
  </si>
  <si>
    <t>Implied Market Value</t>
  </si>
  <si>
    <t>Implied Value Per Share</t>
  </si>
  <si>
    <t xml:space="preserve">Comparable Companies Analysis -Relative Valuation method </t>
  </si>
  <si>
    <t>Hindustan Unilever</t>
  </si>
  <si>
    <t>ITC Ltd.</t>
  </si>
  <si>
    <t>Nestle</t>
  </si>
  <si>
    <t>Britannia Indst.</t>
  </si>
  <si>
    <t>Godrej Consumer</t>
  </si>
  <si>
    <t>Tata Consumer</t>
  </si>
  <si>
    <t>ITC</t>
  </si>
  <si>
    <t xml:space="preserve">HINDUNILVR </t>
  </si>
  <si>
    <t xml:space="preserve">NESTLEIND </t>
  </si>
  <si>
    <t xml:space="preserve">BRITANNIA </t>
  </si>
  <si>
    <t xml:space="preserve">GODREJCP </t>
  </si>
  <si>
    <t xml:space="preserve">TATACONSUM </t>
  </si>
  <si>
    <t>Relative Valuation method 14/03/26</t>
  </si>
  <si>
    <t>x</t>
  </si>
  <si>
    <t xml:space="preserve"> </t>
  </si>
  <si>
    <t>Relative Valuation method 16/03/26</t>
  </si>
  <si>
    <t>Maruti Suzuki</t>
  </si>
  <si>
    <t>Mahindra &amp; Mahindra</t>
  </si>
  <si>
    <t>Bajaj Auto</t>
  </si>
  <si>
    <t>Eicher Motors</t>
  </si>
  <si>
    <t>TVS Motors</t>
  </si>
  <si>
    <t>MARUTI</t>
  </si>
  <si>
    <t>M&amp;M</t>
  </si>
  <si>
    <t>BAJAJ-AUTO</t>
  </si>
  <si>
    <t>EICHERMOT</t>
  </si>
  <si>
    <t>TVSMOTOR</t>
  </si>
  <si>
    <t>MOTHERSON</t>
  </si>
  <si>
    <t>Samvardhana Motherson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</si>
</sst>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₹&quot;\ #,##0.00;&quot;₹&quot;\ \-#,##0.00"/>
    <numFmt numFmtId="164" formatCode="_-* #,##0.00_-;\-* #,##0.00_-;_-* &quot;-&quot;??_-;_-@"/>
    <numFmt numFmtId="165" formatCode="_-* #,##0_-;\-* #,##0_-;_-* &quot;-&quot;??_-;_-@"/>
    <numFmt numFmtId="166" formatCode="#,##0.0\x"/>
    <numFmt numFmtId="167" formatCode="_-* #,##0.00\ _€_-;\-* #,##0.00\ _€_-;_-* &quot;-&quot;??\ _€_-;_-@"/>
  </numFmts>
  <fonts count="11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8"/>
      <color rgb="FF293D68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12"/>
      <color rgb="FF0432FF"/>
      <name val="Calibri"/>
      <family val="2"/>
    </font>
    <font>
      <b/>
      <sz val="12"/>
      <color theme="1"/>
      <name val="Calibri"/>
      <family val="2"/>
    </font>
    <font>
      <b/>
      <sz val="12"/>
      <color rgb="FF0432FF"/>
      <name val="Calibri"/>
      <family val="2"/>
    </font>
    <font>
      <b/>
      <sz val="12"/>
      <color rgb="FFFFFF00"/>
      <name val="Calibri"/>
      <family val="2"/>
    </font>
    <font>
      <sz val="12"/>
      <color rgb="FFFFFF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293D68"/>
        <bgColor rgb="FF293D68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9E2F3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293D68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/>
    <xf numFmtId="0" fontId="3" fillId="0" borderId="2" xfId="0" applyFont="1" applyBorder="1"/>
    <xf numFmtId="0" fontId="1" fillId="0" borderId="2" xfId="0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2" borderId="6" xfId="0" applyFont="1" applyFill="1" applyBorder="1"/>
    <xf numFmtId="0" fontId="1" fillId="2" borderId="7" xfId="0" applyFont="1" applyFill="1" applyBorder="1" applyAlignment="1">
      <alignment horizontal="center"/>
    </xf>
    <xf numFmtId="164" fontId="6" fillId="2" borderId="7" xfId="0" applyNumberFormat="1" applyFont="1" applyFill="1" applyBorder="1"/>
    <xf numFmtId="165" fontId="6" fillId="2" borderId="7" xfId="0" applyNumberFormat="1" applyFont="1" applyFill="1" applyBorder="1"/>
    <xf numFmtId="165" fontId="1" fillId="2" borderId="7" xfId="0" applyNumberFormat="1" applyFont="1" applyFill="1" applyBorder="1"/>
    <xf numFmtId="166" fontId="1" fillId="2" borderId="7" xfId="0" applyNumberFormat="1" applyFont="1" applyFill="1" applyBorder="1"/>
    <xf numFmtId="166" fontId="1" fillId="2" borderId="8" xfId="0" applyNumberFormat="1" applyFont="1" applyFill="1" applyBorder="1"/>
    <xf numFmtId="0" fontId="2" fillId="0" borderId="0" xfId="0" applyFont="1"/>
    <xf numFmtId="0" fontId="1" fillId="0" borderId="0" xfId="0" applyFont="1" applyAlignment="1">
      <alignment horizontal="center"/>
    </xf>
    <xf numFmtId="164" fontId="6" fillId="0" borderId="0" xfId="0" applyNumberFormat="1" applyFont="1"/>
    <xf numFmtId="165" fontId="6" fillId="0" borderId="0" xfId="0" applyNumberFormat="1" applyFont="1"/>
    <xf numFmtId="165" fontId="1" fillId="0" borderId="0" xfId="0" applyNumberFormat="1" applyFont="1"/>
    <xf numFmtId="166" fontId="1" fillId="2" borderId="1" xfId="0" applyNumberFormat="1" applyFont="1" applyFill="1" applyBorder="1"/>
    <xf numFmtId="0" fontId="7" fillId="2" borderId="1" xfId="0" applyFont="1" applyFill="1" applyBorder="1"/>
    <xf numFmtId="166" fontId="7" fillId="2" borderId="1" xfId="0" applyNumberFormat="1" applyFont="1" applyFill="1" applyBorder="1"/>
    <xf numFmtId="0" fontId="1" fillId="3" borderId="1" xfId="0" applyFont="1" applyFill="1" applyBorder="1"/>
    <xf numFmtId="167" fontId="1" fillId="0" borderId="0" xfId="0" applyNumberFormat="1" applyFont="1"/>
    <xf numFmtId="0" fontId="7" fillId="2" borderId="9" xfId="0" applyFont="1" applyFill="1" applyBorder="1"/>
    <xf numFmtId="167" fontId="7" fillId="2" borderId="9" xfId="0" applyNumberFormat="1" applyFont="1" applyFill="1" applyBorder="1"/>
    <xf numFmtId="165" fontId="8" fillId="2" borderId="9" xfId="0" applyNumberFormat="1" applyFont="1" applyFill="1" applyBorder="1"/>
    <xf numFmtId="164" fontId="7" fillId="2" borderId="9" xfId="0" applyNumberFormat="1" applyFont="1" applyFill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165" fontId="1" fillId="4" borderId="1" xfId="0" applyNumberFormat="1" applyFont="1" applyFill="1" applyBorder="1"/>
    <xf numFmtId="166" fontId="1" fillId="4" borderId="1" xfId="0" applyNumberFormat="1" applyFont="1" applyFill="1" applyBorder="1"/>
    <xf numFmtId="0" fontId="2" fillId="5" borderId="1" xfId="0" applyFont="1" applyFill="1" applyBorder="1"/>
    <xf numFmtId="0" fontId="1" fillId="5" borderId="1" xfId="0" applyFont="1" applyFill="1" applyBorder="1" applyAlignment="1">
      <alignment horizontal="center"/>
    </xf>
    <xf numFmtId="165" fontId="6" fillId="5" borderId="1" xfId="0" applyNumberFormat="1" applyFont="1" applyFill="1" applyBorder="1"/>
    <xf numFmtId="165" fontId="6" fillId="0" borderId="1" xfId="0" applyNumberFormat="1" applyFont="1" applyBorder="1"/>
    <xf numFmtId="165" fontId="1" fillId="5" borderId="1" xfId="0" applyNumberFormat="1" applyFont="1" applyFill="1" applyBorder="1"/>
    <xf numFmtId="7" fontId="6" fillId="5" borderId="1" xfId="0" applyNumberFormat="1" applyFont="1" applyFill="1" applyBorder="1"/>
    <xf numFmtId="0" fontId="6" fillId="5" borderId="1" xfId="0" applyFont="1" applyFill="1" applyBorder="1"/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7" fontId="6" fillId="6" borderId="1" xfId="0" applyNumberFormat="1" applyFont="1" applyFill="1" applyBorder="1"/>
    <xf numFmtId="165" fontId="6" fillId="6" borderId="1" xfId="0" applyNumberFormat="1" applyFont="1" applyFill="1" applyBorder="1"/>
    <xf numFmtId="165" fontId="1" fillId="6" borderId="1" xfId="0" applyNumberFormat="1" applyFont="1" applyFill="1" applyBorder="1"/>
    <xf numFmtId="0" fontId="6" fillId="6" borderId="1" xfId="0" applyFont="1" applyFill="1" applyBorder="1"/>
    <xf numFmtId="166" fontId="1" fillId="6" borderId="1" xfId="0" applyNumberFormat="1" applyFont="1" applyFill="1" applyBorder="1"/>
    <xf numFmtId="0" fontId="9" fillId="3" borderId="3" xfId="0" applyFont="1" applyFill="1" applyBorder="1" applyAlignment="1">
      <alignment horizontal="center"/>
    </xf>
    <xf numFmtId="0" fontId="10" fillId="0" borderId="4" xfId="0" applyFont="1" applyBorder="1"/>
    <xf numFmtId="0" fontId="10" fillId="0" borderId="5" xfId="0" applyFont="1" applyBorder="1"/>
    <xf numFmtId="0" fontId="4" fillId="3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4C6E7"/>
      <color rgb="FFD9E2F3"/>
      <color rgb="FF66FF66"/>
      <color rgb="FFFFFFFF"/>
      <color rgb="FF29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showGridLines="0" topLeftCell="A7" zoomScaleNormal="100" workbookViewId="0">
      <selection activeCell="F25" sqref="F25"/>
    </sheetView>
  </sheetViews>
  <sheetFormatPr defaultColWidth="11.19921875" defaultRowHeight="15" customHeight="1" x14ac:dyDescent="0.3"/>
  <cols>
    <col min="2" max="2" width="18.19921875" customWidth="1"/>
    <col min="3" max="3" width="14.09765625" customWidth="1"/>
    <col min="4" max="4" width="10.3984375" customWidth="1"/>
    <col min="5" max="5" width="11.5" customWidth="1"/>
    <col min="6" max="7" width="11.3984375" customWidth="1"/>
    <col min="8" max="8" width="10.59765625" customWidth="1"/>
    <col min="9" max="9" width="3.69921875" customWidth="1"/>
    <col min="10" max="10" width="11.5" customWidth="1"/>
    <col min="11" max="12" width="10.59765625" customWidth="1"/>
    <col min="13" max="13" width="3.69921875" customWidth="1"/>
    <col min="14" max="14" width="11.5" customWidth="1"/>
    <col min="15" max="15" width="11.59765625" bestFit="1" customWidth="1"/>
    <col min="16" max="26" width="10.59765625" customWidth="1"/>
  </cols>
  <sheetData>
    <row r="1" spans="1:16" ht="15.6" x14ac:dyDescent="0.3"/>
    <row r="2" spans="1:16" ht="23.4" x14ac:dyDescent="0.45">
      <c r="A2" s="18" t="s">
        <v>53</v>
      </c>
      <c r="B2" s="2" t="s">
        <v>51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5.6" x14ac:dyDescent="0.3"/>
    <row r="4" spans="1:16" ht="15.6" x14ac:dyDescent="0.3">
      <c r="B4" s="32"/>
      <c r="C4" s="32"/>
      <c r="D4" s="52" t="s">
        <v>0</v>
      </c>
      <c r="E4" s="53"/>
      <c r="F4" s="53"/>
      <c r="G4" s="53"/>
      <c r="H4" s="54"/>
      <c r="I4" s="4"/>
      <c r="J4" s="52" t="s">
        <v>1</v>
      </c>
      <c r="K4" s="53"/>
      <c r="L4" s="54"/>
      <c r="M4" s="32"/>
      <c r="N4" s="52" t="s">
        <v>2</v>
      </c>
      <c r="O4" s="53"/>
      <c r="P4" s="54"/>
    </row>
    <row r="5" spans="1:16" ht="31.2" x14ac:dyDescent="0.3">
      <c r="B5" s="34" t="s">
        <v>3</v>
      </c>
      <c r="C5" s="34" t="s">
        <v>4</v>
      </c>
      <c r="D5" s="35" t="s">
        <v>5</v>
      </c>
      <c r="E5" s="35" t="s">
        <v>6</v>
      </c>
      <c r="F5" s="35" t="s">
        <v>7</v>
      </c>
      <c r="G5" s="35" t="s">
        <v>8</v>
      </c>
      <c r="H5" s="35" t="s">
        <v>9</v>
      </c>
      <c r="I5" s="7"/>
      <c r="J5" s="33" t="s">
        <v>10</v>
      </c>
      <c r="K5" s="33" t="s">
        <v>11</v>
      </c>
      <c r="L5" s="33" t="s">
        <v>12</v>
      </c>
      <c r="M5" s="33"/>
      <c r="N5" s="33" t="s">
        <v>13</v>
      </c>
      <c r="O5" s="33" t="s">
        <v>14</v>
      </c>
      <c r="P5" s="33" t="s">
        <v>15</v>
      </c>
    </row>
    <row r="6" spans="1:16" ht="9" customHeight="1" x14ac:dyDescent="0.3">
      <c r="B6" s="8"/>
      <c r="C6" s="8"/>
      <c r="D6" s="9"/>
      <c r="E6" s="9"/>
      <c r="F6" s="9"/>
      <c r="G6" s="9"/>
      <c r="H6" s="9"/>
      <c r="I6" s="10"/>
      <c r="J6" s="10"/>
      <c r="K6" s="10"/>
      <c r="L6" s="10"/>
      <c r="M6" s="10"/>
      <c r="N6" s="10"/>
      <c r="O6" s="10"/>
      <c r="P6" s="10"/>
    </row>
    <row r="7" spans="1:16" ht="15.6" x14ac:dyDescent="0.3">
      <c r="A7" s="18" t="s">
        <v>52</v>
      </c>
      <c r="B7" s="45" t="s">
        <v>39</v>
      </c>
      <c r="C7" s="46" t="s">
        <v>46</v>
      </c>
      <c r="D7" s="47">
        <v>2160</v>
      </c>
      <c r="E7" s="48">
        <v>235</v>
      </c>
      <c r="F7" s="49">
        <f>D7*E7</f>
        <v>507600</v>
      </c>
      <c r="G7" s="50">
        <f>1775-7559</f>
        <v>-5784</v>
      </c>
      <c r="H7" s="49">
        <f>F7+G7</f>
        <v>501816</v>
      </c>
      <c r="I7" s="48"/>
      <c r="J7" s="48">
        <v>63121</v>
      </c>
      <c r="K7" s="48">
        <v>14289</v>
      </c>
      <c r="L7" s="48">
        <v>10652</v>
      </c>
      <c r="M7" s="49"/>
      <c r="N7" s="51">
        <f>$H$7/J7</f>
        <v>7.9500641624815831</v>
      </c>
      <c r="O7" s="51">
        <f>$H$7/K7</f>
        <v>35.119042620197355</v>
      </c>
      <c r="P7" s="51">
        <f>F7/L7</f>
        <v>47.653022906496432</v>
      </c>
    </row>
    <row r="8" spans="1:16" ht="15.6" x14ac:dyDescent="0.3">
      <c r="B8" s="38" t="s">
        <v>40</v>
      </c>
      <c r="C8" s="39" t="s">
        <v>45</v>
      </c>
      <c r="D8" s="43">
        <v>301.45</v>
      </c>
      <c r="E8" s="40">
        <v>1248</v>
      </c>
      <c r="F8" s="36">
        <f t="shared" ref="F8:F12" si="0">D8*E8</f>
        <v>376209.6</v>
      </c>
      <c r="G8" s="44">
        <f>363-7218</f>
        <v>-6855</v>
      </c>
      <c r="H8" s="36">
        <f t="shared" ref="H8:H12" si="1">F8+G8</f>
        <v>369354.6</v>
      </c>
      <c r="I8" s="41"/>
      <c r="J8" s="40">
        <v>81612.78</v>
      </c>
      <c r="K8" s="40">
        <v>24025</v>
      </c>
      <c r="L8" s="40">
        <v>34427.620000000003</v>
      </c>
      <c r="M8" s="42"/>
      <c r="N8" s="37">
        <f>H8/J8</f>
        <v>4.5256956079672817</v>
      </c>
      <c r="O8" s="37">
        <f>H8/K8</f>
        <v>15.373760665972943</v>
      </c>
      <c r="P8" s="37">
        <f>F8/L8</f>
        <v>10.927551773837401</v>
      </c>
    </row>
    <row r="9" spans="1:16" ht="15.6" x14ac:dyDescent="0.3">
      <c r="B9" s="38" t="s">
        <v>41</v>
      </c>
      <c r="C9" s="39" t="s">
        <v>47</v>
      </c>
      <c r="D9" s="43">
        <v>1202.2</v>
      </c>
      <c r="E9" s="40">
        <v>96.42</v>
      </c>
      <c r="F9" s="36">
        <f t="shared" si="0"/>
        <v>115916.12400000001</v>
      </c>
      <c r="G9" s="44">
        <f>447-779</f>
        <v>-332</v>
      </c>
      <c r="H9" s="36">
        <f t="shared" si="1"/>
        <v>115584.12400000001</v>
      </c>
      <c r="I9" s="41"/>
      <c r="J9" s="40">
        <v>20077.5</v>
      </c>
      <c r="K9" s="40">
        <v>4132.7</v>
      </c>
      <c r="L9" s="40">
        <v>3127.92</v>
      </c>
      <c r="M9" s="42"/>
      <c r="N9" s="37">
        <f>H9/J9</f>
        <v>5.7568982193998259</v>
      </c>
      <c r="O9" s="37">
        <f t="shared" ref="O9:O12" si="2">H9/K9</f>
        <v>27.968186415660469</v>
      </c>
      <c r="P9" s="37">
        <f t="shared" ref="P9:P12" si="3">F9/L9</f>
        <v>37.05853218752398</v>
      </c>
    </row>
    <row r="10" spans="1:16" ht="15.6" x14ac:dyDescent="0.3">
      <c r="B10" s="38" t="s">
        <v>42</v>
      </c>
      <c r="C10" s="39" t="s">
        <v>48</v>
      </c>
      <c r="D10" s="43">
        <v>5808.5</v>
      </c>
      <c r="E10" s="40">
        <v>24.09</v>
      </c>
      <c r="F10" s="36">
        <f t="shared" si="0"/>
        <v>139926.76499999998</v>
      </c>
      <c r="G10" s="44">
        <f>2196-446</f>
        <v>1750</v>
      </c>
      <c r="H10" s="36">
        <f t="shared" si="1"/>
        <v>141676.76499999998</v>
      </c>
      <c r="I10" s="41"/>
      <c r="J10" s="40">
        <v>17535</v>
      </c>
      <c r="K10" s="40">
        <f>0.161*J10</f>
        <v>2823.1350000000002</v>
      </c>
      <c r="L10" s="40">
        <v>2184.12</v>
      </c>
      <c r="M10" s="42"/>
      <c r="N10" s="37">
        <f t="shared" ref="N10:N12" si="4">H10/J10</f>
        <v>8.0796558311947528</v>
      </c>
      <c r="O10" s="37">
        <f t="shared" si="2"/>
        <v>50.18419770928417</v>
      </c>
      <c r="P10" s="37">
        <f t="shared" si="3"/>
        <v>64.065511510356572</v>
      </c>
    </row>
    <row r="11" spans="1:16" ht="15.6" x14ac:dyDescent="0.3">
      <c r="B11" s="38" t="s">
        <v>43</v>
      </c>
      <c r="C11" s="39" t="s">
        <v>49</v>
      </c>
      <c r="D11" s="43">
        <v>1027.9000000000001</v>
      </c>
      <c r="E11" s="40">
        <v>102.3</v>
      </c>
      <c r="F11" s="36">
        <f t="shared" si="0"/>
        <v>105154.17000000001</v>
      </c>
      <c r="G11" s="44">
        <f>4113-547</f>
        <v>3566</v>
      </c>
      <c r="H11" s="36">
        <f t="shared" si="1"/>
        <v>108720.17000000001</v>
      </c>
      <c r="I11" s="41"/>
      <c r="J11" s="40">
        <v>14364.29</v>
      </c>
      <c r="K11" s="40">
        <f>0.2191*J11</f>
        <v>3147.2159390000002</v>
      </c>
      <c r="L11" s="40">
        <v>1987.98</v>
      </c>
      <c r="M11" s="42"/>
      <c r="N11" s="37">
        <f t="shared" si="4"/>
        <v>7.568781332039384</v>
      </c>
      <c r="O11" s="37">
        <f t="shared" si="2"/>
        <v>34.544871437879436</v>
      </c>
      <c r="P11" s="37">
        <f t="shared" si="3"/>
        <v>52.894983852956273</v>
      </c>
    </row>
    <row r="12" spans="1:16" ht="15.6" x14ac:dyDescent="0.3">
      <c r="B12" s="38" t="s">
        <v>44</v>
      </c>
      <c r="C12" s="39" t="s">
        <v>50</v>
      </c>
      <c r="D12" s="43">
        <v>1083.5999999999999</v>
      </c>
      <c r="E12" s="40">
        <v>98.95</v>
      </c>
      <c r="F12" s="36">
        <f t="shared" si="0"/>
        <v>107222.22</v>
      </c>
      <c r="G12" s="44">
        <f>2576-2454</f>
        <v>122</v>
      </c>
      <c r="H12" s="36">
        <f t="shared" si="1"/>
        <v>107344.22</v>
      </c>
      <c r="I12" s="41"/>
      <c r="J12" s="40">
        <v>17618.3</v>
      </c>
      <c r="K12" s="40">
        <v>2502</v>
      </c>
      <c r="L12" s="40">
        <v>1287.0999999999999</v>
      </c>
      <c r="M12" s="42"/>
      <c r="N12" s="37">
        <f t="shared" si="4"/>
        <v>6.0927683147636271</v>
      </c>
      <c r="O12" s="37">
        <f t="shared" si="2"/>
        <v>42.903365307753795</v>
      </c>
      <c r="P12" s="37">
        <f t="shared" si="3"/>
        <v>83.305275425374887</v>
      </c>
    </row>
    <row r="13" spans="1:16" ht="15.6" x14ac:dyDescent="0.3">
      <c r="E13" s="22"/>
    </row>
    <row r="14" spans="1:16" ht="15.6" x14ac:dyDescent="0.3">
      <c r="A14" s="18" t="s">
        <v>52</v>
      </c>
      <c r="B14" s="1" t="s">
        <v>28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3">
        <f>MAX(N8:N12)</f>
        <v>8.0796558311947528</v>
      </c>
      <c r="O14" s="23">
        <f t="shared" ref="O14:P14" si="5">MAX(O8:O12)</f>
        <v>50.18419770928417</v>
      </c>
      <c r="P14" s="23">
        <f t="shared" si="5"/>
        <v>83.305275425374887</v>
      </c>
    </row>
    <row r="15" spans="1:16" ht="15.6" x14ac:dyDescent="0.3">
      <c r="B15" s="1" t="s">
        <v>29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3">
        <f>QUARTILE(N8:N12,3)</f>
        <v>7.568781332039384</v>
      </c>
      <c r="O15" s="23">
        <f t="shared" ref="O15:P15" si="6">QUARTILE(O8:O12,)</f>
        <v>15.373760665972943</v>
      </c>
      <c r="P15" s="23">
        <f t="shared" si="6"/>
        <v>10.927551773837401</v>
      </c>
    </row>
    <row r="16" spans="1:16" ht="15.6" x14ac:dyDescent="0.3">
      <c r="B16" s="24" t="s">
        <v>30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>
        <f>AVERAGE(N8:N12)</f>
        <v>6.4047598610729732</v>
      </c>
      <c r="O16" s="25">
        <f t="shared" ref="O16:P16" si="7">AVERAGE(O8:O12)</f>
        <v>34.194876307310167</v>
      </c>
      <c r="P16" s="25">
        <f t="shared" si="7"/>
        <v>49.650370950009822</v>
      </c>
    </row>
    <row r="17" spans="1:16" ht="15.6" x14ac:dyDescent="0.3">
      <c r="B17" s="24" t="s">
        <v>31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5">
        <f>MEDIAN(N9:N13)</f>
        <v>6.8307748234015051</v>
      </c>
      <c r="O17" s="25">
        <f>MEDIAN(O9:O13)</f>
        <v>38.724118372816619</v>
      </c>
      <c r="P17" s="25">
        <f>MEDIAN(P9:P13)</f>
        <v>58.480247681656422</v>
      </c>
    </row>
    <row r="18" spans="1:16" ht="15.6" x14ac:dyDescent="0.3">
      <c r="B18" s="1" t="s">
        <v>32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3">
        <f>QUARTILE(N8:N12,)</f>
        <v>4.5256956079672817</v>
      </c>
      <c r="O18" s="23">
        <f t="shared" ref="O18:P18" si="8">QUARTILE(O8:O12,)</f>
        <v>15.373760665972943</v>
      </c>
      <c r="P18" s="23">
        <f t="shared" si="8"/>
        <v>10.927551773837401</v>
      </c>
    </row>
    <row r="19" spans="1:16" ht="15.6" x14ac:dyDescent="0.3">
      <c r="B19" s="1" t="s">
        <v>33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3">
        <f>MIN(N8:N12)</f>
        <v>4.5256956079672817</v>
      </c>
      <c r="O19" s="23">
        <f t="shared" ref="O19:P19" si="9">MIN(O8:O12)</f>
        <v>15.373760665972943</v>
      </c>
      <c r="P19" s="23">
        <f t="shared" si="9"/>
        <v>10.927551773837401</v>
      </c>
    </row>
    <row r="20" spans="1:16" ht="15.6" x14ac:dyDescent="0.3"/>
    <row r="21" spans="1:16" ht="15.6" x14ac:dyDescent="0.3">
      <c r="A21" s="18" t="s">
        <v>52</v>
      </c>
      <c r="B21" s="4" t="s">
        <v>39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7" t="s">
        <v>13</v>
      </c>
      <c r="O21" s="7" t="s">
        <v>14</v>
      </c>
      <c r="P21" s="7" t="s">
        <v>15</v>
      </c>
    </row>
    <row r="22" spans="1:16" ht="15.6" x14ac:dyDescent="0.3">
      <c r="B22" s="18" t="s">
        <v>35</v>
      </c>
      <c r="J22" s="27"/>
      <c r="N22" s="22">
        <f>J7*N17</f>
        <v>431165.33762792638</v>
      </c>
      <c r="O22" s="22">
        <f>K7*O17</f>
        <v>553328.92742917663</v>
      </c>
      <c r="P22" s="22"/>
    </row>
    <row r="23" spans="1:16" ht="15.6" x14ac:dyDescent="0.3">
      <c r="B23" s="18" t="s">
        <v>8</v>
      </c>
      <c r="G23" s="21"/>
      <c r="J23" s="27"/>
      <c r="N23" s="22">
        <f>G7</f>
        <v>-5784</v>
      </c>
      <c r="O23" s="22">
        <f>N23</f>
        <v>-5784</v>
      </c>
      <c r="P23" s="22"/>
    </row>
    <row r="24" spans="1:16" ht="15.6" x14ac:dyDescent="0.3">
      <c r="B24" s="18" t="s">
        <v>36</v>
      </c>
      <c r="G24" s="21"/>
      <c r="J24" s="27"/>
      <c r="N24" s="22">
        <f>N22-N23</f>
        <v>436949.33762792638</v>
      </c>
      <c r="O24" s="22">
        <f>O22-O23</f>
        <v>559112.92742917663</v>
      </c>
      <c r="P24" s="22">
        <f>F7</f>
        <v>507600</v>
      </c>
    </row>
    <row r="25" spans="1:16" ht="15.6" x14ac:dyDescent="0.3">
      <c r="B25" s="18" t="s">
        <v>6</v>
      </c>
      <c r="G25" s="21"/>
      <c r="N25" s="22">
        <f>E7</f>
        <v>235</v>
      </c>
      <c r="O25" s="22">
        <f>N25</f>
        <v>235</v>
      </c>
      <c r="P25" s="22">
        <f>O25</f>
        <v>235</v>
      </c>
    </row>
    <row r="26" spans="1:16" ht="15.6" x14ac:dyDescent="0.3">
      <c r="A26" s="18" t="s">
        <v>52</v>
      </c>
      <c r="B26" s="28" t="s">
        <v>37</v>
      </c>
      <c r="C26" s="28"/>
      <c r="D26" s="29"/>
      <c r="E26" s="29"/>
      <c r="F26" s="28"/>
      <c r="G26" s="30"/>
      <c r="H26" s="28"/>
      <c r="I26" s="28"/>
      <c r="J26" s="28"/>
      <c r="K26" s="28"/>
      <c r="L26" s="28"/>
      <c r="M26" s="28"/>
      <c r="N26" s="31">
        <f>N24/N25</f>
        <v>1859.358883523091</v>
      </c>
      <c r="O26" s="31">
        <f>O24/O25</f>
        <v>2379.2039465071348</v>
      </c>
      <c r="P26" s="31">
        <f>P24/P25</f>
        <v>2160</v>
      </c>
    </row>
    <row r="27" spans="1:16" ht="15.6" x14ac:dyDescent="0.3">
      <c r="E27" s="27"/>
      <c r="G27" s="21"/>
      <c r="N27" t="str">
        <f>IF(D7&lt;N26,"Undervalued","Overvalued")</f>
        <v>Overvalued</v>
      </c>
      <c r="O27" t="str">
        <f t="shared" ref="O27" si="10">IF(E7&lt;O26,"Undervalued","Overvalued")</f>
        <v>Undervalued</v>
      </c>
      <c r="P27" t="str">
        <f>IF(F7&lt;P26,"Undervalued","Overvalued")</f>
        <v>Overvalued</v>
      </c>
    </row>
    <row r="28" spans="1:16" ht="15.6" x14ac:dyDescent="0.3">
      <c r="D28" s="27"/>
      <c r="E28" s="27"/>
      <c r="G28" s="21"/>
      <c r="N28" s="18"/>
    </row>
    <row r="29" spans="1:16" ht="15.6" x14ac:dyDescent="0.3">
      <c r="D29" s="27"/>
      <c r="E29" s="27"/>
    </row>
    <row r="30" spans="1:16" ht="15.6" x14ac:dyDescent="0.3">
      <c r="D30" s="27"/>
      <c r="E30" s="27"/>
    </row>
  </sheetData>
  <mergeCells count="3">
    <mergeCell ref="D4:H4"/>
    <mergeCell ref="J4:L4"/>
    <mergeCell ref="N4:P4"/>
  </mergeCells>
  <conditionalFormatting sqref="N27:P27">
    <cfRule type="containsText" dxfId="3" priority="3" operator="containsText" text="Overvalued">
      <formula>NOT(ISERROR(SEARCH("Overvalued",N27)))</formula>
    </cfRule>
    <cfRule type="containsText" dxfId="2" priority="4" operator="containsText" text="Undervalued">
      <formula>NOT(ISERROR(SEARCH("Undervalued",N27)))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showGridLines="0" zoomScaleNormal="100" workbookViewId="0">
      <selection activeCell="F25" sqref="F25"/>
    </sheetView>
  </sheetViews>
  <sheetFormatPr defaultColWidth="11.19921875" defaultRowHeight="15" customHeight="1" x14ac:dyDescent="0.3"/>
  <cols>
    <col min="2" max="3" width="14.09765625" customWidth="1"/>
    <col min="4" max="4" width="10.3984375" customWidth="1"/>
    <col min="5" max="5" width="11.5" customWidth="1"/>
    <col min="6" max="7" width="11.3984375" customWidth="1"/>
    <col min="8" max="8" width="10.59765625" customWidth="1"/>
    <col min="9" max="9" width="3.69921875" customWidth="1"/>
    <col min="10" max="10" width="11.5" customWidth="1"/>
    <col min="11" max="12" width="10.59765625" customWidth="1"/>
    <col min="13" max="13" width="3.69921875" customWidth="1"/>
    <col min="14" max="14" width="11.5" customWidth="1"/>
    <col min="15" max="26" width="10.59765625" customWidth="1"/>
  </cols>
  <sheetData>
    <row r="1" spans="1:16" ht="15.6" x14ac:dyDescent="0.3"/>
    <row r="2" spans="1:16" ht="23.4" x14ac:dyDescent="0.45">
      <c r="B2" s="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5.6" x14ac:dyDescent="0.3"/>
    <row r="4" spans="1:16" ht="15.6" x14ac:dyDescent="0.3">
      <c r="B4" s="4"/>
      <c r="C4" s="4"/>
      <c r="D4" s="55" t="s">
        <v>0</v>
      </c>
      <c r="E4" s="56"/>
      <c r="F4" s="56"/>
      <c r="G4" s="56"/>
      <c r="H4" s="57"/>
      <c r="I4" s="4"/>
      <c r="J4" s="55" t="s">
        <v>1</v>
      </c>
      <c r="K4" s="56"/>
      <c r="L4" s="57"/>
      <c r="M4" s="4"/>
      <c r="N4" s="55" t="s">
        <v>2</v>
      </c>
      <c r="O4" s="56"/>
      <c r="P4" s="57"/>
    </row>
    <row r="5" spans="1:16" ht="31.2" x14ac:dyDescent="0.3">
      <c r="A5" s="18" t="s">
        <v>52</v>
      </c>
      <c r="B5" s="5" t="s">
        <v>3</v>
      </c>
      <c r="C5" s="5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7"/>
      <c r="J5" s="7" t="s">
        <v>10</v>
      </c>
      <c r="K5" s="7" t="s">
        <v>11</v>
      </c>
      <c r="L5" s="7" t="s">
        <v>12</v>
      </c>
      <c r="M5" s="7"/>
      <c r="N5" s="7" t="s">
        <v>13</v>
      </c>
      <c r="O5" s="7" t="s">
        <v>14</v>
      </c>
      <c r="P5" s="7" t="s">
        <v>15</v>
      </c>
    </row>
    <row r="6" spans="1:16" ht="9" customHeight="1" x14ac:dyDescent="0.3">
      <c r="B6" s="8"/>
      <c r="C6" s="8"/>
      <c r="D6" s="9"/>
      <c r="E6" s="9"/>
      <c r="F6" s="9"/>
      <c r="G6" s="9"/>
      <c r="H6" s="9"/>
      <c r="I6" s="10"/>
      <c r="J6" s="10"/>
      <c r="K6" s="10"/>
      <c r="L6" s="10"/>
      <c r="M6" s="10"/>
      <c r="N6" s="10"/>
      <c r="O6" s="10"/>
      <c r="P6" s="10"/>
    </row>
    <row r="7" spans="1:16" ht="15.6" x14ac:dyDescent="0.3">
      <c r="B7" s="11" t="s">
        <v>16</v>
      </c>
      <c r="C7" s="12" t="s">
        <v>17</v>
      </c>
      <c r="D7" s="13">
        <v>11.44</v>
      </c>
      <c r="E7" s="14">
        <v>125</v>
      </c>
      <c r="F7" s="15"/>
      <c r="G7" s="14">
        <v>740</v>
      </c>
      <c r="H7" s="15"/>
      <c r="I7" s="14"/>
      <c r="J7" s="14">
        <v>845</v>
      </c>
      <c r="K7" s="14">
        <v>305</v>
      </c>
      <c r="L7" s="14">
        <v>135</v>
      </c>
      <c r="M7" s="15"/>
      <c r="N7" s="16"/>
      <c r="O7" s="16"/>
      <c r="P7" s="17"/>
    </row>
    <row r="8" spans="1:16" ht="15.6" x14ac:dyDescent="0.3">
      <c r="B8" s="18" t="s">
        <v>18</v>
      </c>
      <c r="C8" s="19" t="s">
        <v>19</v>
      </c>
      <c r="D8" s="20">
        <v>8.43</v>
      </c>
      <c r="E8" s="21">
        <v>150</v>
      </c>
      <c r="F8" s="15"/>
      <c r="G8" s="21">
        <v>600</v>
      </c>
      <c r="H8" s="15"/>
      <c r="I8" s="21"/>
      <c r="J8" s="21">
        <v>678</v>
      </c>
      <c r="K8" s="21">
        <v>220</v>
      </c>
      <c r="L8" s="21">
        <v>109</v>
      </c>
      <c r="M8" s="22"/>
      <c r="N8" s="16"/>
      <c r="O8" s="16"/>
      <c r="P8" s="17"/>
    </row>
    <row r="9" spans="1:16" ht="15.6" x14ac:dyDescent="0.3">
      <c r="B9" s="18" t="s">
        <v>20</v>
      </c>
      <c r="C9" s="19" t="s">
        <v>21</v>
      </c>
      <c r="D9" s="20">
        <v>3.19</v>
      </c>
      <c r="E9" s="21">
        <v>350</v>
      </c>
      <c r="F9" s="15"/>
      <c r="G9" s="21">
        <v>414</v>
      </c>
      <c r="H9" s="15"/>
      <c r="I9" s="21"/>
      <c r="J9" s="21">
        <v>505</v>
      </c>
      <c r="K9" s="21">
        <v>253</v>
      </c>
      <c r="L9" s="21">
        <v>112</v>
      </c>
      <c r="M9" s="22"/>
      <c r="N9" s="16"/>
      <c r="O9" s="16"/>
      <c r="P9" s="17"/>
    </row>
    <row r="10" spans="1:16" ht="15.6" x14ac:dyDescent="0.3">
      <c r="B10" s="18" t="s">
        <v>22</v>
      </c>
      <c r="C10" s="19" t="s">
        <v>23</v>
      </c>
      <c r="D10" s="20">
        <v>7.6510000000000007</v>
      </c>
      <c r="E10" s="21">
        <v>175</v>
      </c>
      <c r="F10" s="15"/>
      <c r="G10" s="21">
        <v>936</v>
      </c>
      <c r="H10" s="15"/>
      <c r="I10" s="21"/>
      <c r="J10" s="21">
        <v>1045</v>
      </c>
      <c r="K10" s="21">
        <v>287</v>
      </c>
      <c r="L10" s="21">
        <v>148</v>
      </c>
      <c r="M10" s="22"/>
      <c r="N10" s="16"/>
      <c r="O10" s="16"/>
      <c r="P10" s="17"/>
    </row>
    <row r="11" spans="1:16" ht="15.6" x14ac:dyDescent="0.3">
      <c r="B11" s="18" t="s">
        <v>24</v>
      </c>
      <c r="C11" s="19" t="s">
        <v>25</v>
      </c>
      <c r="D11" s="20">
        <v>23.544999999999998</v>
      </c>
      <c r="E11" s="21">
        <v>75</v>
      </c>
      <c r="F11" s="15"/>
      <c r="G11" s="21">
        <v>948</v>
      </c>
      <c r="H11" s="15"/>
      <c r="I11" s="21"/>
      <c r="J11" s="21">
        <v>1181.44</v>
      </c>
      <c r="K11" s="21">
        <v>349</v>
      </c>
      <c r="L11" s="21">
        <v>237</v>
      </c>
      <c r="M11" s="22"/>
      <c r="N11" s="16"/>
      <c r="O11" s="16"/>
      <c r="P11" s="17"/>
    </row>
    <row r="12" spans="1:16" ht="15.6" x14ac:dyDescent="0.3">
      <c r="B12" s="18" t="s">
        <v>26</v>
      </c>
      <c r="C12" s="19" t="s">
        <v>27</v>
      </c>
      <c r="D12" s="20">
        <v>12.770999999999999</v>
      </c>
      <c r="E12" s="21">
        <v>100</v>
      </c>
      <c r="F12" s="15"/>
      <c r="G12" s="21">
        <v>300</v>
      </c>
      <c r="H12" s="15"/>
      <c r="I12" s="21"/>
      <c r="J12" s="21">
        <v>1411.48</v>
      </c>
      <c r="K12" s="21">
        <v>407</v>
      </c>
      <c r="L12" s="21">
        <v>279</v>
      </c>
      <c r="M12" s="22"/>
      <c r="N12" s="16"/>
      <c r="O12" s="16"/>
      <c r="P12" s="17"/>
    </row>
    <row r="13" spans="1:16" ht="15.6" x14ac:dyDescent="0.3">
      <c r="E13" s="22"/>
    </row>
    <row r="14" spans="1:16" ht="15.6" x14ac:dyDescent="0.3">
      <c r="A14" s="18" t="s">
        <v>52</v>
      </c>
      <c r="B14" s="1" t="s">
        <v>28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3"/>
      <c r="O14" s="23"/>
      <c r="P14" s="23"/>
    </row>
    <row r="15" spans="1:16" ht="15.6" x14ac:dyDescent="0.3">
      <c r="B15" s="1" t="s">
        <v>29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3"/>
      <c r="O15" s="23"/>
      <c r="P15" s="23"/>
    </row>
    <row r="16" spans="1:16" ht="15.6" x14ac:dyDescent="0.3">
      <c r="B16" s="24" t="s">
        <v>30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/>
      <c r="O16" s="25"/>
      <c r="P16" s="25"/>
    </row>
    <row r="17" spans="1:16" ht="15.6" x14ac:dyDescent="0.3">
      <c r="B17" s="24" t="s">
        <v>31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5"/>
      <c r="O17" s="25"/>
      <c r="P17" s="25"/>
    </row>
    <row r="18" spans="1:16" ht="15.6" x14ac:dyDescent="0.3">
      <c r="B18" s="1" t="s">
        <v>32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3"/>
      <c r="O18" s="23"/>
      <c r="P18" s="23"/>
    </row>
    <row r="19" spans="1:16" ht="15.6" x14ac:dyDescent="0.3">
      <c r="B19" s="1" t="s">
        <v>33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3"/>
      <c r="O19" s="23"/>
      <c r="P19" s="23"/>
    </row>
    <row r="20" spans="1:16" ht="15.6" x14ac:dyDescent="0.3"/>
    <row r="21" spans="1:16" ht="15.6" x14ac:dyDescent="0.3">
      <c r="A21" s="18" t="s">
        <v>52</v>
      </c>
      <c r="B21" s="4" t="s">
        <v>34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7" t="s">
        <v>13</v>
      </c>
      <c r="O21" s="7" t="s">
        <v>14</v>
      </c>
      <c r="P21" s="7" t="s">
        <v>15</v>
      </c>
    </row>
    <row r="22" spans="1:16" ht="15.6" x14ac:dyDescent="0.3">
      <c r="B22" s="18" t="s">
        <v>35</v>
      </c>
      <c r="J22" s="27"/>
      <c r="N22" s="22"/>
      <c r="O22" s="22"/>
      <c r="P22" s="22"/>
    </row>
    <row r="23" spans="1:16" ht="15.6" x14ac:dyDescent="0.3">
      <c r="B23" s="18" t="s">
        <v>8</v>
      </c>
      <c r="G23" s="21"/>
      <c r="J23" s="27"/>
      <c r="N23" s="22"/>
      <c r="O23" s="22"/>
      <c r="P23" s="22"/>
    </row>
    <row r="24" spans="1:16" ht="15.6" x14ac:dyDescent="0.3">
      <c r="B24" s="18" t="s">
        <v>36</v>
      </c>
      <c r="G24" s="21"/>
      <c r="J24" s="27"/>
      <c r="N24" s="22"/>
      <c r="O24" s="22"/>
      <c r="P24" s="22"/>
    </row>
    <row r="25" spans="1:16" ht="15.6" x14ac:dyDescent="0.3">
      <c r="B25" s="18" t="s">
        <v>6</v>
      </c>
      <c r="G25" s="21"/>
      <c r="N25" s="22"/>
      <c r="O25" s="22"/>
      <c r="P25" s="22"/>
    </row>
    <row r="26" spans="1:16" ht="15.6" x14ac:dyDescent="0.3">
      <c r="A26" s="18" t="s">
        <v>52</v>
      </c>
      <c r="B26" s="28" t="s">
        <v>37</v>
      </c>
      <c r="C26" s="28"/>
      <c r="D26" s="29"/>
      <c r="E26" s="29"/>
      <c r="F26" s="28"/>
      <c r="G26" s="30"/>
      <c r="H26" s="28"/>
      <c r="I26" s="28"/>
      <c r="J26" s="28"/>
      <c r="K26" s="28"/>
      <c r="L26" s="28"/>
      <c r="M26" s="28"/>
      <c r="N26" s="31"/>
      <c r="O26" s="31"/>
      <c r="P26" s="31"/>
    </row>
    <row r="27" spans="1:16" ht="15.6" x14ac:dyDescent="0.3">
      <c r="D27" s="27"/>
      <c r="E27" s="27"/>
      <c r="G27" s="21"/>
    </row>
    <row r="28" spans="1:16" ht="15.6" x14ac:dyDescent="0.3">
      <c r="D28" s="27"/>
      <c r="E28" s="27"/>
      <c r="G28" s="21"/>
    </row>
    <row r="29" spans="1:16" ht="15.6" x14ac:dyDescent="0.3">
      <c r="D29" s="27"/>
      <c r="E29" s="27"/>
    </row>
    <row r="30" spans="1:16" ht="15.6" x14ac:dyDescent="0.3">
      <c r="D30" s="27"/>
      <c r="E30" s="27"/>
    </row>
  </sheetData>
  <mergeCells count="3">
    <mergeCell ref="D4:H4"/>
    <mergeCell ref="J4:L4"/>
    <mergeCell ref="N4:P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0095-4A22-42A2-A62B-59744C7A2511}">
  <dimension ref="B2:Q27"/>
  <sheetViews>
    <sheetView showGridLines="0" tabSelected="1" topLeftCell="A5" zoomScale="99" workbookViewId="0">
      <selection activeCell="H12" sqref="H12"/>
    </sheetView>
  </sheetViews>
  <sheetFormatPr defaultRowHeight="15.6" x14ac:dyDescent="0.3"/>
  <cols>
    <col min="2" max="2" width="1.796875" bestFit="1" customWidth="1"/>
    <col min="3" max="3" width="25.69921875" customWidth="1"/>
    <col min="4" max="4" width="13.5" bestFit="1" customWidth="1"/>
    <col min="5" max="5" width="10.3984375" bestFit="1" customWidth="1"/>
    <col min="6" max="6" width="12.19921875" customWidth="1"/>
    <col min="7" max="7" width="10.09765625" bestFit="1" customWidth="1"/>
    <col min="8" max="8" width="8.5" bestFit="1" customWidth="1"/>
    <col min="9" max="9" width="9.8984375" customWidth="1"/>
    <col min="11" max="11" width="10.296875" bestFit="1" customWidth="1"/>
    <col min="12" max="12" width="7.59765625" bestFit="1" customWidth="1"/>
    <col min="13" max="13" width="10.5" bestFit="1" customWidth="1"/>
    <col min="15" max="15" width="11.19921875" bestFit="1" customWidth="1"/>
    <col min="16" max="16" width="11.69921875" bestFit="1" customWidth="1"/>
    <col min="17" max="17" width="10.3984375" bestFit="1" customWidth="1"/>
  </cols>
  <sheetData>
    <row r="2" spans="2:17" ht="23.4" x14ac:dyDescent="0.45">
      <c r="B2" s="18" t="s">
        <v>53</v>
      </c>
      <c r="C2" s="2" t="s">
        <v>54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spans="2:17" x14ac:dyDescent="0.3">
      <c r="C4" s="32"/>
      <c r="D4" s="32"/>
      <c r="E4" s="52" t="s">
        <v>0</v>
      </c>
      <c r="F4" s="53"/>
      <c r="G4" s="53"/>
      <c r="H4" s="53"/>
      <c r="I4" s="54"/>
      <c r="J4" s="4"/>
      <c r="K4" s="52" t="s">
        <v>1</v>
      </c>
      <c r="L4" s="53"/>
      <c r="M4" s="54"/>
      <c r="N4" s="32"/>
      <c r="O4" s="52" t="s">
        <v>2</v>
      </c>
      <c r="P4" s="53"/>
      <c r="Q4" s="54"/>
    </row>
    <row r="5" spans="2:17" ht="31.2" x14ac:dyDescent="0.3">
      <c r="C5" s="34" t="s">
        <v>3</v>
      </c>
      <c r="D5" s="34" t="s">
        <v>4</v>
      </c>
      <c r="E5" s="35" t="s">
        <v>5</v>
      </c>
      <c r="F5" s="35" t="s">
        <v>6</v>
      </c>
      <c r="G5" s="35" t="s">
        <v>7</v>
      </c>
      <c r="H5" s="35" t="s">
        <v>8</v>
      </c>
      <c r="I5" s="35" t="s">
        <v>9</v>
      </c>
      <c r="J5" s="7"/>
      <c r="K5" s="33" t="s">
        <v>10</v>
      </c>
      <c r="L5" s="33" t="s">
        <v>11</v>
      </c>
      <c r="M5" s="33" t="s">
        <v>12</v>
      </c>
      <c r="N5" s="33"/>
      <c r="O5" s="33" t="s">
        <v>13</v>
      </c>
      <c r="P5" s="33" t="s">
        <v>14</v>
      </c>
      <c r="Q5" s="33" t="s">
        <v>15</v>
      </c>
    </row>
    <row r="6" spans="2:17" x14ac:dyDescent="0.3">
      <c r="C6" s="8"/>
      <c r="D6" s="8"/>
      <c r="E6" s="9"/>
      <c r="F6" s="9"/>
      <c r="G6" s="9"/>
      <c r="H6" s="9"/>
      <c r="I6" s="9"/>
      <c r="J6" s="10"/>
      <c r="K6" s="10"/>
      <c r="L6" s="10"/>
      <c r="M6" s="10"/>
      <c r="N6" s="10"/>
      <c r="O6" s="10"/>
      <c r="P6" s="10"/>
      <c r="Q6" s="10"/>
    </row>
    <row r="7" spans="2:17" ht="15.6" customHeight="1" x14ac:dyDescent="0.3">
      <c r="B7" s="18" t="s">
        <v>52</v>
      </c>
      <c r="C7" s="45" t="s">
        <v>55</v>
      </c>
      <c r="D7" s="46" t="s">
        <v>60</v>
      </c>
      <c r="E7" s="47">
        <v>12591</v>
      </c>
      <c r="F7" s="48">
        <v>31.4</v>
      </c>
      <c r="G7" s="49">
        <f>E7*F7</f>
        <v>395357.39999999997</v>
      </c>
      <c r="H7" s="50">
        <f>99.9-2827</f>
        <v>-2727.1</v>
      </c>
      <c r="I7" s="49">
        <f>G7+H7</f>
        <v>392630.3</v>
      </c>
      <c r="J7" s="49"/>
      <c r="K7" s="48">
        <v>156650.5</v>
      </c>
      <c r="L7" s="48">
        <v>14625.9</v>
      </c>
      <c r="M7" s="48">
        <v>13955.2</v>
      </c>
      <c r="N7" s="49"/>
      <c r="O7" s="51">
        <f>I7/K7</f>
        <v>2.5064094911921759</v>
      </c>
      <c r="P7" s="51">
        <f>I7/L7</f>
        <v>26.84486424767023</v>
      </c>
      <c r="Q7" s="51">
        <f>G7/M7</f>
        <v>28.330471795459754</v>
      </c>
    </row>
    <row r="8" spans="2:17" x14ac:dyDescent="0.3">
      <c r="C8" s="38" t="s">
        <v>56</v>
      </c>
      <c r="D8" s="39" t="s">
        <v>61</v>
      </c>
      <c r="E8" s="43">
        <v>2931</v>
      </c>
      <c r="F8" s="40">
        <v>124</v>
      </c>
      <c r="G8" s="36">
        <f t="shared" ref="G8:G12" si="0">E8*F8</f>
        <v>363444</v>
      </c>
      <c r="H8" s="44">
        <f>126709-12013</f>
        <v>114696</v>
      </c>
      <c r="I8" s="36">
        <f t="shared" ref="I8:I12" si="1">G8+H8</f>
        <v>478140</v>
      </c>
      <c r="J8" s="41"/>
      <c r="K8" s="40">
        <v>120336</v>
      </c>
      <c r="L8" s="40">
        <v>18416</v>
      </c>
      <c r="M8" s="40">
        <v>14073.32</v>
      </c>
      <c r="N8" s="42"/>
      <c r="O8" s="37">
        <f t="shared" ref="O8:O12" si="2">I8/K8</f>
        <v>3.973374551256482</v>
      </c>
      <c r="P8" s="37">
        <f t="shared" ref="P8:P12" si="3">I8/L8</f>
        <v>25.963292788879237</v>
      </c>
      <c r="Q8" s="37">
        <f t="shared" ref="Q8:Q12" si="4">G8/M8</f>
        <v>25.825036309840179</v>
      </c>
    </row>
    <row r="9" spans="2:17" x14ac:dyDescent="0.3">
      <c r="C9" s="38" t="s">
        <v>57</v>
      </c>
      <c r="D9" s="39" t="s">
        <v>62</v>
      </c>
      <c r="E9" s="43">
        <v>8875</v>
      </c>
      <c r="F9" s="40">
        <v>27.9</v>
      </c>
      <c r="G9" s="36">
        <f t="shared" si="0"/>
        <v>247612.5</v>
      </c>
      <c r="H9" s="44">
        <f>19693-955</f>
        <v>18738</v>
      </c>
      <c r="I9" s="36">
        <f t="shared" si="1"/>
        <v>266350.5</v>
      </c>
      <c r="J9" s="41"/>
      <c r="K9" s="40">
        <v>50994.55</v>
      </c>
      <c r="L9" s="40">
        <v>10101</v>
      </c>
      <c r="M9" s="40">
        <v>7324.73</v>
      </c>
      <c r="N9" s="42"/>
      <c r="O9" s="37">
        <f t="shared" si="2"/>
        <v>5.2231169801478785</v>
      </c>
      <c r="P9" s="37">
        <f t="shared" si="3"/>
        <v>26.368725868725868</v>
      </c>
      <c r="Q9" s="37">
        <f t="shared" si="4"/>
        <v>33.805000320830942</v>
      </c>
    </row>
    <row r="10" spans="2:17" x14ac:dyDescent="0.3">
      <c r="B10" s="18"/>
      <c r="C10" s="38" t="s">
        <v>58</v>
      </c>
      <c r="D10" s="39" t="s">
        <v>63</v>
      </c>
      <c r="E10" s="43">
        <v>6741</v>
      </c>
      <c r="F10" s="40">
        <v>27.4</v>
      </c>
      <c r="G10" s="36">
        <f t="shared" si="0"/>
        <v>184703.4</v>
      </c>
      <c r="H10" s="44">
        <f>446-146</f>
        <v>300</v>
      </c>
      <c r="I10" s="36">
        <f t="shared" si="1"/>
        <v>185003.4</v>
      </c>
      <c r="J10" s="41"/>
      <c r="K10" s="40">
        <v>18870.349999999999</v>
      </c>
      <c r="L10" s="40">
        <v>4454</v>
      </c>
      <c r="M10" s="40">
        <v>4504.12</v>
      </c>
      <c r="N10" s="42"/>
      <c r="O10" s="37">
        <f t="shared" si="2"/>
        <v>9.8039199060960716</v>
      </c>
      <c r="P10" s="37">
        <f t="shared" si="3"/>
        <v>41.536461607543778</v>
      </c>
      <c r="Q10" s="37">
        <f t="shared" si="4"/>
        <v>41.00765521344902</v>
      </c>
    </row>
    <row r="11" spans="2:17" x14ac:dyDescent="0.3">
      <c r="C11" s="38" t="s">
        <v>59</v>
      </c>
      <c r="D11" s="39" t="s">
        <v>64</v>
      </c>
      <c r="E11" s="43">
        <v>3324</v>
      </c>
      <c r="F11" s="40">
        <v>47.5</v>
      </c>
      <c r="G11" s="36">
        <f t="shared" si="0"/>
        <v>157890</v>
      </c>
      <c r="H11" s="44">
        <f>31589-2426</f>
        <v>29163</v>
      </c>
      <c r="I11" s="36">
        <f t="shared" si="1"/>
        <v>187053</v>
      </c>
      <c r="J11" s="41"/>
      <c r="K11" s="40">
        <v>44158.57</v>
      </c>
      <c r="L11" s="40">
        <v>5431.5</v>
      </c>
      <c r="M11" s="40">
        <v>2743.16</v>
      </c>
      <c r="N11" s="42"/>
      <c r="O11" s="37">
        <f t="shared" si="2"/>
        <v>4.23593879964863</v>
      </c>
      <c r="P11" s="37">
        <f t="shared" si="3"/>
        <v>34.43855288594311</v>
      </c>
      <c r="Q11" s="37">
        <f t="shared" si="4"/>
        <v>57.557707169833336</v>
      </c>
    </row>
    <row r="12" spans="2:17" x14ac:dyDescent="0.3">
      <c r="C12" s="38" t="s">
        <v>66</v>
      </c>
      <c r="D12" s="39" t="s">
        <v>65</v>
      </c>
      <c r="E12" s="43">
        <v>114</v>
      </c>
      <c r="F12" s="40">
        <v>1016</v>
      </c>
      <c r="G12" s="36">
        <f t="shared" si="0"/>
        <v>115824</v>
      </c>
      <c r="H12" s="44">
        <f>19777-6986</f>
        <v>12791</v>
      </c>
      <c r="I12" s="36">
        <f t="shared" si="1"/>
        <v>128615</v>
      </c>
      <c r="J12" s="41"/>
      <c r="K12" s="40">
        <v>101868</v>
      </c>
      <c r="L12" s="40">
        <v>3872.9</v>
      </c>
      <c r="M12" s="40">
        <v>1561</v>
      </c>
      <c r="N12" s="42"/>
      <c r="O12" s="37">
        <f t="shared" si="2"/>
        <v>1.262565280559155</v>
      </c>
      <c r="P12" s="37">
        <f t="shared" si="3"/>
        <v>33.208964858374863</v>
      </c>
      <c r="Q12" s="37">
        <f t="shared" si="4"/>
        <v>74.198590647021135</v>
      </c>
    </row>
    <row r="13" spans="2:17" x14ac:dyDescent="0.3">
      <c r="F13" s="22"/>
    </row>
    <row r="14" spans="2:17" x14ac:dyDescent="0.3">
      <c r="B14" s="18" t="s">
        <v>52</v>
      </c>
      <c r="C14" s="1" t="s">
        <v>28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3">
        <f>MAX(O8:O12)</f>
        <v>9.8039199060960716</v>
      </c>
      <c r="P14" s="23">
        <f t="shared" ref="P14:Q14" si="5">MAX(P8:P12)</f>
        <v>41.536461607543778</v>
      </c>
      <c r="Q14" s="23">
        <f t="shared" si="5"/>
        <v>74.198590647021135</v>
      </c>
    </row>
    <row r="15" spans="2:17" x14ac:dyDescent="0.3">
      <c r="C15" s="1" t="s">
        <v>29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3">
        <f>QUARTILE(O8:O12,3)</f>
        <v>5.2231169801478785</v>
      </c>
      <c r="P15" s="23">
        <f t="shared" ref="P15:Q15" si="6">QUARTILE(P8:P12,3)</f>
        <v>34.43855288594311</v>
      </c>
      <c r="Q15" s="23">
        <f t="shared" si="6"/>
        <v>57.557707169833336</v>
      </c>
    </row>
    <row r="16" spans="2:17" x14ac:dyDescent="0.3">
      <c r="C16" s="24" t="s">
        <v>30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5">
        <f>AVERAGE(O8:O12)</f>
        <v>4.899783103541643</v>
      </c>
      <c r="P16" s="25">
        <f t="shared" ref="P16:Q16" si="7">AVERAGE(P8:P12)</f>
        <v>32.303199601893375</v>
      </c>
      <c r="Q16" s="25">
        <f t="shared" si="7"/>
        <v>46.478797932194922</v>
      </c>
    </row>
    <row r="17" spans="2:17" x14ac:dyDescent="0.3">
      <c r="C17" s="24" t="s">
        <v>31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5">
        <f>MEDIAN(O8:O12)</f>
        <v>4.23593879964863</v>
      </c>
      <c r="P17" s="25">
        <f t="shared" ref="P17:Q17" si="8">MEDIAN(P8:P12)</f>
        <v>33.208964858374863</v>
      </c>
      <c r="Q17" s="25">
        <f t="shared" si="8"/>
        <v>41.00765521344902</v>
      </c>
    </row>
    <row r="18" spans="2:17" x14ac:dyDescent="0.3">
      <c r="C18" s="1" t="s">
        <v>32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3">
        <f>QUARTILE(O8:O12,1)</f>
        <v>3.973374551256482</v>
      </c>
      <c r="P18" s="23">
        <f t="shared" ref="P18:Q18" si="9">QUARTILE(P8:P12,1)</f>
        <v>26.368725868725868</v>
      </c>
      <c r="Q18" s="23">
        <f t="shared" si="9"/>
        <v>33.805000320830942</v>
      </c>
    </row>
    <row r="19" spans="2:17" x14ac:dyDescent="0.3">
      <c r="C19" s="1" t="s">
        <v>33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3">
        <f>MIN(O8:O12)</f>
        <v>1.262565280559155</v>
      </c>
      <c r="P19" s="23">
        <f t="shared" ref="P19:Q19" si="10">MIN(P8:P12)</f>
        <v>25.963292788879237</v>
      </c>
      <c r="Q19" s="23">
        <f t="shared" si="10"/>
        <v>25.825036309840179</v>
      </c>
    </row>
    <row r="21" spans="2:17" x14ac:dyDescent="0.3">
      <c r="B21" s="18" t="s">
        <v>52</v>
      </c>
      <c r="C21" s="4" t="s">
        <v>55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7" t="s">
        <v>13</v>
      </c>
      <c r="P21" s="7" t="s">
        <v>14</v>
      </c>
      <c r="Q21" s="7" t="s">
        <v>15</v>
      </c>
    </row>
    <row r="22" spans="2:17" x14ac:dyDescent="0.3">
      <c r="C22" s="18" t="s">
        <v>35</v>
      </c>
      <c r="K22" s="27"/>
      <c r="O22" s="22">
        <f>O17*I7</f>
        <v>1663157.9216876815</v>
      </c>
      <c r="P22" s="22">
        <f>I7*P17</f>
        <v>13038845.83503318</v>
      </c>
      <c r="Q22" s="22">
        <f>Q24+Q23</f>
        <v>569542.93003472383</v>
      </c>
    </row>
    <row r="23" spans="2:17" x14ac:dyDescent="0.3">
      <c r="C23" s="18" t="s">
        <v>8</v>
      </c>
      <c r="H23" s="21"/>
      <c r="K23" s="27"/>
      <c r="O23" s="22">
        <f>H7</f>
        <v>-2727.1</v>
      </c>
      <c r="P23" s="22">
        <f>O23</f>
        <v>-2727.1</v>
      </c>
      <c r="Q23" s="22">
        <f>P23</f>
        <v>-2727.1</v>
      </c>
    </row>
    <row r="24" spans="2:17" x14ac:dyDescent="0.3">
      <c r="C24" s="18" t="s">
        <v>36</v>
      </c>
      <c r="H24" s="21"/>
      <c r="K24" s="27"/>
      <c r="O24" s="22">
        <f>O22+O23</f>
        <v>1660430.8216876814</v>
      </c>
      <c r="P24" s="22">
        <f t="shared" ref="P24" si="11">P22+P23</f>
        <v>13036118.735033181</v>
      </c>
      <c r="Q24" s="22">
        <f>Q17*M7</f>
        <v>572270.03003472381</v>
      </c>
    </row>
    <row r="25" spans="2:17" x14ac:dyDescent="0.3">
      <c r="C25" s="18" t="s">
        <v>6</v>
      </c>
      <c r="H25" s="21"/>
      <c r="O25" s="22">
        <f>F7</f>
        <v>31.4</v>
      </c>
      <c r="P25" s="22">
        <f>O25</f>
        <v>31.4</v>
      </c>
      <c r="Q25" s="22">
        <f>P25</f>
        <v>31.4</v>
      </c>
    </row>
    <row r="26" spans="2:17" x14ac:dyDescent="0.3">
      <c r="B26" s="18" t="s">
        <v>52</v>
      </c>
      <c r="C26" s="28" t="s">
        <v>37</v>
      </c>
      <c r="D26" s="28"/>
      <c r="E26" s="29"/>
      <c r="F26" s="29"/>
      <c r="G26" s="28"/>
      <c r="H26" s="30"/>
      <c r="I26" s="28"/>
      <c r="J26" s="28"/>
      <c r="K26" s="28"/>
      <c r="L26" s="28"/>
      <c r="M26" s="28"/>
      <c r="N26" s="28"/>
      <c r="O26" s="31">
        <f>O24/O25</f>
        <v>52879.962474129985</v>
      </c>
      <c r="P26" s="31">
        <f>P24/P25</f>
        <v>415163.01703927328</v>
      </c>
      <c r="Q26" s="31">
        <f>Q22/Q25</f>
        <v>18138.30987371732</v>
      </c>
    </row>
    <row r="27" spans="2:17" x14ac:dyDescent="0.3">
      <c r="E27" s="27"/>
      <c r="F27" s="27"/>
      <c r="H27" s="21"/>
      <c r="O27" s="18"/>
    </row>
  </sheetData>
  <mergeCells count="3">
    <mergeCell ref="E4:I4"/>
    <mergeCell ref="K4:M4"/>
    <mergeCell ref="O4:Q4"/>
  </mergeCells>
  <conditionalFormatting sqref="O27:Q27">
    <cfRule type="containsText" dxfId="1" priority="1" operator="containsText" text="Overvalued">
      <formula>NOT(ISERROR(SEARCH("Overvalued",O27)))</formula>
    </cfRule>
    <cfRule type="containsText" dxfId="0" priority="2" operator="containsText" text="Undervalued">
      <formula>NOT(ISERROR(SEARCH("Undervalued",O27)))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 Req</vt:lpstr>
      <vt:lpstr>Start</vt:lpstr>
      <vt:lpstr>Automotive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Shivansh Chandra</cp:lastModifiedBy>
  <dcterms:created xsi:type="dcterms:W3CDTF">2021-12-06T10:27:27Z</dcterms:created>
  <dcterms:modified xsi:type="dcterms:W3CDTF">2026-03-30T11:40:31Z</dcterms:modified>
</cp:coreProperties>
</file>