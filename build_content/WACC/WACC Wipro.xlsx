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P&amp;A Practice\WACC\"/>
    </mc:Choice>
  </mc:AlternateContent>
  <xr:revisionPtr revIDLastSave="0" documentId="13_ncr:1_{B7DA33AC-1154-4000-9501-E98AEEE519FF}" xr6:coauthVersionLast="47" xr6:coauthVersionMax="47" xr10:uidLastSave="{00000000-0000-0000-0000-000000000000}"/>
  <bookViews>
    <workbookView xWindow="-108" yWindow="-108" windowWidth="23256" windowHeight="12456" xr2:uid="{F35E9220-BCFC-44DC-8CDE-188A8FB39A9D}"/>
  </bookViews>
  <sheets>
    <sheet name="Godrej Cons. Prod. WACC" sheetId="5" r:id="rId1"/>
    <sheet name="WIPRO WAC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5" l="1"/>
  <c r="C8" i="5"/>
  <c r="C11" i="5"/>
  <c r="I6" i="5"/>
  <c r="C13" i="1"/>
  <c r="I10" i="1"/>
  <c r="I6" i="1"/>
  <c r="I8" i="1" s="1"/>
  <c r="I9" i="1" s="1"/>
  <c r="F9" i="1"/>
  <c r="I8" i="5" l="1"/>
  <c r="I9" i="5" s="1"/>
  <c r="C12" i="5"/>
  <c r="C11" i="1"/>
  <c r="C8" i="1"/>
  <c r="C12" i="1" s="1"/>
  <c r="I10" i="5" l="1"/>
  <c r="C13" i="5" s="1"/>
</calcChain>
</file>

<file path=xl/sharedStrings.xml><?xml version="1.0" encoding="utf-8"?>
<sst xmlns="http://schemas.openxmlformats.org/spreadsheetml/2006/main" count="42" uniqueCount="21">
  <si>
    <t>WACC</t>
  </si>
  <si>
    <t>WACC WIPRO 21/3/26</t>
  </si>
  <si>
    <t>COST OF DEBT</t>
  </si>
  <si>
    <t>Interest Expense</t>
  </si>
  <si>
    <t>Total Debt</t>
  </si>
  <si>
    <t>Cost of Debt</t>
  </si>
  <si>
    <t>Income Tax Expense</t>
  </si>
  <si>
    <t>Effective Tax Rate</t>
  </si>
  <si>
    <t>COST OF EQUITY</t>
  </si>
  <si>
    <t>Risk Free Rate</t>
  </si>
  <si>
    <t>Beta</t>
  </si>
  <si>
    <t>Market Return</t>
  </si>
  <si>
    <t>Cost of Equity</t>
  </si>
  <si>
    <t>Cost of Debt after Tax</t>
  </si>
  <si>
    <t>WEIGHT OF DEBT AND EQUITY</t>
  </si>
  <si>
    <t>Income Before Tax</t>
  </si>
  <si>
    <t>market Cap</t>
  </si>
  <si>
    <t>Total</t>
  </si>
  <si>
    <t>Weight of Equity</t>
  </si>
  <si>
    <t>Weight Of Debt</t>
  </si>
  <si>
    <t>WACC GODREJCP 31/3/26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</si>
</sst>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20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2" xfId="0" applyFont="1" applyFill="1" applyBorder="1" applyAlignment="1">
      <alignment horizontal="centerContinuous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2" borderId="5" xfId="0" applyFont="1" applyFill="1" applyBorder="1"/>
    <xf numFmtId="0" fontId="4" fillId="2" borderId="1" xfId="0" applyFont="1" applyFill="1" applyBorder="1" applyAlignment="1">
      <alignment horizontal="centerContinuous"/>
    </xf>
    <xf numFmtId="10" fontId="1" fillId="0" borderId="4" xfId="0" applyNumberFormat="1" applyFont="1" applyBorder="1"/>
    <xf numFmtId="10" fontId="1" fillId="0" borderId="7" xfId="0" applyNumberFormat="1" applyFont="1" applyBorder="1"/>
    <xf numFmtId="3" fontId="1" fillId="0" borderId="4" xfId="0" applyNumberFormat="1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/>
    </xf>
    <xf numFmtId="10" fontId="3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8071-FBBE-4FEC-87D8-CD6DB096F017}">
  <dimension ref="B1:I13"/>
  <sheetViews>
    <sheetView showGridLines="0" tabSelected="1" topLeftCell="C1" workbookViewId="0">
      <selection activeCell="C13" sqref="C13:I13"/>
    </sheetView>
  </sheetViews>
  <sheetFormatPr defaultRowHeight="14.4" x14ac:dyDescent="0.3"/>
  <cols>
    <col min="2" max="2" width="19.77734375" bestFit="1" customWidth="1"/>
    <col min="3" max="3" width="12.33203125" bestFit="1" customWidth="1"/>
    <col min="5" max="5" width="13.5546875" bestFit="1" customWidth="1"/>
    <col min="6" max="6" width="7.6640625" bestFit="1" customWidth="1"/>
    <col min="8" max="8" width="15.44140625" bestFit="1" customWidth="1"/>
    <col min="9" max="9" width="19.77734375" customWidth="1"/>
  </cols>
  <sheetData>
    <row r="1" spans="2:9" ht="15" thickBot="1" x14ac:dyDescent="0.35"/>
    <row r="2" spans="2:9" x14ac:dyDescent="0.3">
      <c r="B2" s="11" t="s">
        <v>20</v>
      </c>
      <c r="C2" s="12"/>
      <c r="D2" s="12"/>
      <c r="E2" s="12"/>
      <c r="F2" s="12"/>
      <c r="G2" s="12"/>
      <c r="H2" s="12"/>
      <c r="I2" s="13"/>
    </row>
    <row r="3" spans="2:9" ht="15" thickBot="1" x14ac:dyDescent="0.35">
      <c r="B3" s="14"/>
      <c r="C3" s="15"/>
      <c r="D3" s="15"/>
      <c r="E3" s="15"/>
      <c r="F3" s="15"/>
      <c r="G3" s="15"/>
      <c r="H3" s="15"/>
      <c r="I3" s="16"/>
    </row>
    <row r="4" spans="2:9" ht="15.6" x14ac:dyDescent="0.3">
      <c r="B4" s="7" t="s">
        <v>2</v>
      </c>
      <c r="C4" s="2"/>
      <c r="D4" s="1"/>
      <c r="E4" s="7" t="s">
        <v>8</v>
      </c>
      <c r="F4" s="2"/>
      <c r="G4" s="1"/>
      <c r="H4" s="7" t="s">
        <v>14</v>
      </c>
      <c r="I4" s="2"/>
    </row>
    <row r="5" spans="2:9" x14ac:dyDescent="0.3">
      <c r="B5" s="3"/>
      <c r="C5" s="4"/>
      <c r="D5" s="1"/>
      <c r="E5" s="3"/>
      <c r="F5" s="4"/>
      <c r="G5" s="1"/>
      <c r="H5" s="3"/>
      <c r="I5" s="4"/>
    </row>
    <row r="6" spans="2:9" x14ac:dyDescent="0.3">
      <c r="B6" s="3" t="s">
        <v>3</v>
      </c>
      <c r="C6" s="10">
        <v>3111100</v>
      </c>
      <c r="D6" s="1"/>
      <c r="E6" s="3" t="s">
        <v>9</v>
      </c>
      <c r="F6" s="8">
        <v>6.7000000000000004E-2</v>
      </c>
      <c r="G6" s="1"/>
      <c r="H6" s="3" t="s">
        <v>4</v>
      </c>
      <c r="I6" s="10">
        <f>C7</f>
        <v>32222100</v>
      </c>
    </row>
    <row r="7" spans="2:9" x14ac:dyDescent="0.3">
      <c r="B7" s="3" t="s">
        <v>4</v>
      </c>
      <c r="C7" s="10">
        <v>32222100</v>
      </c>
      <c r="D7" s="1"/>
      <c r="E7" s="3" t="s">
        <v>10</v>
      </c>
      <c r="F7" s="4">
        <v>0.66</v>
      </c>
      <c r="G7" s="1"/>
      <c r="H7" s="3" t="s">
        <v>16</v>
      </c>
      <c r="I7" s="10">
        <v>101000000</v>
      </c>
    </row>
    <row r="8" spans="2:9" x14ac:dyDescent="0.3">
      <c r="B8" s="3" t="s">
        <v>5</v>
      </c>
      <c r="C8" s="8">
        <f>C6/C7</f>
        <v>9.6551745541103781E-2</v>
      </c>
      <c r="D8" s="1"/>
      <c r="E8" s="3" t="s">
        <v>11</v>
      </c>
      <c r="F8" s="8">
        <v>0.109</v>
      </c>
      <c r="G8" s="1"/>
      <c r="H8" s="3" t="s">
        <v>17</v>
      </c>
      <c r="I8" s="10">
        <f>SUM(I6:I7)</f>
        <v>133222100</v>
      </c>
    </row>
    <row r="9" spans="2:9" ht="15" thickBot="1" x14ac:dyDescent="0.35">
      <c r="B9" s="3" t="s">
        <v>6</v>
      </c>
      <c r="C9" s="10">
        <v>8195900</v>
      </c>
      <c r="D9" s="1"/>
      <c r="E9" s="5" t="s">
        <v>12</v>
      </c>
      <c r="F9" s="9">
        <f>(F6)+(F7)*(F8-F6)</f>
        <v>9.4719999999999999E-2</v>
      </c>
      <c r="G9" s="1"/>
      <c r="H9" s="3" t="s">
        <v>18</v>
      </c>
      <c r="I9" s="8">
        <f>I7/I8</f>
        <v>0.75813247201477829</v>
      </c>
    </row>
    <row r="10" spans="2:9" ht="15" thickBot="1" x14ac:dyDescent="0.35">
      <c r="B10" s="3" t="s">
        <v>15</v>
      </c>
      <c r="C10" s="10">
        <v>26718900</v>
      </c>
      <c r="D10" s="1"/>
      <c r="E10" s="1"/>
      <c r="F10" s="1"/>
      <c r="G10" s="1"/>
      <c r="H10" s="5" t="s">
        <v>19</v>
      </c>
      <c r="I10" s="9">
        <f>I6/I8</f>
        <v>0.24186752798522168</v>
      </c>
    </row>
    <row r="11" spans="2:9" x14ac:dyDescent="0.3">
      <c r="B11" s="3" t="s">
        <v>7</v>
      </c>
      <c r="C11" s="8">
        <f>C9/C10</f>
        <v>0.30674541242341563</v>
      </c>
      <c r="D11" s="1"/>
      <c r="E11" s="1"/>
      <c r="F11" s="1"/>
      <c r="G11" s="1"/>
      <c r="H11" s="1"/>
      <c r="I11" s="4"/>
    </row>
    <row r="12" spans="2:9" ht="15" thickBot="1" x14ac:dyDescent="0.35">
      <c r="B12" s="5" t="s">
        <v>13</v>
      </c>
      <c r="C12" s="9">
        <f>C8*(1-C11)</f>
        <v>6.6934940534897222E-2</v>
      </c>
      <c r="D12" s="1"/>
      <c r="E12" s="1"/>
      <c r="F12" s="1"/>
      <c r="G12" s="1"/>
      <c r="H12" s="1"/>
      <c r="I12" s="4"/>
    </row>
    <row r="13" spans="2:9" ht="15" thickBot="1" x14ac:dyDescent="0.35">
      <c r="B13" s="6" t="s">
        <v>0</v>
      </c>
      <c r="C13" s="17">
        <f t="shared" ref="C13" si="0">(C8*I10)+(F9*I9)</f>
        <v>9.5163039765924717E-2</v>
      </c>
      <c r="D13" s="17"/>
      <c r="E13" s="17"/>
      <c r="F13" s="17"/>
      <c r="G13" s="17"/>
      <c r="H13" s="17"/>
      <c r="I13" s="18"/>
    </row>
  </sheetData>
  <mergeCells count="2">
    <mergeCell ref="B2:I3"/>
    <mergeCell ref="C13:I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90AD-4975-4AD7-BE3C-246C6E797693}">
  <sheetPr codeName="Sheet1"/>
  <dimension ref="B1:I13"/>
  <sheetViews>
    <sheetView showGridLines="0" workbookViewId="0">
      <selection activeCell="B2" sqref="B2:I13"/>
    </sheetView>
  </sheetViews>
  <sheetFormatPr defaultRowHeight="13.8" x14ac:dyDescent="0.25"/>
  <cols>
    <col min="1" max="1" width="8.88671875" style="1"/>
    <col min="2" max="2" width="19.77734375" style="1" bestFit="1" customWidth="1"/>
    <col min="3" max="3" width="12.33203125" style="1" bestFit="1" customWidth="1"/>
    <col min="4" max="4" width="8.88671875" style="1"/>
    <col min="5" max="5" width="13.5546875" style="1" bestFit="1" customWidth="1"/>
    <col min="6" max="6" width="7.6640625" style="1" bestFit="1" customWidth="1"/>
    <col min="7" max="7" width="5.6640625" style="1" customWidth="1"/>
    <col min="8" max="8" width="15.44140625" style="1" bestFit="1" customWidth="1"/>
    <col min="9" max="9" width="17.88671875" style="1" bestFit="1" customWidth="1"/>
    <col min="10" max="16384" width="8.88671875" style="1"/>
  </cols>
  <sheetData>
    <row r="1" spans="2:9" ht="14.4" thickBot="1" x14ac:dyDescent="0.3"/>
    <row r="2" spans="2:9" x14ac:dyDescent="0.25">
      <c r="B2" s="11" t="s">
        <v>1</v>
      </c>
      <c r="C2" s="12"/>
      <c r="D2" s="12"/>
      <c r="E2" s="12"/>
      <c r="F2" s="12"/>
      <c r="G2" s="12"/>
      <c r="H2" s="12"/>
      <c r="I2" s="13"/>
    </row>
    <row r="3" spans="2:9" ht="14.4" thickBot="1" x14ac:dyDescent="0.3">
      <c r="B3" s="14"/>
      <c r="C3" s="15"/>
      <c r="D3" s="15"/>
      <c r="E3" s="15"/>
      <c r="F3" s="15"/>
      <c r="G3" s="15"/>
      <c r="H3" s="15"/>
      <c r="I3" s="16"/>
    </row>
    <row r="4" spans="2:9" ht="15" x14ac:dyDescent="0.25">
      <c r="B4" s="7" t="s">
        <v>2</v>
      </c>
      <c r="C4" s="2"/>
      <c r="E4" s="7" t="s">
        <v>8</v>
      </c>
      <c r="F4" s="2"/>
      <c r="H4" s="7" t="s">
        <v>14</v>
      </c>
      <c r="I4" s="2"/>
    </row>
    <row r="5" spans="2:9" x14ac:dyDescent="0.25">
      <c r="B5" s="3"/>
      <c r="C5" s="4"/>
      <c r="E5" s="3"/>
      <c r="F5" s="4"/>
      <c r="H5" s="3"/>
      <c r="I5" s="4"/>
    </row>
    <row r="6" spans="2:9" x14ac:dyDescent="0.25">
      <c r="B6" s="3" t="s">
        <v>3</v>
      </c>
      <c r="C6" s="10">
        <v>9247000</v>
      </c>
      <c r="E6" s="3" t="s">
        <v>9</v>
      </c>
      <c r="F6" s="8">
        <v>6.7000000000000004E-2</v>
      </c>
      <c r="H6" s="3" t="s">
        <v>4</v>
      </c>
      <c r="I6" s="10">
        <f>C7</f>
        <v>164649000</v>
      </c>
    </row>
    <row r="7" spans="2:9" x14ac:dyDescent="0.25">
      <c r="B7" s="3" t="s">
        <v>4</v>
      </c>
      <c r="C7" s="10">
        <v>164649000</v>
      </c>
      <c r="E7" s="3" t="s">
        <v>10</v>
      </c>
      <c r="F7" s="4">
        <v>0.37</v>
      </c>
      <c r="H7" s="3" t="s">
        <v>16</v>
      </c>
      <c r="I7" s="10">
        <v>2003760000</v>
      </c>
    </row>
    <row r="8" spans="2:9" x14ac:dyDescent="0.25">
      <c r="B8" s="3" t="s">
        <v>5</v>
      </c>
      <c r="C8" s="8">
        <f>C6/C7</f>
        <v>5.6161895911909579E-2</v>
      </c>
      <c r="E8" s="3" t="s">
        <v>11</v>
      </c>
      <c r="F8" s="8">
        <v>0.109</v>
      </c>
      <c r="H8" s="3" t="s">
        <v>17</v>
      </c>
      <c r="I8" s="10">
        <f>SUM(I6:I7)</f>
        <v>2168409000</v>
      </c>
    </row>
    <row r="9" spans="2:9" ht="14.4" thickBot="1" x14ac:dyDescent="0.3">
      <c r="B9" s="3" t="s">
        <v>6</v>
      </c>
      <c r="C9" s="10">
        <v>42777000</v>
      </c>
      <c r="E9" s="5" t="s">
        <v>12</v>
      </c>
      <c r="F9" s="9">
        <f>(F6)+(F7)*(F8-F6)</f>
        <v>8.2540000000000002E-2</v>
      </c>
      <c r="H9" s="3" t="s">
        <v>18</v>
      </c>
      <c r="I9" s="8">
        <f>I7/I8</f>
        <v>0.92406921387985386</v>
      </c>
    </row>
    <row r="10" spans="2:9" ht="14.4" thickBot="1" x14ac:dyDescent="0.3">
      <c r="B10" s="3" t="s">
        <v>15</v>
      </c>
      <c r="C10" s="10">
        <v>174957000</v>
      </c>
      <c r="H10" s="5" t="s">
        <v>19</v>
      </c>
      <c r="I10" s="9">
        <f>I6/I8</f>
        <v>7.5930786120146157E-2</v>
      </c>
    </row>
    <row r="11" spans="2:9" x14ac:dyDescent="0.25">
      <c r="B11" s="3" t="s">
        <v>7</v>
      </c>
      <c r="C11" s="8">
        <f>C9/C10</f>
        <v>0.2445000771618169</v>
      </c>
      <c r="I11" s="4"/>
    </row>
    <row r="12" spans="2:9" ht="14.4" thickBot="1" x14ac:dyDescent="0.3">
      <c r="B12" s="5" t="s">
        <v>13</v>
      </c>
      <c r="C12" s="9">
        <f>C8*(1-C11)</f>
        <v>4.2430308027893757E-2</v>
      </c>
      <c r="I12" s="4"/>
    </row>
    <row r="13" spans="2:9" ht="14.4" thickBot="1" x14ac:dyDescent="0.3">
      <c r="B13" s="6" t="s">
        <v>0</v>
      </c>
      <c r="C13" s="17">
        <f t="shared" ref="C13" si="0">(C8*I10)+(F9*I9)</f>
        <v>8.0537089820232249E-2</v>
      </c>
      <c r="D13" s="17"/>
      <c r="E13" s="17"/>
      <c r="F13" s="17"/>
      <c r="G13" s="17"/>
      <c r="H13" s="17"/>
      <c r="I13" s="18"/>
    </row>
  </sheetData>
  <mergeCells count="2">
    <mergeCell ref="B2:I3"/>
    <mergeCell ref="C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Godrej Cons. Prod. WACC</vt:lpstr>
      <vt:lpstr>WIPRO 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2026-03-21T05:18:25Z</dcterms:created>
  <dcterms:modified xsi:type="dcterms:W3CDTF">2026-03-31T10:23:32Z</dcterms:modified>
</cp:coreProperties>
</file>