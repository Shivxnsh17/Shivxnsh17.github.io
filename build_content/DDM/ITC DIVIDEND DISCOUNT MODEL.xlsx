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Lenovo\Desktop\FP&amp;A Practice\DDM\"/>
    </mc:Choice>
  </mc:AlternateContent>
  <xr:revisionPtr revIDLastSave="0" documentId="8_{68335FB9-8009-42E5-A15B-AA4C9F9DB7DC}" xr6:coauthVersionLast="47" xr6:coauthVersionMax="47" xr10:uidLastSave="{00000000-0000-0000-0000-000000000000}"/>
  <bookViews>
    <workbookView xWindow="-108" yWindow="-108" windowWidth="23256" windowHeight="12456" xr2:uid="{C9CB63DE-3579-49D6-B33F-2F8439097078}"/>
  </bookViews>
  <sheets>
    <sheet name="ITC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G5" i="1" l="1"/>
  <c r="C6" i="1"/>
  <c r="A7" i="1"/>
  <c r="C7" i="1"/>
  <c r="A8" i="1"/>
  <c r="C8" i="1"/>
  <c r="A9" i="1"/>
  <c r="C9" i="1"/>
  <c r="A10" i="1"/>
  <c r="A11" i="1" s="1"/>
  <c r="C10" i="1"/>
  <c r="C11" i="1"/>
  <c r="G14" i="1"/>
  <c r="G15" i="1"/>
  <c r="G16" i="1"/>
  <c r="G6" i="1" s="1"/>
  <c r="G9" i="1" s="1"/>
  <c r="G10" i="1" s="1"/>
</calcChain>
</file>

<file path=xl/sharedStrings.xml><?xml version="1.0" encoding="utf-8"?>
<sst xmlns="http://schemas.openxmlformats.org/spreadsheetml/2006/main" count="20" uniqueCount="20">
  <si>
    <t>expected Return</t>
  </si>
  <si>
    <t>Beta</t>
  </si>
  <si>
    <t>Rm cagr</t>
  </si>
  <si>
    <t>rf 15 yr avg bond rate</t>
  </si>
  <si>
    <t>e = rf + b (rm - rf)</t>
  </si>
  <si>
    <t>Required Based on CAPM</t>
  </si>
  <si>
    <t>OV or UV</t>
  </si>
  <si>
    <t>DDM Price</t>
  </si>
  <si>
    <t>Actual Stock Price</t>
  </si>
  <si>
    <t>5 Y CAGR Nifty</t>
  </si>
  <si>
    <t>Required (r)</t>
  </si>
  <si>
    <t>Growth (g)</t>
  </si>
  <si>
    <t>Beta 5 yr</t>
  </si>
  <si>
    <t>CAGR 15 yr</t>
  </si>
  <si>
    <t>Growth %</t>
  </si>
  <si>
    <t>Annual Dividend</t>
  </si>
  <si>
    <t>Year</t>
  </si>
  <si>
    <t>DDM Price = D1/(r - g)</t>
  </si>
  <si>
    <t>INDIAN TOBACCO COMPANY (ITC)</t>
  </si>
  <si>
    <t>Dividend Discount Model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</si>
</sst>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%"/>
  </numFmts>
  <fonts count="4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indexed="8"/>
      <name val="Calibri"/>
      <family val="2"/>
      <scheme val="minor"/>
    </font>
    <font>
      <sz val="20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4" tint="0.59999389629810485"/>
        <bgColor indexed="64"/>
      </patternFill>
    </fill>
  </fills>
  <borders count="11">
    <border>
      <left/>
      <right/>
      <top/>
      <bottom/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29">
    <xf numFmtId="0" fontId="0" fillId="0" borderId="0" xfId="0"/>
    <xf numFmtId="164" fontId="0" fillId="0" borderId="0" xfId="0" applyNumberFormat="1"/>
    <xf numFmtId="10" fontId="0" fillId="0" borderId="0" xfId="0" applyNumberFormat="1"/>
    <xf numFmtId="0" fontId="2" fillId="0" borderId="0" xfId="0" applyFont="1"/>
    <xf numFmtId="10" fontId="0" fillId="0" borderId="1" xfId="0" applyNumberFormat="1" applyBorder="1"/>
    <xf numFmtId="2" fontId="0" fillId="0" borderId="2" xfId="0" applyNumberFormat="1" applyBorder="1"/>
    <xf numFmtId="0" fontId="0" fillId="0" borderId="3" xfId="0" applyBorder="1"/>
    <xf numFmtId="0" fontId="0" fillId="0" borderId="1" xfId="0" applyBorder="1"/>
    <xf numFmtId="0" fontId="1" fillId="0" borderId="3" xfId="0" applyFont="1" applyBorder="1"/>
    <xf numFmtId="10" fontId="0" fillId="0" borderId="4" xfId="0" applyNumberFormat="1" applyBorder="1"/>
    <xf numFmtId="2" fontId="0" fillId="0" borderId="0" xfId="0" applyNumberFormat="1"/>
    <xf numFmtId="0" fontId="0" fillId="0" borderId="5" xfId="0" applyBorder="1"/>
    <xf numFmtId="0" fontId="0" fillId="2" borderId="4" xfId="0" applyFill="1" applyBorder="1"/>
    <xf numFmtId="0" fontId="1" fillId="0" borderId="5" xfId="0" applyFont="1" applyBorder="1"/>
    <xf numFmtId="0" fontId="0" fillId="0" borderId="4" xfId="0" applyBorder="1"/>
    <xf numFmtId="10" fontId="0" fillId="0" borderId="3" xfId="0" applyNumberFormat="1" applyBorder="1"/>
    <xf numFmtId="0" fontId="0" fillId="0" borderId="6" xfId="0" applyBorder="1"/>
    <xf numFmtId="0" fontId="2" fillId="0" borderId="7" xfId="0" applyFont="1" applyBorder="1"/>
    <xf numFmtId="164" fontId="0" fillId="0" borderId="4" xfId="0" applyNumberFormat="1" applyBorder="1"/>
    <xf numFmtId="164" fontId="0" fillId="0" borderId="8" xfId="0" applyNumberFormat="1" applyBorder="1"/>
    <xf numFmtId="0" fontId="1" fillId="0" borderId="9" xfId="0" applyFont="1" applyBorder="1"/>
    <xf numFmtId="0" fontId="2" fillId="0" borderId="6" xfId="0" applyFont="1" applyBorder="1"/>
    <xf numFmtId="0" fontId="1" fillId="0" borderId="6" xfId="0" applyFont="1" applyBorder="1"/>
    <xf numFmtId="0" fontId="1" fillId="0" borderId="10" xfId="0" applyFont="1" applyBorder="1"/>
    <xf numFmtId="0" fontId="1" fillId="0" borderId="7" xfId="0" applyFont="1" applyBorder="1"/>
    <xf numFmtId="0" fontId="0" fillId="0" borderId="0" xfId="0" applyAlignment="1">
      <alignment horizontal="centerContinuous"/>
    </xf>
    <xf numFmtId="0" fontId="1" fillId="0" borderId="0" xfId="0" applyFont="1" applyAlignment="1">
      <alignment horizontal="centerContinuous"/>
    </xf>
    <xf numFmtId="0" fontId="1" fillId="0" borderId="0" xfId="0" applyFont="1" applyAlignment="1">
      <alignment horizontal="center"/>
    </xf>
    <xf numFmtId="0" fontId="3" fillId="3" borderId="0" xfId="0" applyFont="1" applyFill="1" applyAlignment="1">
      <alignment horizontal="center"/>
    </xf>
  </cellXfs>
  <cellStyles count="1">
    <cellStyle name="Normal" xfId="0" builtinId="0"/>
  </cellStyles>
  <dxfs count="2">
    <dxf>
      <fill>
        <patternFill>
          <bgColor rgb="FFFF0000"/>
        </patternFill>
      </fill>
    </dxf>
    <dxf>
      <fill>
        <patternFill>
          <bgColor rgb="FF00B050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66B336B-865E-4A4E-A494-DE4B5BB7BEC5}">
  <dimension ref="A2:G16"/>
  <sheetViews>
    <sheetView showGridLines="0" tabSelected="1" zoomScale="119" zoomScaleNormal="119" workbookViewId="0">
      <selection activeCell="G9" sqref="G9"/>
    </sheetView>
  </sheetViews>
  <sheetFormatPr defaultRowHeight="14.4" x14ac:dyDescent="0.3"/>
  <cols>
    <col min="1" max="1" width="5" bestFit="1" customWidth="1"/>
    <col min="2" max="2" width="15" bestFit="1" customWidth="1"/>
    <col min="3" max="3" width="9.33203125" bestFit="1" customWidth="1"/>
    <col min="4" max="4" width="10.33203125" bestFit="1" customWidth="1"/>
    <col min="5" max="5" width="9.44140625" bestFit="1" customWidth="1"/>
    <col min="6" max="6" width="22.88671875" bestFit="1" customWidth="1"/>
    <col min="7" max="7" width="12.109375" bestFit="1" customWidth="1"/>
  </cols>
  <sheetData>
    <row r="2" spans="1:7" ht="25.8" x14ac:dyDescent="0.5">
      <c r="A2" s="28" t="s">
        <v>19</v>
      </c>
      <c r="B2" s="28"/>
      <c r="C2" s="28"/>
      <c r="D2" s="28"/>
      <c r="E2" s="28"/>
    </row>
    <row r="3" spans="1:7" x14ac:dyDescent="0.3">
      <c r="A3" s="27" t="s">
        <v>18</v>
      </c>
      <c r="B3" s="27"/>
      <c r="C3" s="27"/>
      <c r="D3" s="27"/>
      <c r="E3" s="27"/>
    </row>
    <row r="4" spans="1:7" ht="15" thickBot="1" x14ac:dyDescent="0.35">
      <c r="F4" s="26" t="s">
        <v>17</v>
      </c>
      <c r="G4" s="25"/>
    </row>
    <row r="5" spans="1:7" x14ac:dyDescent="0.3">
      <c r="A5" s="24" t="s">
        <v>16</v>
      </c>
      <c r="B5" s="23" t="s">
        <v>15</v>
      </c>
      <c r="C5" s="22" t="s">
        <v>14</v>
      </c>
      <c r="D5" s="17" t="s">
        <v>13</v>
      </c>
      <c r="E5" s="21" t="s">
        <v>12</v>
      </c>
      <c r="F5" s="20" t="s">
        <v>11</v>
      </c>
      <c r="G5" s="19">
        <f>AVERAGE(C6:C10)</f>
        <v>6.9255247343566723E-2</v>
      </c>
    </row>
    <row r="6" spans="1:7" ht="15" thickBot="1" x14ac:dyDescent="0.35">
      <c r="A6" s="11">
        <v>2025</v>
      </c>
      <c r="B6" s="10">
        <v>14.35</v>
      </c>
      <c r="C6" s="9">
        <f>LN(B6/B7)</f>
        <v>4.2711118093049873E-2</v>
      </c>
      <c r="D6" s="15">
        <v>0.22259999999999999</v>
      </c>
      <c r="E6" s="7">
        <v>0.79600000000000004</v>
      </c>
      <c r="F6" s="13" t="s">
        <v>10</v>
      </c>
      <c r="G6" s="18">
        <f>G16</f>
        <v>9.74048E-2</v>
      </c>
    </row>
    <row r="7" spans="1:7" x14ac:dyDescent="0.3">
      <c r="A7" s="11">
        <f>A6-1</f>
        <v>2024</v>
      </c>
      <c r="B7" s="10">
        <v>13.75</v>
      </c>
      <c r="C7" s="9">
        <f>LN(B7/B8)</f>
        <v>-0.11980119981262065</v>
      </c>
      <c r="D7" s="17" t="s">
        <v>9</v>
      </c>
      <c r="E7" s="16"/>
      <c r="F7" s="13" t="s">
        <v>8</v>
      </c>
      <c r="G7" s="14">
        <v>311.95</v>
      </c>
    </row>
    <row r="8" spans="1:7" ht="15" thickBot="1" x14ac:dyDescent="0.35">
      <c r="A8" s="11">
        <f>A7-1</f>
        <v>2023</v>
      </c>
      <c r="B8" s="10">
        <v>15.5</v>
      </c>
      <c r="C8" s="9">
        <f>LN(B8/B9)</f>
        <v>0.29849298855599654</v>
      </c>
      <c r="D8" s="15">
        <v>0.1043</v>
      </c>
      <c r="E8" s="7"/>
      <c r="F8" s="13"/>
      <c r="G8" s="14"/>
    </row>
    <row r="9" spans="1:7" x14ac:dyDescent="0.3">
      <c r="A9" s="11">
        <f>A8-1</f>
        <v>2022</v>
      </c>
      <c r="B9" s="10">
        <v>11.5</v>
      </c>
      <c r="C9" s="9">
        <f>LN(B9/B10)</f>
        <v>6.7441280795532479E-2</v>
      </c>
      <c r="F9" s="13" t="s">
        <v>7</v>
      </c>
      <c r="G9" s="12">
        <f>ABS((B6/(G6-G5)))</f>
        <v>509.77719522375651</v>
      </c>
    </row>
    <row r="10" spans="1:7" ht="15" thickBot="1" x14ac:dyDescent="0.35">
      <c r="A10" s="11">
        <f>A9-1</f>
        <v>2021</v>
      </c>
      <c r="B10" s="10">
        <v>10.75</v>
      </c>
      <c r="C10" s="9">
        <f>LN(B10/B11)</f>
        <v>5.7432049085875396E-2</v>
      </c>
      <c r="F10" s="8" t="s">
        <v>6</v>
      </c>
      <c r="G10" s="7" t="str">
        <f>IF(G9&gt;G7,"UV","OV")</f>
        <v>UV</v>
      </c>
    </row>
    <row r="11" spans="1:7" ht="15" thickBot="1" x14ac:dyDescent="0.35">
      <c r="A11" s="6">
        <f>A10-1</f>
        <v>2020</v>
      </c>
      <c r="B11" s="5">
        <v>10.15</v>
      </c>
      <c r="C11" s="4" t="e">
        <f>LN(B11/#REF!)</f>
        <v>#REF!</v>
      </c>
      <c r="F11" s="3" t="s">
        <v>5</v>
      </c>
    </row>
    <row r="12" spans="1:7" x14ac:dyDescent="0.3">
      <c r="F12" s="3" t="s">
        <v>4</v>
      </c>
    </row>
    <row r="13" spans="1:7" x14ac:dyDescent="0.3">
      <c r="F13" t="s">
        <v>3</v>
      </c>
      <c r="G13" s="2">
        <v>7.0499999999999993E-2</v>
      </c>
    </row>
    <row r="14" spans="1:7" x14ac:dyDescent="0.3">
      <c r="F14" t="s">
        <v>2</v>
      </c>
      <c r="G14" s="2">
        <f>D8</f>
        <v>0.1043</v>
      </c>
    </row>
    <row r="15" spans="1:7" x14ac:dyDescent="0.3">
      <c r="F15" t="s">
        <v>1</v>
      </c>
      <c r="G15">
        <f>E6</f>
        <v>0.79600000000000004</v>
      </c>
    </row>
    <row r="16" spans="1:7" x14ac:dyDescent="0.3">
      <c r="F16" t="s">
        <v>0</v>
      </c>
      <c r="G16" s="1">
        <f>(G13+(E6*(D8-G13)))</f>
        <v>9.74048E-2</v>
      </c>
    </row>
  </sheetData>
  <mergeCells count="2">
    <mergeCell ref="A2:E2"/>
    <mergeCell ref="A3:E3"/>
  </mergeCells>
  <conditionalFormatting sqref="G10">
    <cfRule type="containsText" dxfId="1" priority="1" operator="containsText" text="UV">
      <formula>NOT(ISERROR(SEARCH("UV",G10)))</formula>
    </cfRule>
    <cfRule type="containsText" dxfId="0" priority="2" operator="containsText" text="OV">
      <formula>NOT(ISERROR(SEARCH("OV",G10)))</formula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ITC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Shivansh Chandra</dc:creator>
  <cp:lastModifiedBy>Shivansh Chandra</cp:lastModifiedBy>
  <dcterms:created xsi:type="dcterms:W3CDTF">2026-03-30T11:46:05Z</dcterms:created>
  <dcterms:modified xsi:type="dcterms:W3CDTF">2026-03-30T11:46:25Z</dcterms:modified>
</cp:coreProperties>
</file>