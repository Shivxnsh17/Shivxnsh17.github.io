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GMAIL Files\"/>
    </mc:Choice>
  </mc:AlternateContent>
  <xr:revisionPtr revIDLastSave="0" documentId="13_ncr:1_{9DCD8513-08E7-4E9E-9641-0A870BDAE7D3}" xr6:coauthVersionLast="47" xr6:coauthVersionMax="47" xr10:uidLastSave="{00000000-0000-0000-0000-000000000000}"/>
  <bookViews>
    <workbookView xWindow="-108" yWindow="-108" windowWidth="23256" windowHeight="13176" activeTab="1" xr2:uid="{D574B39C-01AB-49CD-9EEF-5F61B89E5F63}"/>
  </bookViews>
  <sheets>
    <sheet name="PHARMA" sheetId="1" r:id="rId1"/>
    <sheet name="Pharma &amp; Healt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4" l="1"/>
  <c r="N22" i="4"/>
  <c r="O23" i="4"/>
  <c r="G8" i="4"/>
  <c r="G9" i="4"/>
  <c r="G10" i="4"/>
  <c r="G11" i="4"/>
  <c r="G12" i="4"/>
  <c r="G7" i="4"/>
  <c r="N25" i="4"/>
  <c r="F12" i="4"/>
  <c r="F11" i="4"/>
  <c r="F10" i="4"/>
  <c r="F9" i="4"/>
  <c r="F8" i="4"/>
  <c r="F7" i="4"/>
  <c r="F7" i="1"/>
  <c r="P7" i="1" s="1"/>
  <c r="G7" i="1"/>
  <c r="H7" i="1"/>
  <c r="N7" i="1" s="1"/>
  <c r="F8" i="1"/>
  <c r="G8" i="1"/>
  <c r="H8" i="1"/>
  <c r="N8" i="1"/>
  <c r="O8" i="1"/>
  <c r="P8" i="1"/>
  <c r="F9" i="1"/>
  <c r="P9" i="1" s="1"/>
  <c r="G9" i="1"/>
  <c r="H9" i="1"/>
  <c r="N9" i="1" s="1"/>
  <c r="F10" i="1"/>
  <c r="G10" i="1"/>
  <c r="H10" i="1"/>
  <c r="N10" i="1"/>
  <c r="O10" i="1"/>
  <c r="P10" i="1"/>
  <c r="F11" i="1"/>
  <c r="P11" i="1" s="1"/>
  <c r="G11" i="1"/>
  <c r="H11" i="1"/>
  <c r="N11" i="1" s="1"/>
  <c r="F12" i="1"/>
  <c r="G12" i="1"/>
  <c r="H12" i="1"/>
  <c r="N12" i="1"/>
  <c r="O12" i="1"/>
  <c r="P12" i="1"/>
  <c r="N23" i="1"/>
  <c r="O23" i="1"/>
  <c r="P23" i="1"/>
  <c r="N25" i="1"/>
  <c r="O25" i="1"/>
  <c r="P25" i="1"/>
  <c r="O25" i="4" l="1"/>
  <c r="P25" i="4" s="1"/>
  <c r="P23" i="4"/>
  <c r="N23" i="4"/>
  <c r="P11" i="4"/>
  <c r="H11" i="4"/>
  <c r="P10" i="4"/>
  <c r="H8" i="4"/>
  <c r="P7" i="4"/>
  <c r="H7" i="4"/>
  <c r="P8" i="4"/>
  <c r="P12" i="4"/>
  <c r="H12" i="4"/>
  <c r="H10" i="4"/>
  <c r="P9" i="4"/>
  <c r="H9" i="4"/>
  <c r="N17" i="1"/>
  <c r="N22" i="1" s="1"/>
  <c r="N24" i="1" s="1"/>
  <c r="N26" i="1" s="1"/>
  <c r="N14" i="1"/>
  <c r="N18" i="1"/>
  <c r="P17" i="1"/>
  <c r="P24" i="1" s="1"/>
  <c r="P14" i="1"/>
  <c r="P18" i="1"/>
  <c r="P15" i="1"/>
  <c r="O14" i="1"/>
  <c r="N15" i="1"/>
  <c r="P16" i="1"/>
  <c r="O16" i="1"/>
  <c r="N16" i="1"/>
  <c r="P19" i="1"/>
  <c r="O11" i="1"/>
  <c r="O9" i="1"/>
  <c r="O17" i="1" s="1"/>
  <c r="O22" i="1" s="1"/>
  <c r="O24" i="1" s="1"/>
  <c r="O26" i="1" s="1"/>
  <c r="O27" i="1" s="1"/>
  <c r="O7" i="1"/>
  <c r="N19" i="1"/>
  <c r="O18" i="1"/>
  <c r="N11" i="4" l="1"/>
  <c r="O11" i="4"/>
  <c r="N8" i="4"/>
  <c r="O8" i="4"/>
  <c r="O7" i="4"/>
  <c r="N7" i="4"/>
  <c r="P15" i="4"/>
  <c r="P16" i="4"/>
  <c r="P17" i="4"/>
  <c r="P24" i="4" s="1"/>
  <c r="P14" i="4"/>
  <c r="P18" i="4"/>
  <c r="P19" i="4"/>
  <c r="N12" i="4"/>
  <c r="O12" i="4"/>
  <c r="O10" i="4"/>
  <c r="N10" i="4"/>
  <c r="N9" i="4"/>
  <c r="O9" i="4"/>
  <c r="P22" i="1"/>
  <c r="P26" i="1"/>
  <c r="P27" i="1" s="1"/>
  <c r="O15" i="1"/>
  <c r="O19" i="1"/>
  <c r="N27" i="1"/>
  <c r="N15" i="4" l="1"/>
  <c r="N14" i="4"/>
  <c r="N16" i="4"/>
  <c r="N17" i="4"/>
  <c r="N24" i="4" s="1"/>
  <c r="N26" i="4" s="1"/>
  <c r="N19" i="4"/>
  <c r="N18" i="4"/>
  <c r="O14" i="4"/>
  <c r="O16" i="4"/>
  <c r="O17" i="4"/>
  <c r="O24" i="4" s="1"/>
  <c r="O26" i="4" s="1"/>
  <c r="O27" i="4" s="1"/>
  <c r="O15" i="4"/>
  <c r="O19" i="4"/>
  <c r="O18" i="4"/>
  <c r="P26" i="4"/>
  <c r="P27" i="4" s="1"/>
  <c r="P22" i="4"/>
  <c r="N27" i="4" l="1"/>
</calcChain>
</file>

<file path=xl/sharedStrings.xml><?xml version="1.0" encoding="utf-8"?>
<sst xmlns="http://schemas.openxmlformats.org/spreadsheetml/2006/main" count="97" uniqueCount="53">
  <si>
    <t>Implied Value Per Share</t>
  </si>
  <si>
    <t>x</t>
  </si>
  <si>
    <t>Shares Outstanding</t>
  </si>
  <si>
    <t>Implied Market Value</t>
  </si>
  <si>
    <t>Net Debt</t>
  </si>
  <si>
    <t>Implied Enterprise Value</t>
  </si>
  <si>
    <t>P/E</t>
  </si>
  <si>
    <t>EV/EBITDA</t>
  </si>
  <si>
    <t>EV/Revenue</t>
  </si>
  <si>
    <t>Max Health</t>
  </si>
  <si>
    <t>Low</t>
  </si>
  <si>
    <t>25th Percentile</t>
  </si>
  <si>
    <t>Median</t>
  </si>
  <si>
    <t>Average</t>
  </si>
  <si>
    <t>75th Percentile</t>
  </si>
  <si>
    <t>High</t>
  </si>
  <si>
    <t>MEDANTA</t>
  </si>
  <si>
    <t>Global Health/Medanta</t>
  </si>
  <si>
    <t>ASTERDM</t>
  </si>
  <si>
    <t>Aster DM health</t>
  </si>
  <si>
    <t>NH</t>
  </si>
  <si>
    <t>Narayana Health</t>
  </si>
  <si>
    <t>FORTIS</t>
  </si>
  <si>
    <t>Fortis Health</t>
  </si>
  <si>
    <t>APOLLOHOSP</t>
  </si>
  <si>
    <t>Apollo Health</t>
  </si>
  <si>
    <t>MAXHEALTH</t>
  </si>
  <si>
    <t>Net Income</t>
  </si>
  <si>
    <t>EBITDA</t>
  </si>
  <si>
    <t>Revenue</t>
  </si>
  <si>
    <t>Enterprise 
Value</t>
  </si>
  <si>
    <t>Equity Value</t>
  </si>
  <si>
    <t>Share 
Price</t>
  </si>
  <si>
    <t>Ticker</t>
  </si>
  <si>
    <t>Company</t>
  </si>
  <si>
    <t>Valuation</t>
  </si>
  <si>
    <t>Financials</t>
  </si>
  <si>
    <t>Market Data</t>
  </si>
  <si>
    <t xml:space="preserve"> </t>
  </si>
  <si>
    <t>Relative Valuation method 24/03/26 Healthcare</t>
  </si>
  <si>
    <t>Lupin</t>
  </si>
  <si>
    <t>Zydus Lifesci.</t>
  </si>
  <si>
    <t>Dr. Reddy's Labs</t>
  </si>
  <si>
    <t>Cipla</t>
  </si>
  <si>
    <t>Torrent Pharma</t>
  </si>
  <si>
    <t>Divi's Lab.</t>
  </si>
  <si>
    <t>LUPIN</t>
  </si>
  <si>
    <t>ZYDUSLIFE</t>
  </si>
  <si>
    <t>DRREDDY</t>
  </si>
  <si>
    <t>CIPLA</t>
  </si>
  <si>
    <t>TORNTPHRM</t>
  </si>
  <si>
    <t>DIVISLAB</t>
  </si>
  <si>
    <t>Relative Valuation method 26/06/26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</si>
</sst>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₹&quot;\ #,##0.00;&quot;₹&quot;\ \-#,##0.00"/>
    <numFmt numFmtId="164" formatCode="_-* #,##0_-;\-* #,##0_-;_-* &quot;-&quot;??_-;_-@"/>
    <numFmt numFmtId="165" formatCode="_-* #,##0.00_-;\-* #,##0.00_-;_-* &quot;-&quot;??_-;_-@"/>
    <numFmt numFmtId="166" formatCode="_-* #,##0.00\ _€_-;\-* #,##0.00\ _€_-;_-* &quot;-&quot;??\ _€_-;_-@"/>
    <numFmt numFmtId="167" formatCode="#,##0.0\x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432FF"/>
      <name val="Calibri"/>
      <family val="2"/>
    </font>
    <font>
      <b/>
      <sz val="12"/>
      <color theme="1"/>
      <name val="Calibri"/>
      <family val="2"/>
    </font>
    <font>
      <b/>
      <sz val="12"/>
      <color rgb="FF0432FF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00"/>
      <name val="Calibri"/>
      <family val="2"/>
    </font>
    <font>
      <sz val="12"/>
      <color rgb="FFFFFF00"/>
      <name val="Calibri"/>
      <family val="2"/>
    </font>
    <font>
      <b/>
      <sz val="18"/>
      <color rgb="FF293D6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93D68"/>
        <bgColor rgb="FF293D68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D9E2F3"/>
      </patternFill>
    </fill>
    <fill>
      <patternFill patternType="solid">
        <fgColor rgb="FFB4C6E7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293D68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2" fillId="0" borderId="0" xfId="0" applyNumberFormat="1" applyFont="1"/>
    <xf numFmtId="165" fontId="0" fillId="0" borderId="0" xfId="0" applyNumberFormat="1"/>
    <xf numFmtId="165" fontId="3" fillId="2" borderId="1" xfId="0" applyNumberFormat="1" applyFont="1" applyFill="1" applyBorder="1"/>
    <xf numFmtId="0" fontId="3" fillId="2" borderId="1" xfId="0" applyFont="1" applyFill="1" applyBorder="1"/>
    <xf numFmtId="164" fontId="4" fillId="2" borderId="1" xfId="0" applyNumberFormat="1" applyFont="1" applyFill="1" applyBorder="1"/>
    <xf numFmtId="166" fontId="3" fillId="2" borderId="1" xfId="0" applyNumberFormat="1" applyFont="1" applyFill="1" applyBorder="1"/>
    <xf numFmtId="0" fontId="1" fillId="0" borderId="0" xfId="0" applyFont="1"/>
    <xf numFmtId="164" fontId="5" fillId="0" borderId="0" xfId="0" applyNumberFormat="1" applyFont="1"/>
    <xf numFmtId="166" fontId="5" fillId="0" borderId="0" xfId="0" applyNumberFormat="1" applyFont="1"/>
    <xf numFmtId="0" fontId="6" fillId="3" borderId="0" xfId="0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/>
    <xf numFmtId="167" fontId="5" fillId="2" borderId="0" xfId="0" applyNumberFormat="1" applyFont="1" applyFill="1"/>
    <xf numFmtId="0" fontId="5" fillId="2" borderId="0" xfId="0" applyFont="1" applyFill="1"/>
    <xf numFmtId="0" fontId="3" fillId="2" borderId="0" xfId="0" applyFont="1" applyFill="1"/>
    <xf numFmtId="167" fontId="3" fillId="2" borderId="0" xfId="0" applyNumberFormat="1" applyFont="1" applyFill="1"/>
    <xf numFmtId="167" fontId="5" fillId="4" borderId="0" xfId="0" applyNumberFormat="1" applyFont="1" applyFill="1"/>
    <xf numFmtId="164" fontId="5" fillId="5" borderId="0" xfId="0" applyNumberFormat="1" applyFont="1" applyFill="1"/>
    <xf numFmtId="164" fontId="2" fillId="5" borderId="0" xfId="0" applyNumberFormat="1" applyFont="1" applyFill="1"/>
    <xf numFmtId="164" fontId="5" fillId="4" borderId="0" xfId="0" applyNumberFormat="1" applyFont="1" applyFill="1"/>
    <xf numFmtId="0" fontId="2" fillId="5" borderId="0" xfId="0" applyFont="1" applyFill="1"/>
    <xf numFmtId="7" fontId="2" fillId="5" borderId="0" xfId="0" applyNumberFormat="1" applyFont="1" applyFill="1"/>
    <xf numFmtId="0" fontId="5" fillId="5" borderId="0" xfId="0" applyFont="1" applyFill="1" applyAlignment="1">
      <alignment horizontal="center"/>
    </xf>
    <xf numFmtId="0" fontId="1" fillId="5" borderId="0" xfId="0" applyFont="1" applyFill="1"/>
    <xf numFmtId="164" fontId="2" fillId="4" borderId="0" xfId="0" applyNumberFormat="1" applyFont="1" applyFill="1"/>
    <xf numFmtId="4" fontId="2" fillId="4" borderId="0" xfId="0" applyNumberFormat="1" applyFont="1" applyFill="1"/>
    <xf numFmtId="0" fontId="2" fillId="4" borderId="0" xfId="0" applyFont="1" applyFill="1"/>
    <xf numFmtId="7" fontId="2" fillId="4" borderId="0" xfId="0" applyNumberFormat="1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167" fontId="5" fillId="6" borderId="0" xfId="0" applyNumberFormat="1" applyFont="1" applyFill="1"/>
    <xf numFmtId="164" fontId="5" fillId="7" borderId="0" xfId="0" applyNumberFormat="1" applyFont="1" applyFill="1"/>
    <xf numFmtId="164" fontId="2" fillId="7" borderId="0" xfId="0" applyNumberFormat="1" applyFont="1" applyFill="1"/>
    <xf numFmtId="164" fontId="5" fillId="6" borderId="0" xfId="0" applyNumberFormat="1" applyFont="1" applyFill="1"/>
    <xf numFmtId="0" fontId="2" fillId="7" borderId="0" xfId="0" applyFont="1" applyFill="1"/>
    <xf numFmtId="7" fontId="2" fillId="7" borderId="0" xfId="0" applyNumberFormat="1" applyFont="1" applyFill="1"/>
    <xf numFmtId="0" fontId="5" fillId="7" borderId="0" xfId="0" applyFont="1" applyFill="1" applyAlignment="1">
      <alignment horizontal="center"/>
    </xf>
    <xf numFmtId="0" fontId="1" fillId="7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5" fillId="0" borderId="3" xfId="0" applyFont="1" applyBorder="1"/>
    <xf numFmtId="0" fontId="5" fillId="0" borderId="3" xfId="0" applyFont="1" applyBorder="1" applyAlignment="1">
      <alignment horizontal="centerContinuous"/>
    </xf>
    <xf numFmtId="0" fontId="9" fillId="0" borderId="3" xfId="0" applyFont="1" applyBorder="1" applyAlignment="1">
      <alignment horizontal="centerContinuous"/>
    </xf>
    <xf numFmtId="0" fontId="9" fillId="0" borderId="3" xfId="0" applyFont="1" applyBorder="1"/>
    <xf numFmtId="0" fontId="7" fillId="3" borderId="2" xfId="0" applyFont="1" applyFill="1" applyBorder="1" applyAlignment="1">
      <alignment horizontal="center"/>
    </xf>
    <xf numFmtId="0" fontId="8" fillId="0" borderId="2" xfId="0" applyFont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7A74-50E0-46FD-BC84-AD7E91F3D15E}">
  <dimension ref="A2:Q27"/>
  <sheetViews>
    <sheetView showGridLines="0" zoomScale="85" zoomScaleNormal="85" workbookViewId="0">
      <selection activeCell="Q26" sqref="Q26"/>
    </sheetView>
  </sheetViews>
  <sheetFormatPr defaultColWidth="9.69921875" defaultRowHeight="15.6" x14ac:dyDescent="0.3"/>
  <cols>
    <col min="1" max="1" width="1.8984375" bestFit="1" customWidth="1"/>
    <col min="2" max="2" width="20.3984375" customWidth="1"/>
    <col min="3" max="3" width="12.09765625" bestFit="1" customWidth="1"/>
    <col min="4" max="4" width="9.8984375" bestFit="1" customWidth="1"/>
    <col min="5" max="5" width="11.296875" bestFit="1" customWidth="1"/>
    <col min="6" max="6" width="9.5" bestFit="1" customWidth="1"/>
    <col min="7" max="7" width="8.5" bestFit="1" customWidth="1"/>
    <col min="8" max="8" width="9.59765625" bestFit="1" customWidth="1"/>
    <col min="10" max="10" width="8.5" bestFit="1" customWidth="1"/>
    <col min="11" max="11" width="7.19921875" bestFit="1" customWidth="1"/>
    <col min="12" max="12" width="10.796875" bestFit="1" customWidth="1"/>
    <col min="14" max="14" width="11.3984375" bestFit="1" customWidth="1"/>
    <col min="15" max="15" width="11.69921875" bestFit="1" customWidth="1"/>
    <col min="16" max="16" width="10.3984375" bestFit="1" customWidth="1"/>
    <col min="17" max="17" width="8" bestFit="1" customWidth="1"/>
  </cols>
  <sheetData>
    <row r="2" spans="1:16" ht="23.4" x14ac:dyDescent="0.45">
      <c r="B2" s="48" t="s">
        <v>39</v>
      </c>
      <c r="C2" s="47"/>
      <c r="D2" s="47"/>
      <c r="E2" s="47"/>
      <c r="F2" s="47"/>
      <c r="G2" s="46"/>
      <c r="H2" s="46"/>
      <c r="I2" s="46"/>
      <c r="J2" s="46"/>
      <c r="K2" s="46"/>
      <c r="L2" s="46"/>
      <c r="M2" s="46"/>
      <c r="N2" s="46"/>
      <c r="O2" s="46"/>
      <c r="P2" s="46"/>
    </row>
    <row r="4" spans="1:16" x14ac:dyDescent="0.3">
      <c r="A4" s="7" t="s">
        <v>38</v>
      </c>
      <c r="B4" s="45"/>
      <c r="C4" s="45"/>
      <c r="D4" s="50" t="s">
        <v>37</v>
      </c>
      <c r="E4" s="51"/>
      <c r="F4" s="51"/>
      <c r="G4" s="51"/>
      <c r="H4" s="51"/>
      <c r="I4" s="12"/>
      <c r="J4" s="50" t="s">
        <v>36</v>
      </c>
      <c r="K4" s="51"/>
      <c r="L4" s="51"/>
      <c r="M4" s="45"/>
      <c r="N4" s="50" t="s">
        <v>35</v>
      </c>
      <c r="O4" s="51"/>
      <c r="P4" s="51"/>
    </row>
    <row r="5" spans="1:16" ht="31.2" x14ac:dyDescent="0.3">
      <c r="B5" s="44" t="s">
        <v>34</v>
      </c>
      <c r="C5" s="44" t="s">
        <v>33</v>
      </c>
      <c r="D5" s="43" t="s">
        <v>32</v>
      </c>
      <c r="E5" s="43" t="s">
        <v>2</v>
      </c>
      <c r="F5" s="43" t="s">
        <v>31</v>
      </c>
      <c r="G5" s="43" t="s">
        <v>4</v>
      </c>
      <c r="H5" s="43" t="s">
        <v>30</v>
      </c>
      <c r="I5" s="10"/>
      <c r="J5" s="42" t="s">
        <v>29</v>
      </c>
      <c r="K5" s="42" t="s">
        <v>28</v>
      </c>
      <c r="L5" s="42" t="s">
        <v>27</v>
      </c>
      <c r="M5" s="42"/>
      <c r="N5" s="42" t="s">
        <v>8</v>
      </c>
      <c r="O5" s="42" t="s">
        <v>7</v>
      </c>
      <c r="P5" s="42" t="s">
        <v>6</v>
      </c>
    </row>
    <row r="6" spans="1:16" x14ac:dyDescent="0.3">
      <c r="B6" s="41"/>
      <c r="C6" s="41"/>
      <c r="D6" s="40"/>
      <c r="E6" s="40"/>
      <c r="F6" s="40"/>
      <c r="G6" s="40"/>
      <c r="H6" s="40"/>
      <c r="I6" s="39"/>
      <c r="J6" s="39"/>
      <c r="K6" s="39"/>
      <c r="L6" s="39"/>
      <c r="M6" s="39"/>
      <c r="N6" s="39"/>
      <c r="O6" s="39"/>
      <c r="P6" s="39"/>
    </row>
    <row r="7" spans="1:16" x14ac:dyDescent="0.3">
      <c r="A7" s="7" t="s">
        <v>1</v>
      </c>
      <c r="B7" s="38" t="s">
        <v>9</v>
      </c>
      <c r="C7" s="37" t="s">
        <v>26</v>
      </c>
      <c r="D7" s="36">
        <v>957</v>
      </c>
      <c r="E7" s="33">
        <v>97.2</v>
      </c>
      <c r="F7" s="34">
        <f t="shared" ref="F7:F12" si="0">D7*E7</f>
        <v>93020.400000000009</v>
      </c>
      <c r="G7" s="35">
        <f>3275-1099</f>
        <v>2176</v>
      </c>
      <c r="H7" s="34">
        <f t="shared" ref="H7:H12" si="1">F7+G7</f>
        <v>95196.400000000009</v>
      </c>
      <c r="I7" s="33"/>
      <c r="J7" s="33">
        <v>8140</v>
      </c>
      <c r="K7" s="33">
        <v>2319</v>
      </c>
      <c r="L7" s="33">
        <v>1419</v>
      </c>
      <c r="M7" s="32"/>
      <c r="N7" s="31">
        <f t="shared" ref="N7:N12" si="2">H7/J7</f>
        <v>11.694889434889436</v>
      </c>
      <c r="O7" s="31">
        <f t="shared" ref="O7:O12" si="3">H7/K7</f>
        <v>41.050625269512722</v>
      </c>
      <c r="P7" s="31">
        <f t="shared" ref="P7:P12" si="4">F7/L7</f>
        <v>65.553488372093028</v>
      </c>
    </row>
    <row r="8" spans="1:16" x14ac:dyDescent="0.3">
      <c r="B8" s="30" t="s">
        <v>25</v>
      </c>
      <c r="C8" s="29" t="s">
        <v>24</v>
      </c>
      <c r="D8" s="28">
        <v>7145</v>
      </c>
      <c r="E8" s="25">
        <v>14.4</v>
      </c>
      <c r="F8" s="20">
        <f t="shared" si="0"/>
        <v>102888</v>
      </c>
      <c r="G8" s="27">
        <f>7987-934</f>
        <v>7053</v>
      </c>
      <c r="H8" s="20">
        <f t="shared" si="1"/>
        <v>109941</v>
      </c>
      <c r="I8" s="26"/>
      <c r="J8" s="25">
        <v>24125</v>
      </c>
      <c r="K8" s="25">
        <v>3022</v>
      </c>
      <c r="L8" s="25">
        <v>1866</v>
      </c>
      <c r="M8" s="20"/>
      <c r="N8" s="17">
        <f t="shared" si="2"/>
        <v>4.5571398963730569</v>
      </c>
      <c r="O8" s="17">
        <f t="shared" si="3"/>
        <v>36.380211780277961</v>
      </c>
      <c r="P8" s="17">
        <f t="shared" si="4"/>
        <v>55.138263665594856</v>
      </c>
    </row>
    <row r="9" spans="1:16" x14ac:dyDescent="0.3">
      <c r="B9" s="24" t="s">
        <v>23</v>
      </c>
      <c r="C9" s="23" t="s">
        <v>22</v>
      </c>
      <c r="D9" s="22">
        <v>799</v>
      </c>
      <c r="E9" s="19">
        <v>75.5</v>
      </c>
      <c r="F9" s="20">
        <f t="shared" si="0"/>
        <v>60324.5</v>
      </c>
      <c r="G9" s="21">
        <f>3195-598</f>
        <v>2597</v>
      </c>
      <c r="H9" s="20">
        <f t="shared" si="1"/>
        <v>62921.5</v>
      </c>
      <c r="I9" s="1"/>
      <c r="J9" s="19">
        <v>8770</v>
      </c>
      <c r="K9" s="19">
        <v>1655</v>
      </c>
      <c r="L9" s="19">
        <v>981</v>
      </c>
      <c r="M9" s="18"/>
      <c r="N9" s="17">
        <f t="shared" si="2"/>
        <v>7.1746294184720636</v>
      </c>
      <c r="O9" s="17">
        <f t="shared" si="3"/>
        <v>38.019033232628402</v>
      </c>
      <c r="P9" s="17">
        <f t="shared" si="4"/>
        <v>61.492864424057082</v>
      </c>
    </row>
    <row r="10" spans="1:16" x14ac:dyDescent="0.3">
      <c r="B10" s="24" t="s">
        <v>21</v>
      </c>
      <c r="C10" s="23" t="s">
        <v>20</v>
      </c>
      <c r="D10" s="22">
        <v>1625</v>
      </c>
      <c r="E10" s="19">
        <v>20.399999999999999</v>
      </c>
      <c r="F10" s="20">
        <f t="shared" si="0"/>
        <v>33150</v>
      </c>
      <c r="G10" s="21">
        <f>2340-416</f>
        <v>1924</v>
      </c>
      <c r="H10" s="20">
        <f t="shared" si="1"/>
        <v>35074</v>
      </c>
      <c r="I10" s="1"/>
      <c r="J10" s="19">
        <v>6778</v>
      </c>
      <c r="K10" s="19">
        <v>1368.4</v>
      </c>
      <c r="L10" s="19">
        <v>779</v>
      </c>
      <c r="M10" s="18"/>
      <c r="N10" s="17">
        <f t="shared" si="2"/>
        <v>5.1746827972853353</v>
      </c>
      <c r="O10" s="17">
        <f t="shared" si="3"/>
        <v>25.631394329143525</v>
      </c>
      <c r="P10" s="17">
        <f t="shared" si="4"/>
        <v>42.554557124518617</v>
      </c>
    </row>
    <row r="11" spans="1:16" x14ac:dyDescent="0.3">
      <c r="B11" s="24" t="s">
        <v>19</v>
      </c>
      <c r="C11" s="23" t="s">
        <v>18</v>
      </c>
      <c r="D11" s="22">
        <v>621</v>
      </c>
      <c r="E11" s="19">
        <v>50</v>
      </c>
      <c r="F11" s="20">
        <f t="shared" si="0"/>
        <v>31050</v>
      </c>
      <c r="G11" s="21">
        <f>2089-113</f>
        <v>1976</v>
      </c>
      <c r="H11" s="20">
        <f t="shared" si="1"/>
        <v>33026</v>
      </c>
      <c r="I11" s="1"/>
      <c r="J11" s="19">
        <v>4461</v>
      </c>
      <c r="K11" s="19">
        <v>1661</v>
      </c>
      <c r="L11" s="19">
        <v>359</v>
      </c>
      <c r="M11" s="18"/>
      <c r="N11" s="17">
        <f t="shared" si="2"/>
        <v>7.4032728087872677</v>
      </c>
      <c r="O11" s="17">
        <f t="shared" si="3"/>
        <v>19.883202889825405</v>
      </c>
      <c r="P11" s="17">
        <f t="shared" si="4"/>
        <v>86.490250696378837</v>
      </c>
    </row>
    <row r="12" spans="1:16" x14ac:dyDescent="0.3">
      <c r="B12" s="24" t="s">
        <v>17</v>
      </c>
      <c r="C12" s="23" t="s">
        <v>16</v>
      </c>
      <c r="D12" s="22">
        <v>970</v>
      </c>
      <c r="E12" s="19">
        <v>26.8</v>
      </c>
      <c r="F12" s="20">
        <f t="shared" si="0"/>
        <v>25996</v>
      </c>
      <c r="G12" s="21">
        <f>945-1175</f>
        <v>-230</v>
      </c>
      <c r="H12" s="20">
        <f t="shared" si="1"/>
        <v>25766</v>
      </c>
      <c r="I12" s="1"/>
      <c r="J12" s="19">
        <v>4182</v>
      </c>
      <c r="K12" s="19">
        <v>956.2</v>
      </c>
      <c r="L12" s="19">
        <v>514</v>
      </c>
      <c r="M12" s="18"/>
      <c r="N12" s="17">
        <f t="shared" si="2"/>
        <v>6.1611669057867049</v>
      </c>
      <c r="O12" s="17">
        <f t="shared" si="3"/>
        <v>26.946245555323152</v>
      </c>
      <c r="P12" s="17">
        <f t="shared" si="4"/>
        <v>50.575875486381321</v>
      </c>
    </row>
    <row r="13" spans="1:16" x14ac:dyDescent="0.3">
      <c r="E13" s="8"/>
    </row>
    <row r="14" spans="1:16" x14ac:dyDescent="0.3">
      <c r="A14" s="7" t="s">
        <v>1</v>
      </c>
      <c r="B14" s="14" t="s">
        <v>15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3">
        <f>MAX(N8:N12)</f>
        <v>7.4032728087872677</v>
      </c>
      <c r="O14" s="13">
        <f>MAX(O8:O12)</f>
        <v>38.019033232628402</v>
      </c>
      <c r="P14" s="13">
        <f>MAX(P8:P12)</f>
        <v>86.490250696378837</v>
      </c>
    </row>
    <row r="15" spans="1:16" x14ac:dyDescent="0.3">
      <c r="B15" s="14" t="s">
        <v>14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3">
        <f>QUARTILE(N8:N12,3)</f>
        <v>7.1746294184720636</v>
      </c>
      <c r="O15" s="13">
        <f>QUARTILE(O8:O12,3)</f>
        <v>36.380211780277961</v>
      </c>
      <c r="P15" s="13">
        <f>QUARTILE(P8:P12,3)</f>
        <v>61.492864424057082</v>
      </c>
    </row>
    <row r="16" spans="1:16" x14ac:dyDescent="0.3">
      <c r="B16" s="15" t="s">
        <v>13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>
        <f>AVERAGE(N8:N12)</f>
        <v>6.0941783653408859</v>
      </c>
      <c r="O16" s="16">
        <f>AVERAGE(O8:O12)</f>
        <v>29.372017557439687</v>
      </c>
      <c r="P16" s="16">
        <f>AVERAGE(P8:P12)</f>
        <v>59.250362279386138</v>
      </c>
    </row>
    <row r="17" spans="1:17" x14ac:dyDescent="0.3">
      <c r="B17" s="15" t="s">
        <v>12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>
        <f>MEDIAN(N8:N12)</f>
        <v>6.1611669057867049</v>
      </c>
      <c r="O17" s="16">
        <f>MEDIAN(O8:O12)</f>
        <v>26.946245555323152</v>
      </c>
      <c r="P17" s="16">
        <f>MEDIAN(P8:P12)</f>
        <v>55.138263665594856</v>
      </c>
    </row>
    <row r="18" spans="1:17" x14ac:dyDescent="0.3">
      <c r="B18" s="14" t="s">
        <v>11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3">
        <f>QUARTILE(N8:N12,1)</f>
        <v>5.1746827972853353</v>
      </c>
      <c r="O18" s="13">
        <f>QUARTILE(O8:O12,1)</f>
        <v>25.631394329143525</v>
      </c>
      <c r="P18" s="13">
        <f>QUARTILE(P8:P12,1)</f>
        <v>50.575875486381321</v>
      </c>
    </row>
    <row r="19" spans="1:17" x14ac:dyDescent="0.3">
      <c r="B19" s="14" t="s">
        <v>10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>
        <f>MIN(N8:N12)</f>
        <v>4.5571398963730569</v>
      </c>
      <c r="O19" s="13">
        <f>MIN(O8:O12)</f>
        <v>19.883202889825405</v>
      </c>
      <c r="P19" s="13">
        <f>MIN(P8:P12)</f>
        <v>42.554557124518617</v>
      </c>
    </row>
    <row r="21" spans="1:17" x14ac:dyDescent="0.3">
      <c r="A21" s="7" t="s">
        <v>1</v>
      </c>
      <c r="B21" s="12" t="s">
        <v>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0" t="s">
        <v>8</v>
      </c>
      <c r="O21" s="10" t="s">
        <v>7</v>
      </c>
      <c r="P21" s="10" t="s">
        <v>6</v>
      </c>
    </row>
    <row r="22" spans="1:17" x14ac:dyDescent="0.3">
      <c r="B22" s="7" t="s">
        <v>5</v>
      </c>
      <c r="J22" s="9"/>
      <c r="N22" s="8">
        <f>J7*N17</f>
        <v>50151.898613103775</v>
      </c>
      <c r="O22" s="8">
        <f>K7*O17</f>
        <v>62488.343442794387</v>
      </c>
      <c r="P22" s="8">
        <f>P24-P23</f>
        <v>76065.1961414791</v>
      </c>
    </row>
    <row r="23" spans="1:17" x14ac:dyDescent="0.3">
      <c r="B23" s="7" t="s">
        <v>4</v>
      </c>
      <c r="G23" s="1"/>
      <c r="J23" s="9"/>
      <c r="N23" s="8">
        <f>G7</f>
        <v>2176</v>
      </c>
      <c r="O23" s="8">
        <f>N23</f>
        <v>2176</v>
      </c>
      <c r="P23" s="8">
        <f>G7</f>
        <v>2176</v>
      </c>
    </row>
    <row r="24" spans="1:17" x14ac:dyDescent="0.3">
      <c r="B24" s="7" t="s">
        <v>3</v>
      </c>
      <c r="G24" s="1"/>
      <c r="J24" s="9"/>
      <c r="N24" s="8">
        <f>N22-N23</f>
        <v>47975.898613103775</v>
      </c>
      <c r="O24" s="8">
        <f>O22-O23</f>
        <v>60312.343442794387</v>
      </c>
      <c r="P24" s="8">
        <f>L7*P17</f>
        <v>78241.1961414791</v>
      </c>
    </row>
    <row r="25" spans="1:17" x14ac:dyDescent="0.3">
      <c r="B25" s="7" t="s">
        <v>2</v>
      </c>
      <c r="G25" s="1"/>
      <c r="N25" s="8">
        <f>E7</f>
        <v>97.2</v>
      </c>
      <c r="O25" s="8">
        <f>N25</f>
        <v>97.2</v>
      </c>
      <c r="P25" s="8">
        <f>O25</f>
        <v>97.2</v>
      </c>
    </row>
    <row r="26" spans="1:17" x14ac:dyDescent="0.3">
      <c r="A26" s="7" t="s">
        <v>1</v>
      </c>
      <c r="B26" s="4" t="s">
        <v>0</v>
      </c>
      <c r="C26" s="4"/>
      <c r="D26" s="6"/>
      <c r="E26" s="6"/>
      <c r="F26" s="4"/>
      <c r="G26" s="5"/>
      <c r="H26" s="4"/>
      <c r="I26" s="4"/>
      <c r="J26" s="4"/>
      <c r="K26" s="4"/>
      <c r="L26" s="4"/>
      <c r="M26" s="4"/>
      <c r="N26" s="3">
        <f>N24/N25</f>
        <v>493.57920383851621</v>
      </c>
      <c r="O26" s="3">
        <f>O24/O25</f>
        <v>620.49736052257595</v>
      </c>
      <c r="P26" s="3">
        <f>P24/P25</f>
        <v>804.95057758723351</v>
      </c>
      <c r="Q26" s="2"/>
    </row>
    <row r="27" spans="1:17" x14ac:dyDescent="0.3">
      <c r="G27" s="1"/>
      <c r="N27" t="str">
        <f>IF($D$7&lt;N26,"Undervalued","Overvalued")</f>
        <v>Overvalued</v>
      </c>
      <c r="O27" t="str">
        <f>IF($D$7&lt;O26,"Undervalued","Overvalued")</f>
        <v>Overvalued</v>
      </c>
      <c r="P27" t="str">
        <f>IF($D$7&lt;P26,"Undervalued","Overvalued")</f>
        <v>Overvalued</v>
      </c>
    </row>
  </sheetData>
  <mergeCells count="3">
    <mergeCell ref="D4:H4"/>
    <mergeCell ref="J4:L4"/>
    <mergeCell ref="N4:P4"/>
  </mergeCells>
  <conditionalFormatting sqref="N27:P27">
    <cfRule type="containsText" dxfId="3" priority="1" operator="containsText" text="Overvalued">
      <formula>NOT(ISERROR(SEARCH("Overvalued",N27)))</formula>
    </cfRule>
    <cfRule type="containsText" dxfId="2" priority="2" operator="containsText" text="Undervalued">
      <formula>NOT(ISERROR(SEARCH("Undervalued",N27)))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D6AD-B25E-4123-90C7-4C67FE40B7A4}">
  <dimension ref="A2:Q27"/>
  <sheetViews>
    <sheetView showGridLines="0" tabSelected="1" workbookViewId="0">
      <selection activeCell="B2" sqref="B2"/>
    </sheetView>
  </sheetViews>
  <sheetFormatPr defaultRowHeight="15.6" x14ac:dyDescent="0.3"/>
  <cols>
    <col min="1" max="1" width="1.796875" bestFit="1" customWidth="1"/>
    <col min="2" max="2" width="21.796875" bestFit="1" customWidth="1"/>
    <col min="3" max="3" width="11.59765625" bestFit="1" customWidth="1"/>
    <col min="4" max="4" width="9.3984375" bestFit="1" customWidth="1"/>
    <col min="5" max="5" width="12" customWidth="1"/>
    <col min="6" max="6" width="10.09765625" bestFit="1" customWidth="1"/>
    <col min="7" max="7" width="8.5" bestFit="1" customWidth="1"/>
    <col min="8" max="8" width="10.09765625" bestFit="1" customWidth="1"/>
    <col min="10" max="10" width="8.09765625" bestFit="1" customWidth="1"/>
    <col min="11" max="11" width="7" bestFit="1" customWidth="1"/>
    <col min="12" max="12" width="10.5" bestFit="1" customWidth="1"/>
    <col min="14" max="16" width="11.69921875" bestFit="1" customWidth="1"/>
    <col min="17" max="17" width="9.09765625" bestFit="1" customWidth="1"/>
  </cols>
  <sheetData>
    <row r="2" spans="1:16" ht="23.4" x14ac:dyDescent="0.45">
      <c r="B2" s="49" t="s">
        <v>52</v>
      </c>
      <c r="C2" s="47"/>
      <c r="D2" s="47"/>
      <c r="E2" s="47"/>
      <c r="F2" s="47"/>
      <c r="G2" s="46"/>
      <c r="H2" s="46"/>
      <c r="I2" s="46"/>
      <c r="J2" s="46"/>
      <c r="K2" s="46"/>
      <c r="L2" s="46"/>
      <c r="M2" s="46"/>
      <c r="N2" s="46"/>
      <c r="O2" s="46"/>
      <c r="P2" s="46"/>
    </row>
    <row r="4" spans="1:16" x14ac:dyDescent="0.3">
      <c r="B4" s="45"/>
      <c r="C4" s="45"/>
      <c r="D4" s="50" t="s">
        <v>37</v>
      </c>
      <c r="E4" s="51"/>
      <c r="F4" s="51"/>
      <c r="G4" s="51"/>
      <c r="H4" s="51"/>
      <c r="I4" s="12"/>
      <c r="J4" s="50" t="s">
        <v>36</v>
      </c>
      <c r="K4" s="51"/>
      <c r="L4" s="51"/>
      <c r="M4" s="45"/>
      <c r="N4" s="50" t="s">
        <v>35</v>
      </c>
      <c r="O4" s="51"/>
      <c r="P4" s="51"/>
    </row>
    <row r="5" spans="1:16" ht="31.2" x14ac:dyDescent="0.3">
      <c r="B5" s="44" t="s">
        <v>34</v>
      </c>
      <c r="C5" s="44" t="s">
        <v>33</v>
      </c>
      <c r="D5" s="43" t="s">
        <v>32</v>
      </c>
      <c r="E5" s="43" t="s">
        <v>2</v>
      </c>
      <c r="F5" s="43" t="s">
        <v>31</v>
      </c>
      <c r="G5" s="43" t="s">
        <v>4</v>
      </c>
      <c r="H5" s="43" t="s">
        <v>30</v>
      </c>
      <c r="I5" s="10"/>
      <c r="J5" s="42" t="s">
        <v>29</v>
      </c>
      <c r="K5" s="42" t="s">
        <v>28</v>
      </c>
      <c r="L5" s="42" t="s">
        <v>27</v>
      </c>
      <c r="M5" s="42"/>
      <c r="N5" s="42" t="s">
        <v>8</v>
      </c>
      <c r="O5" s="42" t="s">
        <v>7</v>
      </c>
      <c r="P5" s="42" t="s">
        <v>6</v>
      </c>
    </row>
    <row r="6" spans="1:16" x14ac:dyDescent="0.3">
      <c r="B6" s="41"/>
      <c r="C6" s="41"/>
      <c r="D6" s="40"/>
      <c r="E6" s="40"/>
      <c r="F6" s="40"/>
      <c r="G6" s="40"/>
      <c r="H6" s="40"/>
      <c r="I6" s="39"/>
      <c r="J6" s="39"/>
      <c r="K6" s="39"/>
      <c r="L6" s="39"/>
      <c r="M6" s="39"/>
      <c r="N6" s="39"/>
      <c r="O6" s="39"/>
      <c r="P6" s="39"/>
    </row>
    <row r="7" spans="1:16" x14ac:dyDescent="0.3">
      <c r="A7" t="s">
        <v>1</v>
      </c>
      <c r="B7" s="38" t="s">
        <v>40</v>
      </c>
      <c r="C7" s="37" t="s">
        <v>46</v>
      </c>
      <c r="D7" s="36">
        <v>2343.5</v>
      </c>
      <c r="E7" s="33">
        <v>45.7</v>
      </c>
      <c r="F7" s="34">
        <f t="shared" ref="F7:F12" si="0">D7*E7</f>
        <v>107097.95000000001</v>
      </c>
      <c r="G7" s="35">
        <f>6616-3142</f>
        <v>3474</v>
      </c>
      <c r="H7" s="34">
        <f t="shared" ref="H7:H12" si="1">F7+G7</f>
        <v>110571.95000000001</v>
      </c>
      <c r="I7" s="33"/>
      <c r="J7" s="33">
        <v>27958</v>
      </c>
      <c r="K7" s="33">
        <v>9240.5</v>
      </c>
      <c r="L7" s="33">
        <v>5355</v>
      </c>
      <c r="M7" s="32"/>
      <c r="N7" s="31">
        <f t="shared" ref="N7:N12" si="2">H7/J7</f>
        <v>3.9549306102010164</v>
      </c>
      <c r="O7" s="31">
        <f t="shared" ref="O7:O12" si="3">H7/K7</f>
        <v>11.966013743845032</v>
      </c>
      <c r="P7" s="31">
        <f t="shared" ref="P7:P12" si="4">F7/L7</f>
        <v>19.999617180205419</v>
      </c>
    </row>
    <row r="8" spans="1:16" x14ac:dyDescent="0.3">
      <c r="B8" s="30" t="s">
        <v>41</v>
      </c>
      <c r="C8" s="29" t="s">
        <v>47</v>
      </c>
      <c r="D8" s="28">
        <v>1101</v>
      </c>
      <c r="E8" s="25">
        <v>101</v>
      </c>
      <c r="F8" s="20">
        <f t="shared" si="0"/>
        <v>111201</v>
      </c>
      <c r="G8" s="27">
        <f>12496-2957</f>
        <v>9539</v>
      </c>
      <c r="H8" s="20">
        <f t="shared" si="1"/>
        <v>120740</v>
      </c>
      <c r="I8" s="26"/>
      <c r="J8" s="25">
        <v>27148</v>
      </c>
      <c r="K8" s="25">
        <v>8475.1</v>
      </c>
      <c r="L8" s="25">
        <v>1341</v>
      </c>
      <c r="M8" s="20"/>
      <c r="N8" s="17">
        <f t="shared" si="2"/>
        <v>4.4474731103580378</v>
      </c>
      <c r="O8" s="17">
        <f t="shared" si="3"/>
        <v>14.246439570034571</v>
      </c>
      <c r="P8" s="17">
        <f t="shared" si="4"/>
        <v>82.923937360178968</v>
      </c>
    </row>
    <row r="9" spans="1:16" x14ac:dyDescent="0.3">
      <c r="B9" s="24" t="s">
        <v>42</v>
      </c>
      <c r="C9" s="23" t="s">
        <v>48</v>
      </c>
      <c r="D9" s="22">
        <v>1350</v>
      </c>
      <c r="E9" s="19">
        <v>83.4</v>
      </c>
      <c r="F9" s="20">
        <f t="shared" si="0"/>
        <v>112590.00000000001</v>
      </c>
      <c r="G9" s="21">
        <f>7734-2460</f>
        <v>5274</v>
      </c>
      <c r="H9" s="20">
        <f t="shared" si="1"/>
        <v>117864.00000000001</v>
      </c>
      <c r="I9" s="1"/>
      <c r="J9" s="19">
        <v>33700</v>
      </c>
      <c r="K9" s="19">
        <v>7659.5</v>
      </c>
      <c r="L9" s="19">
        <v>4158</v>
      </c>
      <c r="M9" s="18"/>
      <c r="N9" s="17">
        <f t="shared" si="2"/>
        <v>3.4974480712166178</v>
      </c>
      <c r="O9" s="17">
        <f t="shared" si="3"/>
        <v>15.387949605065607</v>
      </c>
      <c r="P9" s="17">
        <f t="shared" si="4"/>
        <v>27.077922077922082</v>
      </c>
    </row>
    <row r="10" spans="1:16" x14ac:dyDescent="0.3">
      <c r="B10" s="24" t="s">
        <v>43</v>
      </c>
      <c r="C10" s="23" t="s">
        <v>49</v>
      </c>
      <c r="D10" s="22">
        <v>1440</v>
      </c>
      <c r="E10" s="19">
        <v>80.8</v>
      </c>
      <c r="F10" s="20">
        <f t="shared" si="0"/>
        <v>116352</v>
      </c>
      <c r="G10" s="21">
        <f>614-800</f>
        <v>-186</v>
      </c>
      <c r="H10" s="20">
        <f t="shared" si="1"/>
        <v>116166</v>
      </c>
      <c r="I10" s="1"/>
      <c r="J10" s="19">
        <v>28163</v>
      </c>
      <c r="K10" s="19">
        <v>5925</v>
      </c>
      <c r="L10" s="19">
        <v>3862</v>
      </c>
      <c r="M10" s="18"/>
      <c r="N10" s="17">
        <f t="shared" si="2"/>
        <v>4.1247736391719636</v>
      </c>
      <c r="O10" s="17">
        <f t="shared" si="3"/>
        <v>19.606075949367089</v>
      </c>
      <c r="P10" s="17">
        <f t="shared" si="4"/>
        <v>30.127395132055931</v>
      </c>
    </row>
    <row r="11" spans="1:16" x14ac:dyDescent="0.3">
      <c r="B11" s="24" t="s">
        <v>44</v>
      </c>
      <c r="C11" s="23" t="s">
        <v>50</v>
      </c>
      <c r="D11" s="22">
        <v>4516</v>
      </c>
      <c r="E11" s="19">
        <v>33.799999999999997</v>
      </c>
      <c r="F11" s="20">
        <f t="shared" si="0"/>
        <v>152640.79999999999</v>
      </c>
      <c r="G11" s="21">
        <f>15026-579</f>
        <v>14447</v>
      </c>
      <c r="H11" s="20">
        <f t="shared" si="1"/>
        <v>167087.79999999999</v>
      </c>
      <c r="I11" s="1"/>
      <c r="J11" s="19">
        <v>13980</v>
      </c>
      <c r="K11" s="19">
        <v>4559</v>
      </c>
      <c r="L11" s="19">
        <v>2138</v>
      </c>
      <c r="M11" s="18"/>
      <c r="N11" s="17">
        <f t="shared" si="2"/>
        <v>11.951917024320457</v>
      </c>
      <c r="O11" s="17">
        <f t="shared" si="3"/>
        <v>36.650098705856543</v>
      </c>
      <c r="P11" s="17">
        <f t="shared" si="4"/>
        <v>71.394200187090732</v>
      </c>
    </row>
    <row r="12" spans="1:16" x14ac:dyDescent="0.3">
      <c r="B12" s="24" t="s">
        <v>45</v>
      </c>
      <c r="C12" s="23" t="s">
        <v>51</v>
      </c>
      <c r="D12" s="22">
        <v>6714</v>
      </c>
      <c r="E12" s="19">
        <v>26.6</v>
      </c>
      <c r="F12" s="20">
        <f t="shared" si="0"/>
        <v>178592.40000000002</v>
      </c>
      <c r="G12" s="21">
        <f>7-3715</f>
        <v>-3708</v>
      </c>
      <c r="H12" s="20">
        <f t="shared" si="1"/>
        <v>174884.40000000002</v>
      </c>
      <c r="I12" s="1"/>
      <c r="J12" s="19">
        <v>10560</v>
      </c>
      <c r="K12" s="19">
        <v>3441</v>
      </c>
      <c r="L12" s="19">
        <v>2191</v>
      </c>
      <c r="M12" s="18"/>
      <c r="N12" s="17">
        <f t="shared" si="2"/>
        <v>16.561022727272729</v>
      </c>
      <c r="O12" s="17">
        <f t="shared" si="3"/>
        <v>50.823714036617268</v>
      </c>
      <c r="P12" s="17">
        <f t="shared" si="4"/>
        <v>81.511821086261989</v>
      </c>
    </row>
    <row r="13" spans="1:16" ht="7.05" customHeight="1" x14ac:dyDescent="0.3">
      <c r="E13" s="8"/>
    </row>
    <row r="14" spans="1:16" x14ac:dyDescent="0.3">
      <c r="A14" t="s">
        <v>1</v>
      </c>
      <c r="B14" s="14" t="s">
        <v>15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3">
        <f>MAX(N8:N12)</f>
        <v>16.561022727272729</v>
      </c>
      <c r="O14" s="13">
        <f>MAX(O8:O12)</f>
        <v>50.823714036617268</v>
      </c>
      <c r="P14" s="13">
        <f>MAX(P8:P12)</f>
        <v>82.923937360178968</v>
      </c>
    </row>
    <row r="15" spans="1:16" x14ac:dyDescent="0.3">
      <c r="B15" s="14" t="s">
        <v>14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3">
        <f>QUARTILE(N8:N12,3)</f>
        <v>11.951917024320457</v>
      </c>
      <c r="O15" s="13">
        <f>QUARTILE(O8:O12,3)</f>
        <v>36.650098705856543</v>
      </c>
      <c r="P15" s="13">
        <f>QUARTILE(P8:P12,3)</f>
        <v>81.511821086261989</v>
      </c>
    </row>
    <row r="16" spans="1:16" x14ac:dyDescent="0.3">
      <c r="B16" s="15" t="s">
        <v>13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>
        <f>AVERAGE(N8:N12)</f>
        <v>8.1165269144679613</v>
      </c>
      <c r="O16" s="16">
        <f>AVERAGE(O8:O12)</f>
        <v>27.342855573388213</v>
      </c>
      <c r="P16" s="16">
        <f>AVERAGE(P8:P12)</f>
        <v>58.607055168701933</v>
      </c>
    </row>
    <row r="17" spans="1:17" x14ac:dyDescent="0.3">
      <c r="B17" s="15" t="s">
        <v>12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>
        <f>MEDIAN(N8:N12)</f>
        <v>4.4474731103580378</v>
      </c>
      <c r="O17" s="16">
        <f>MEDIAN(O8:O12)</f>
        <v>19.606075949367089</v>
      </c>
      <c r="P17" s="16">
        <f>MEDIAN(P8:P12)</f>
        <v>71.394200187090732</v>
      </c>
    </row>
    <row r="18" spans="1:17" x14ac:dyDescent="0.3">
      <c r="B18" s="14" t="s">
        <v>11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3">
        <f>QUARTILE(N8:N12,1)</f>
        <v>4.1247736391719636</v>
      </c>
      <c r="O18" s="13">
        <f>QUARTILE(O8:O12,1)</f>
        <v>15.387949605065607</v>
      </c>
      <c r="P18" s="13">
        <f>QUARTILE(P8:P12,1)</f>
        <v>30.127395132055931</v>
      </c>
    </row>
    <row r="19" spans="1:17" x14ac:dyDescent="0.3">
      <c r="B19" s="14" t="s">
        <v>10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>
        <f>MIN(N8:N12)</f>
        <v>3.4974480712166178</v>
      </c>
      <c r="O19" s="13">
        <f>MIN(O8:O12)</f>
        <v>14.246439570034571</v>
      </c>
      <c r="P19" s="13">
        <f>MIN(P8:P12)</f>
        <v>27.077922077922082</v>
      </c>
    </row>
    <row r="20" spans="1:17" ht="7.05" customHeight="1" x14ac:dyDescent="0.3"/>
    <row r="21" spans="1:17" x14ac:dyDescent="0.3">
      <c r="A21" t="s">
        <v>1</v>
      </c>
      <c r="B21" s="12" t="s">
        <v>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0" t="s">
        <v>8</v>
      </c>
      <c r="O21" s="10" t="s">
        <v>7</v>
      </c>
      <c r="P21" s="10" t="s">
        <v>6</v>
      </c>
    </row>
    <row r="22" spans="1:17" x14ac:dyDescent="0.3">
      <c r="B22" s="7" t="s">
        <v>5</v>
      </c>
      <c r="J22" s="9"/>
      <c r="N22" s="8">
        <f>J7*N17</f>
        <v>124342.45321939002</v>
      </c>
      <c r="O22" s="8">
        <f>K7*O17</f>
        <v>181169.94481012659</v>
      </c>
      <c r="P22" s="8">
        <f>P24-P23</f>
        <v>378841.94200187089</v>
      </c>
    </row>
    <row r="23" spans="1:17" x14ac:dyDescent="0.3">
      <c r="B23" s="7" t="s">
        <v>4</v>
      </c>
      <c r="G23" s="1"/>
      <c r="J23" s="9"/>
      <c r="N23" s="8">
        <f>G7</f>
        <v>3474</v>
      </c>
      <c r="O23" s="8">
        <f>G7</f>
        <v>3474</v>
      </c>
      <c r="P23" s="8">
        <f>G7</f>
        <v>3474</v>
      </c>
    </row>
    <row r="24" spans="1:17" x14ac:dyDescent="0.3">
      <c r="B24" s="7" t="s">
        <v>3</v>
      </c>
      <c r="G24" s="1"/>
      <c r="J24" s="9"/>
      <c r="N24" s="8">
        <f>N22-N23</f>
        <v>120868.45321939002</v>
      </c>
      <c r="O24" s="8">
        <f>O22-O23</f>
        <v>177695.94481012659</v>
      </c>
      <c r="P24" s="8">
        <f>L7*P17</f>
        <v>382315.94200187089</v>
      </c>
    </row>
    <row r="25" spans="1:17" x14ac:dyDescent="0.3">
      <c r="B25" s="7" t="s">
        <v>2</v>
      </c>
      <c r="G25" s="1"/>
      <c r="N25" s="8">
        <f>E7</f>
        <v>45.7</v>
      </c>
      <c r="O25" s="8">
        <f>N25</f>
        <v>45.7</v>
      </c>
      <c r="P25" s="8">
        <f>O25</f>
        <v>45.7</v>
      </c>
    </row>
    <row r="26" spans="1:17" x14ac:dyDescent="0.3">
      <c r="A26" t="s">
        <v>1</v>
      </c>
      <c r="B26" s="4" t="s">
        <v>0</v>
      </c>
      <c r="C26" s="4"/>
      <c r="D26" s="6"/>
      <c r="E26" s="6"/>
      <c r="F26" s="4"/>
      <c r="G26" s="5"/>
      <c r="H26" s="4"/>
      <c r="I26" s="4"/>
      <c r="J26" s="4"/>
      <c r="K26" s="4"/>
      <c r="L26" s="4"/>
      <c r="M26" s="4"/>
      <c r="N26" s="3">
        <f>N24/N25</f>
        <v>2644.8239216496722</v>
      </c>
      <c r="O26" s="3">
        <f>O24/O25</f>
        <v>3888.3138908123979</v>
      </c>
      <c r="P26" s="3">
        <f>P24/P25</f>
        <v>8365.7755361459713</v>
      </c>
      <c r="Q26" s="2"/>
    </row>
    <row r="27" spans="1:17" x14ac:dyDescent="0.3">
      <c r="G27" s="1"/>
      <c r="N27" t="str">
        <f>IF($D$7&lt;N26,"Undervalued","Overvalued")</f>
        <v>Undervalued</v>
      </c>
      <c r="O27" t="str">
        <f>IF($D$7&lt;O26,"Undervalued","Overvalued")</f>
        <v>Undervalued</v>
      </c>
      <c r="P27" t="str">
        <f>IF($D$7&lt;P26,"Undervalued","Overvalued")</f>
        <v>Undervalued</v>
      </c>
    </row>
  </sheetData>
  <mergeCells count="3">
    <mergeCell ref="D4:H4"/>
    <mergeCell ref="J4:L4"/>
    <mergeCell ref="N4:P4"/>
  </mergeCells>
  <conditionalFormatting sqref="N27:P27">
    <cfRule type="containsText" dxfId="1" priority="1" operator="containsText" text="Overvalued">
      <formula>NOT(ISERROR(SEARCH("Overvalued",N27)))</formula>
    </cfRule>
    <cfRule type="containsText" dxfId="0" priority="2" operator="containsText" text="Undervalued">
      <formula>NOT(ISERROR(SEARCH("Undervalued",N27)))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</vt:lpstr>
      <vt:lpstr>Pharma &amp;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Chandra</dc:creator>
  <cp:lastModifiedBy>Shivansh Chandra</cp:lastModifiedBy>
  <dcterms:created xsi:type="dcterms:W3CDTF">2026-03-30T11:40:06Z</dcterms:created>
  <dcterms:modified xsi:type="dcterms:W3CDTF">2026-09-09T05:59:26Z</dcterms:modified>
</cp:coreProperties>
</file>